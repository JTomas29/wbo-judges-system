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9200" windowHeight="6610" activeTab="7"/>
  </bookViews>
  <sheets>
    <sheet name="Jesuan" sheetId="1" r:id="rId1"/>
    <sheet name="TOTAL" sheetId="2" r:id="rId2"/>
    <sheet name="JUEZ 1" sheetId="3" r:id="rId3"/>
    <sheet name="JUEZ 2" sheetId="4" r:id="rId4"/>
    <sheet name="JUEZ 3" sheetId="5" r:id="rId5"/>
    <sheet name="JUEZ 4" sheetId="6" r:id="rId6"/>
    <sheet name="JUEZ 5" sheetId="7" r:id="rId7"/>
    <sheet name="JUEZ 6" sheetId="8" r:id="rId8"/>
    <sheet name="JUEZ 7" sheetId="9" r:id="rId9"/>
    <sheet name="JUEZ 8" sheetId="10" r:id="rId10"/>
    <sheet name="JUEZ 9" sheetId="11" r:id="rId11"/>
    <sheet name="JUEZ 10" sheetId="12" r:id="rId12"/>
    <sheet name="JUEZ 11" sheetId="13" r:id="rId13"/>
  </sheets>
  <calcPr calcId="152511"/>
  <extLst>
    <ext uri="GoogleSheetsCustomDataVersion2">
      <go:sheetsCustomData xmlns:go="http://customooxmlschemas.google.com/" r:id="rId17" roundtripDataChecksum="TlTA8K3NuQGkc6ATbioiBd0iHJ0Qvu6zv7lSw1AIkMs="/>
    </ext>
  </extLst>
</workbook>
</file>

<file path=xl/calcChain.xml><?xml version="1.0" encoding="utf-8"?>
<calcChain xmlns="http://schemas.openxmlformats.org/spreadsheetml/2006/main">
  <c r="D14" i="13" l="1"/>
  <c r="C14" i="13"/>
  <c r="F13" i="13"/>
  <c r="E13" i="13"/>
  <c r="G13" i="13" s="1"/>
  <c r="Y26" i="2" s="1"/>
  <c r="F12" i="13"/>
  <c r="E12" i="13"/>
  <c r="G12" i="13" s="1"/>
  <c r="Y25" i="2" s="1"/>
  <c r="F11" i="13"/>
  <c r="E11" i="13"/>
  <c r="F10" i="13"/>
  <c r="E10" i="13"/>
  <c r="G10" i="13" s="1"/>
  <c r="Y23" i="2" s="1"/>
  <c r="F9" i="13"/>
  <c r="E9" i="13"/>
  <c r="G9" i="13" s="1"/>
  <c r="F8" i="13"/>
  <c r="E8" i="13"/>
  <c r="G8" i="13" s="1"/>
  <c r="Y21" i="2" s="1"/>
  <c r="F7" i="13"/>
  <c r="E7" i="13"/>
  <c r="F6" i="13"/>
  <c r="E6" i="13"/>
  <c r="G6" i="13" s="1"/>
  <c r="Y19" i="2" s="1"/>
  <c r="F5" i="13"/>
  <c r="E5" i="13"/>
  <c r="G5" i="13" s="1"/>
  <c r="F4" i="13"/>
  <c r="E4" i="13"/>
  <c r="D14" i="12"/>
  <c r="F14" i="12" s="1"/>
  <c r="C14" i="12"/>
  <c r="F13" i="12"/>
  <c r="E13" i="12"/>
  <c r="G13" i="12" s="1"/>
  <c r="F12" i="12"/>
  <c r="E12" i="12"/>
  <c r="G12" i="12" s="1"/>
  <c r="F11" i="12"/>
  <c r="E11" i="12"/>
  <c r="G11" i="12" s="1"/>
  <c r="S24" i="2" s="1"/>
  <c r="F10" i="12"/>
  <c r="E10" i="12"/>
  <c r="F9" i="12"/>
  <c r="E9" i="12"/>
  <c r="G9" i="12" s="1"/>
  <c r="S22" i="2" s="1"/>
  <c r="F8" i="12"/>
  <c r="E8" i="12"/>
  <c r="G8" i="12" s="1"/>
  <c r="F7" i="12"/>
  <c r="E7" i="12"/>
  <c r="G7" i="12" s="1"/>
  <c r="S20" i="2" s="1"/>
  <c r="F6" i="12"/>
  <c r="E6" i="12"/>
  <c r="G6" i="12" s="1"/>
  <c r="F5" i="12"/>
  <c r="E5" i="12"/>
  <c r="G5" i="12" s="1"/>
  <c r="S18" i="2" s="1"/>
  <c r="F4" i="12"/>
  <c r="E4" i="12"/>
  <c r="G4" i="12" s="1"/>
  <c r="D14" i="11"/>
  <c r="F14" i="11" s="1"/>
  <c r="C14" i="11"/>
  <c r="F13" i="11"/>
  <c r="E13" i="11"/>
  <c r="F12" i="11"/>
  <c r="E12" i="11"/>
  <c r="G12" i="11" s="1"/>
  <c r="N25" i="2" s="1"/>
  <c r="F11" i="11"/>
  <c r="E11" i="11"/>
  <c r="G11" i="11" s="1"/>
  <c r="F10" i="11"/>
  <c r="E10" i="11"/>
  <c r="G10" i="11" s="1"/>
  <c r="N23" i="2" s="1"/>
  <c r="F9" i="11"/>
  <c r="E9" i="11"/>
  <c r="F8" i="11"/>
  <c r="E8" i="11"/>
  <c r="G8" i="11" s="1"/>
  <c r="N21" i="2" s="1"/>
  <c r="F7" i="11"/>
  <c r="E7" i="11"/>
  <c r="G7" i="11" s="1"/>
  <c r="F6" i="11"/>
  <c r="E6" i="11"/>
  <c r="F5" i="11"/>
  <c r="E5" i="11"/>
  <c r="G5" i="11" s="1"/>
  <c r="F4" i="11"/>
  <c r="E4" i="11"/>
  <c r="G4" i="11" s="1"/>
  <c r="F14" i="10"/>
  <c r="D14" i="10"/>
  <c r="C14" i="10"/>
  <c r="F13" i="10"/>
  <c r="E13" i="10"/>
  <c r="G13" i="10" s="1"/>
  <c r="L26" i="2" s="1"/>
  <c r="F12" i="10"/>
  <c r="E12" i="10"/>
  <c r="F11" i="10"/>
  <c r="E11" i="10"/>
  <c r="G11" i="10" s="1"/>
  <c r="L24" i="2" s="1"/>
  <c r="F10" i="10"/>
  <c r="E10" i="10"/>
  <c r="G10" i="10" s="1"/>
  <c r="F9" i="10"/>
  <c r="E9" i="10"/>
  <c r="G9" i="10" s="1"/>
  <c r="L22" i="2" s="1"/>
  <c r="F8" i="10"/>
  <c r="E8" i="10"/>
  <c r="F7" i="10"/>
  <c r="E7" i="10"/>
  <c r="G7" i="10" s="1"/>
  <c r="L20" i="2" s="1"/>
  <c r="F6" i="10"/>
  <c r="E6" i="10"/>
  <c r="G6" i="10" s="1"/>
  <c r="F5" i="10"/>
  <c r="E5" i="10"/>
  <c r="F4" i="10"/>
  <c r="E4" i="10"/>
  <c r="G4" i="10" s="1"/>
  <c r="D14" i="9"/>
  <c r="C14" i="9"/>
  <c r="F13" i="9"/>
  <c r="E13" i="9"/>
  <c r="G13" i="9" s="1"/>
  <c r="K26" i="2" s="1"/>
  <c r="F12" i="9"/>
  <c r="E12" i="9"/>
  <c r="G12" i="9" s="1"/>
  <c r="K25" i="2" s="1"/>
  <c r="F11" i="9"/>
  <c r="E11" i="9"/>
  <c r="F10" i="9"/>
  <c r="E10" i="9"/>
  <c r="G10" i="9" s="1"/>
  <c r="K23" i="2" s="1"/>
  <c r="F9" i="9"/>
  <c r="E9" i="9"/>
  <c r="G9" i="9" s="1"/>
  <c r="F8" i="9"/>
  <c r="E8" i="9"/>
  <c r="G8" i="9" s="1"/>
  <c r="K21" i="2" s="1"/>
  <c r="F7" i="9"/>
  <c r="E7" i="9"/>
  <c r="F6" i="9"/>
  <c r="E6" i="9"/>
  <c r="G6" i="9" s="1"/>
  <c r="K19" i="2" s="1"/>
  <c r="F5" i="9"/>
  <c r="E5" i="9"/>
  <c r="G5" i="9" s="1"/>
  <c r="F4" i="9"/>
  <c r="E4" i="9"/>
  <c r="D14" i="8"/>
  <c r="F14" i="8" s="1"/>
  <c r="C14" i="8"/>
  <c r="F13" i="8"/>
  <c r="E13" i="8"/>
  <c r="G13" i="8" s="1"/>
  <c r="F12" i="8"/>
  <c r="E12" i="8"/>
  <c r="G12" i="8" s="1"/>
  <c r="F11" i="8"/>
  <c r="E11" i="8"/>
  <c r="G11" i="8" s="1"/>
  <c r="I24" i="2" s="1"/>
  <c r="F10" i="8"/>
  <c r="E10" i="8"/>
  <c r="F9" i="8"/>
  <c r="E9" i="8"/>
  <c r="G9" i="8" s="1"/>
  <c r="I22" i="2" s="1"/>
  <c r="F8" i="8"/>
  <c r="E8" i="8"/>
  <c r="G8" i="8" s="1"/>
  <c r="F7" i="8"/>
  <c r="E7" i="8"/>
  <c r="G7" i="8" s="1"/>
  <c r="I20" i="2" s="1"/>
  <c r="F6" i="8"/>
  <c r="E6" i="8"/>
  <c r="G6" i="8" s="1"/>
  <c r="F5" i="8"/>
  <c r="E5" i="8"/>
  <c r="G5" i="8" s="1"/>
  <c r="I18" i="2" s="1"/>
  <c r="F4" i="8"/>
  <c r="E4" i="8"/>
  <c r="G4" i="8" s="1"/>
  <c r="D14" i="7"/>
  <c r="F14" i="7" s="1"/>
  <c r="C14" i="7"/>
  <c r="F13" i="7"/>
  <c r="E13" i="7"/>
  <c r="F12" i="7"/>
  <c r="E12" i="7"/>
  <c r="G12" i="7" s="1"/>
  <c r="H25" i="2" s="1"/>
  <c r="F11" i="7"/>
  <c r="E11" i="7"/>
  <c r="G11" i="7" s="1"/>
  <c r="F10" i="7"/>
  <c r="E10" i="7"/>
  <c r="G10" i="7" s="1"/>
  <c r="H23" i="2" s="1"/>
  <c r="F9" i="7"/>
  <c r="E9" i="7"/>
  <c r="F8" i="7"/>
  <c r="E8" i="7"/>
  <c r="G8" i="7" s="1"/>
  <c r="H21" i="2" s="1"/>
  <c r="F7" i="7"/>
  <c r="E7" i="7"/>
  <c r="G7" i="7" s="1"/>
  <c r="F6" i="7"/>
  <c r="E6" i="7"/>
  <c r="F5" i="7"/>
  <c r="E5" i="7"/>
  <c r="G5" i="7" s="1"/>
  <c r="F4" i="7"/>
  <c r="E4" i="7"/>
  <c r="G4" i="7" s="1"/>
  <c r="F14" i="6"/>
  <c r="D14" i="6"/>
  <c r="C14" i="6"/>
  <c r="F13" i="6"/>
  <c r="E13" i="6"/>
  <c r="G13" i="6" s="1"/>
  <c r="G26" i="2" s="1"/>
  <c r="F12" i="6"/>
  <c r="E12" i="6"/>
  <c r="F11" i="6"/>
  <c r="E11" i="6"/>
  <c r="G11" i="6" s="1"/>
  <c r="G24" i="2" s="1"/>
  <c r="F10" i="6"/>
  <c r="E10" i="6"/>
  <c r="G10" i="6" s="1"/>
  <c r="F9" i="6"/>
  <c r="E9" i="6"/>
  <c r="G9" i="6" s="1"/>
  <c r="G22" i="2" s="1"/>
  <c r="F8" i="6"/>
  <c r="E8" i="6"/>
  <c r="F7" i="6"/>
  <c r="E7" i="6"/>
  <c r="G7" i="6" s="1"/>
  <c r="G20" i="2" s="1"/>
  <c r="F6" i="6"/>
  <c r="E6" i="6"/>
  <c r="G6" i="6" s="1"/>
  <c r="F5" i="6"/>
  <c r="E5" i="6"/>
  <c r="F4" i="6"/>
  <c r="E4" i="6"/>
  <c r="G4" i="6" s="1"/>
  <c r="D14" i="5"/>
  <c r="C14" i="5"/>
  <c r="E14" i="5" s="1"/>
  <c r="I13" i="5"/>
  <c r="F13" i="5"/>
  <c r="E13" i="5"/>
  <c r="G13" i="5" s="1"/>
  <c r="E26" i="2" s="1"/>
  <c r="F12" i="5"/>
  <c r="E12" i="5"/>
  <c r="G12" i="5" s="1"/>
  <c r="E25" i="2" s="1"/>
  <c r="F11" i="5"/>
  <c r="E11" i="5"/>
  <c r="G11" i="5" s="1"/>
  <c r="F10" i="5"/>
  <c r="E10" i="5"/>
  <c r="F9" i="5"/>
  <c r="E9" i="5"/>
  <c r="G9" i="5" s="1"/>
  <c r="E22" i="2" s="1"/>
  <c r="F8" i="5"/>
  <c r="E8" i="5"/>
  <c r="G8" i="5" s="1"/>
  <c r="E21" i="2" s="1"/>
  <c r="F7" i="5"/>
  <c r="E7" i="5"/>
  <c r="G7" i="5" s="1"/>
  <c r="F6" i="5"/>
  <c r="E6" i="5"/>
  <c r="G6" i="5" s="1"/>
  <c r="E19" i="2" s="1"/>
  <c r="F5" i="5"/>
  <c r="E5" i="5"/>
  <c r="G5" i="5" s="1"/>
  <c r="F4" i="5"/>
  <c r="E4" i="5"/>
  <c r="G4" i="5" s="1"/>
  <c r="D14" i="4"/>
  <c r="F14" i="4" s="1"/>
  <c r="C14" i="4"/>
  <c r="I13" i="4"/>
  <c r="F13" i="4"/>
  <c r="E13" i="4"/>
  <c r="G13" i="4" s="1"/>
  <c r="D26" i="2" s="1"/>
  <c r="F12" i="4"/>
  <c r="E12" i="4"/>
  <c r="F11" i="4"/>
  <c r="E11" i="4"/>
  <c r="G11" i="4" s="1"/>
  <c r="F10" i="4"/>
  <c r="E10" i="4"/>
  <c r="G10" i="4" s="1"/>
  <c r="F9" i="4"/>
  <c r="E9" i="4"/>
  <c r="G9" i="4" s="1"/>
  <c r="D22" i="2" s="1"/>
  <c r="F8" i="4"/>
  <c r="E8" i="4"/>
  <c r="F7" i="4"/>
  <c r="E7" i="4"/>
  <c r="G7" i="4" s="1"/>
  <c r="F6" i="4"/>
  <c r="E6" i="4"/>
  <c r="G6" i="4" s="1"/>
  <c r="F5" i="4"/>
  <c r="E5" i="4"/>
  <c r="F4" i="4"/>
  <c r="E4" i="4"/>
  <c r="G4" i="4" s="1"/>
  <c r="D14" i="3"/>
  <c r="C14" i="3"/>
  <c r="E14" i="3" s="1"/>
  <c r="I13" i="3"/>
  <c r="F13" i="3"/>
  <c r="E13" i="3"/>
  <c r="G13" i="3" s="1"/>
  <c r="F12" i="3"/>
  <c r="E12" i="3"/>
  <c r="G12" i="3" s="1"/>
  <c r="F11" i="3"/>
  <c r="E11" i="3"/>
  <c r="G11" i="3" s="1"/>
  <c r="F10" i="3"/>
  <c r="E10" i="3"/>
  <c r="F9" i="3"/>
  <c r="E9" i="3"/>
  <c r="G9" i="3" s="1"/>
  <c r="F8" i="3"/>
  <c r="E8" i="3"/>
  <c r="G8" i="3" s="1"/>
  <c r="F7" i="3"/>
  <c r="E7" i="3"/>
  <c r="G7" i="3" s="1"/>
  <c r="F6" i="3"/>
  <c r="E6" i="3"/>
  <c r="G6" i="3" s="1"/>
  <c r="F5" i="3"/>
  <c r="E5" i="3"/>
  <c r="G5" i="3" s="1"/>
  <c r="F4" i="3"/>
  <c r="E4" i="3"/>
  <c r="G4" i="3" s="1"/>
  <c r="S26" i="2"/>
  <c r="I26" i="2"/>
  <c r="S25" i="2"/>
  <c r="I25" i="2"/>
  <c r="N24" i="2"/>
  <c r="H24" i="2"/>
  <c r="E24" i="2"/>
  <c r="C24" i="2"/>
  <c r="L23" i="2"/>
  <c r="G23" i="2"/>
  <c r="D23" i="2"/>
  <c r="Y22" i="2"/>
  <c r="K22" i="2"/>
  <c r="S21" i="2"/>
  <c r="I21" i="2"/>
  <c r="N20" i="2"/>
  <c r="H20" i="2"/>
  <c r="E20" i="2"/>
  <c r="C20" i="2"/>
  <c r="S19" i="2"/>
  <c r="L19" i="2"/>
  <c r="I19" i="2"/>
  <c r="G19" i="2"/>
  <c r="D19" i="2"/>
  <c r="Y18" i="2"/>
  <c r="N18" i="2"/>
  <c r="K18" i="2"/>
  <c r="H18" i="2"/>
  <c r="E18" i="2"/>
  <c r="C18" i="2"/>
  <c r="S17" i="2"/>
  <c r="L17" i="2"/>
  <c r="I17" i="2"/>
  <c r="Y16" i="2"/>
  <c r="S16" i="2"/>
  <c r="N16" i="2"/>
  <c r="L16" i="2"/>
  <c r="K16" i="2"/>
  <c r="I16" i="2"/>
  <c r="H16" i="2"/>
  <c r="G16" i="2"/>
  <c r="E16" i="2"/>
  <c r="D16" i="2"/>
  <c r="C16" i="2"/>
  <c r="H14" i="2"/>
  <c r="G14" i="2"/>
  <c r="Y11" i="2"/>
  <c r="M11" i="2"/>
  <c r="Y10" i="2"/>
  <c r="M10" i="2"/>
  <c r="AI6" i="2"/>
  <c r="AH6" i="2"/>
  <c r="AG6" i="2"/>
  <c r="AF6" i="2"/>
  <c r="AE6" i="2"/>
  <c r="AD6" i="2"/>
  <c r="AC6" i="2"/>
  <c r="AB6" i="2"/>
  <c r="AA6" i="2"/>
  <c r="Z6" i="2"/>
  <c r="Z11" i="2" s="1"/>
  <c r="Y6" i="2"/>
  <c r="W6" i="2"/>
  <c r="V6" i="2"/>
  <c r="U6" i="2"/>
  <c r="T6" i="2"/>
  <c r="S6" i="2"/>
  <c r="R6" i="2"/>
  <c r="Q6" i="2"/>
  <c r="P6" i="2"/>
  <c r="O6" i="2"/>
  <c r="N6" i="2"/>
  <c r="N11" i="2" s="1"/>
  <c r="M6" i="2"/>
  <c r="AI5" i="2"/>
  <c r="AH5" i="2"/>
  <c r="AG5" i="2"/>
  <c r="AF5" i="2"/>
  <c r="AE5" i="2"/>
  <c r="AD5" i="2"/>
  <c r="AC5" i="2"/>
  <c r="AB5" i="2"/>
  <c r="AA5" i="2"/>
  <c r="Z5" i="2"/>
  <c r="Z10" i="2" s="1"/>
  <c r="Y5" i="2"/>
  <c r="W5" i="2"/>
  <c r="V5" i="2"/>
  <c r="U5" i="2"/>
  <c r="T5" i="2"/>
  <c r="S5" i="2"/>
  <c r="R5" i="2"/>
  <c r="Q5" i="2"/>
  <c r="P5" i="2"/>
  <c r="O5" i="2"/>
  <c r="N5" i="2"/>
  <c r="M5" i="2"/>
  <c r="D5" i="2"/>
  <c r="D4" i="2"/>
  <c r="D13" i="1"/>
  <c r="C13" i="1"/>
  <c r="G17" i="2" l="1"/>
  <c r="D17" i="2"/>
  <c r="D20" i="2"/>
  <c r="D24" i="2"/>
  <c r="C19" i="2"/>
  <c r="C22" i="2"/>
  <c r="C26" i="2"/>
  <c r="C17" i="2"/>
  <c r="K11" i="2"/>
  <c r="C25" i="2"/>
  <c r="I6" i="5"/>
  <c r="E17" i="2"/>
  <c r="E14" i="6"/>
  <c r="G14" i="6" s="1"/>
  <c r="E14" i="11"/>
  <c r="G14" i="11" s="1"/>
  <c r="I6" i="12"/>
  <c r="E14" i="13"/>
  <c r="N10" i="2"/>
  <c r="C21" i="2"/>
  <c r="E14" i="4"/>
  <c r="G14" i="4" s="1"/>
  <c r="E14" i="7"/>
  <c r="G14" i="7" s="1"/>
  <c r="E14" i="9"/>
  <c r="G14" i="9" s="1"/>
  <c r="E14" i="10"/>
  <c r="G14" i="10" s="1"/>
  <c r="H17" i="2"/>
  <c r="N17" i="2"/>
  <c r="G10" i="3"/>
  <c r="F14" i="3"/>
  <c r="G14" i="3" s="1"/>
  <c r="G5" i="4"/>
  <c r="G8" i="4"/>
  <c r="G12" i="4"/>
  <c r="G10" i="5"/>
  <c r="E23" i="2" s="1"/>
  <c r="F14" i="5"/>
  <c r="G14" i="5" s="1"/>
  <c r="G5" i="6"/>
  <c r="G18" i="2" s="1"/>
  <c r="G8" i="6"/>
  <c r="G21" i="2" s="1"/>
  <c r="G12" i="6"/>
  <c r="G25" i="2" s="1"/>
  <c r="G6" i="7"/>
  <c r="H19" i="2" s="1"/>
  <c r="G9" i="7"/>
  <c r="H22" i="2" s="1"/>
  <c r="G13" i="7"/>
  <c r="H26" i="2" s="1"/>
  <c r="G10" i="8"/>
  <c r="I23" i="2" s="1"/>
  <c r="E14" i="8"/>
  <c r="G14" i="8" s="1"/>
  <c r="G4" i="9"/>
  <c r="G7" i="9"/>
  <c r="K20" i="2" s="1"/>
  <c r="G11" i="9"/>
  <c r="K24" i="2" s="1"/>
  <c r="F14" i="9"/>
  <c r="G5" i="10"/>
  <c r="L18" i="2" s="1"/>
  <c r="G8" i="10"/>
  <c r="L21" i="2" s="1"/>
  <c r="G12" i="10"/>
  <c r="L25" i="2" s="1"/>
  <c r="G6" i="11"/>
  <c r="N19" i="2" s="1"/>
  <c r="G9" i="11"/>
  <c r="N22" i="2" s="1"/>
  <c r="G13" i="11"/>
  <c r="N26" i="2" s="1"/>
  <c r="G10" i="12"/>
  <c r="S23" i="2" s="1"/>
  <c r="E14" i="12"/>
  <c r="G14" i="12" s="1"/>
  <c r="G4" i="13"/>
  <c r="G7" i="13"/>
  <c r="Y20" i="2" s="1"/>
  <c r="G11" i="13"/>
  <c r="Y24" i="2" s="1"/>
  <c r="F14" i="13"/>
  <c r="I6" i="11" l="1"/>
  <c r="G15" i="9"/>
  <c r="K17" i="2"/>
  <c r="I6" i="9"/>
  <c r="D25" i="2"/>
  <c r="J12" i="2"/>
  <c r="D18" i="2"/>
  <c r="J5" i="2"/>
  <c r="C23" i="2"/>
  <c r="K10" i="2"/>
  <c r="J10" i="2"/>
  <c r="G15" i="10"/>
  <c r="I6" i="8"/>
  <c r="D8" i="2"/>
  <c r="G14" i="13"/>
  <c r="K12" i="2"/>
  <c r="J4" i="2"/>
  <c r="D9" i="2"/>
  <c r="I6" i="3"/>
  <c r="J9" i="2"/>
  <c r="D6" i="2"/>
  <c r="G15" i="13"/>
  <c r="Y17" i="2"/>
  <c r="I6" i="13"/>
  <c r="I6" i="7"/>
  <c r="D21" i="2"/>
  <c r="K8" i="2"/>
  <c r="G15" i="11"/>
  <c r="G15" i="7"/>
  <c r="I6" i="10"/>
  <c r="G15" i="8"/>
  <c r="J8" i="2"/>
  <c r="K7" i="2"/>
  <c r="G15" i="12"/>
  <c r="G15" i="5"/>
  <c r="K5" i="2"/>
  <c r="D7" i="2"/>
  <c r="G15" i="3"/>
  <c r="J13" i="2"/>
  <c r="K9" i="2"/>
  <c r="K6" i="2"/>
  <c r="G15" i="4"/>
  <c r="G15" i="6"/>
  <c r="K13" i="2"/>
  <c r="J6" i="2"/>
  <c r="J11" i="2"/>
  <c r="J7" i="2"/>
  <c r="K4" i="2"/>
  <c r="I6" i="4"/>
  <c r="I6" i="6"/>
</calcChain>
</file>

<file path=xl/sharedStrings.xml><?xml version="1.0" encoding="utf-8"?>
<sst xmlns="http://schemas.openxmlformats.org/spreadsheetml/2006/main" count="100" uniqueCount="38">
  <si>
    <t>Jesuan</t>
  </si>
  <si>
    <t>G</t>
  </si>
  <si>
    <t>N</t>
  </si>
  <si>
    <t>T</t>
  </si>
  <si>
    <t>RESULTADO TEORICO</t>
  </si>
  <si>
    <t>DESGLOSE</t>
  </si>
  <si>
    <t>#</t>
  </si>
  <si>
    <t>MANZUR</t>
  </si>
  <si>
    <t>ERLIN</t>
  </si>
  <si>
    <t>ERRORES</t>
  </si>
  <si>
    <t>OK</t>
  </si>
  <si>
    <t>ROUNDS MISMO GANADOR 
(OFICIAL)</t>
  </si>
  <si>
    <t>ROUNDS MISMO GANADOR 
(REVISION)</t>
  </si>
  <si>
    <t>JUECES:</t>
  </si>
  <si>
    <t>ROUNDS:</t>
  </si>
  <si>
    <t>ROUNDS OK</t>
  </si>
  <si>
    <t>ROUNDS ERROR</t>
  </si>
  <si>
    <t>PELEA OK</t>
  </si>
  <si>
    <t>TOTAL ROUNDS MISMO GANADOR 
(OFICIAL)</t>
  </si>
  <si>
    <t>TOTAL ROUNDS MISMO GANADOR 
(REVISION)</t>
  </si>
  <si>
    <t>ERROR PELEA</t>
  </si>
  <si>
    <t>TOTAL</t>
  </si>
  <si>
    <t>HERRERA</t>
  </si>
  <si>
    <t>MONEO</t>
  </si>
  <si>
    <t>DOMINGUEZ</t>
  </si>
  <si>
    <t>PORCENTAJE  DE INCONSISTENCIA
VS RESULTADO TEORICO</t>
  </si>
  <si>
    <t>PORCENTAJE  DE INCONSISTENCIA
VS DEMAS JUECES OFICIALES</t>
  </si>
  <si>
    <t>ERRORES:</t>
  </si>
  <si>
    <t>ALARCON</t>
  </si>
  <si>
    <t>NAMEN</t>
  </si>
  <si>
    <t>FANUCCHI</t>
  </si>
  <si>
    <t>PORCENTAJE  DE INCONSISTENCIA
VS DEMAS JUECES REVISION</t>
  </si>
  <si>
    <t>BOPP</t>
  </si>
  <si>
    <t>VALERA</t>
  </si>
  <si>
    <t>IRUSTA</t>
  </si>
  <si>
    <t>ALANCAY</t>
  </si>
  <si>
    <t>IANOVSKY</t>
  </si>
  <si>
    <t>MAYORQUIM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</si>
</sst>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theme="0"/>
      <name val="Arial"/>
    </font>
    <font>
      <sz val="10"/>
      <name val="Arial"/>
    </font>
    <font>
      <b/>
      <sz val="14"/>
      <color theme="1"/>
      <name val="Arial"/>
    </font>
    <font>
      <b/>
      <sz val="11"/>
      <color theme="1"/>
      <name val="Arial"/>
    </font>
    <font>
      <b/>
      <sz val="12"/>
      <color theme="1"/>
      <name val="Arial"/>
    </font>
    <font>
      <b/>
      <sz val="16"/>
      <color theme="1"/>
      <name val="Arial"/>
    </font>
    <font>
      <b/>
      <sz val="36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E36C09"/>
        <bgColor rgb="FFE36C09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9" xfId="0" applyFont="1" applyBorder="1"/>
    <xf numFmtId="0" fontId="4" fillId="0" borderId="30" xfId="0" applyFont="1" applyBorder="1"/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0" borderId="1" xfId="0" applyFont="1" applyBorder="1"/>
    <xf numFmtId="0" fontId="4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2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6" fillId="4" borderId="6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5" xfId="0" applyFont="1" applyBorder="1"/>
    <xf numFmtId="0" fontId="4" fillId="5" borderId="3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 wrapText="1"/>
    </xf>
    <xf numFmtId="0" fontId="3" fillId="0" borderId="20" xfId="0" applyFont="1" applyBorder="1"/>
    <xf numFmtId="0" fontId="3" fillId="0" borderId="21" xfId="0" applyFont="1" applyBorder="1"/>
    <xf numFmtId="0" fontId="3" fillId="0" borderId="24" xfId="0" applyFont="1" applyBorder="1"/>
    <xf numFmtId="0" fontId="0" fillId="0" borderId="0" xfId="0" applyFont="1" applyAlignment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9" fontId="8" fillId="0" borderId="19" xfId="0" applyNumberFormat="1" applyFont="1" applyBorder="1" applyAlignment="1">
      <alignment horizontal="center" vertical="center"/>
    </xf>
    <xf numFmtId="9" fontId="8" fillId="0" borderId="1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5B8B7"/>
          <bgColor rgb="FFE5B8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000"/>
  <sheetViews>
    <sheetView workbookViewId="0"/>
  </sheetViews>
  <sheetFormatPr baseColWidth="10" defaultColWidth="12.6328125" defaultRowHeight="15" customHeight="1" x14ac:dyDescent="0.25"/>
  <cols>
    <col min="1" max="1" width="2" customWidth="1"/>
    <col min="2" max="26" width="10.6328125" customWidth="1"/>
  </cols>
  <sheetData>
    <row r="1" spans="2:4" ht="12.75" customHeight="1" x14ac:dyDescent="0.25"/>
    <row r="2" spans="2:4" ht="12.75" customHeight="1" x14ac:dyDescent="0.25">
      <c r="B2" s="1" t="s">
        <v>0</v>
      </c>
      <c r="C2" s="1" t="s">
        <v>1</v>
      </c>
      <c r="D2" s="1" t="s">
        <v>2</v>
      </c>
    </row>
    <row r="3" spans="2:4" ht="12.75" customHeight="1" x14ac:dyDescent="0.25">
      <c r="B3" s="2">
        <v>1</v>
      </c>
      <c r="C3" s="1">
        <v>9</v>
      </c>
      <c r="D3" s="1">
        <v>10</v>
      </c>
    </row>
    <row r="4" spans="2:4" ht="12.75" customHeight="1" x14ac:dyDescent="0.25">
      <c r="B4" s="1">
        <v>2</v>
      </c>
      <c r="C4" s="1">
        <v>10</v>
      </c>
      <c r="D4" s="1">
        <v>9</v>
      </c>
    </row>
    <row r="5" spans="2:4" ht="12.75" customHeight="1" x14ac:dyDescent="0.25">
      <c r="B5" s="1">
        <v>3</v>
      </c>
      <c r="C5" s="1">
        <v>9</v>
      </c>
      <c r="D5" s="1">
        <v>10</v>
      </c>
    </row>
    <row r="6" spans="2:4" ht="12.75" customHeight="1" x14ac:dyDescent="0.25">
      <c r="B6" s="1">
        <v>4</v>
      </c>
      <c r="C6" s="1">
        <v>9</v>
      </c>
      <c r="D6" s="1">
        <v>10</v>
      </c>
    </row>
    <row r="7" spans="2:4" ht="12.75" customHeight="1" x14ac:dyDescent="0.25">
      <c r="B7" s="1">
        <v>5</v>
      </c>
      <c r="C7" s="1">
        <v>9</v>
      </c>
      <c r="D7" s="1">
        <v>10</v>
      </c>
    </row>
    <row r="8" spans="2:4" ht="12.75" customHeight="1" x14ac:dyDescent="0.25">
      <c r="B8" s="1">
        <v>6</v>
      </c>
      <c r="C8" s="1">
        <v>9</v>
      </c>
      <c r="D8" s="1">
        <v>10</v>
      </c>
    </row>
    <row r="9" spans="2:4" ht="12.75" customHeight="1" x14ac:dyDescent="0.25">
      <c r="B9" s="1">
        <v>7</v>
      </c>
      <c r="C9" s="1">
        <v>9</v>
      </c>
      <c r="D9" s="1">
        <v>10</v>
      </c>
    </row>
    <row r="10" spans="2:4" ht="12.75" customHeight="1" x14ac:dyDescent="0.25">
      <c r="B10" s="1">
        <v>8</v>
      </c>
      <c r="C10" s="1">
        <v>9</v>
      </c>
      <c r="D10" s="1">
        <v>10</v>
      </c>
    </row>
    <row r="11" spans="2:4" ht="12.75" customHeight="1" x14ac:dyDescent="0.25">
      <c r="B11" s="1">
        <v>9</v>
      </c>
      <c r="C11" s="1"/>
      <c r="D11" s="1"/>
    </row>
    <row r="12" spans="2:4" ht="12.75" customHeight="1" x14ac:dyDescent="0.25">
      <c r="B12" s="1">
        <v>10</v>
      </c>
      <c r="C12" s="1"/>
      <c r="D12" s="1"/>
    </row>
    <row r="13" spans="2:4" ht="12.75" customHeight="1" x14ac:dyDescent="0.25">
      <c r="B13" s="1" t="s">
        <v>3</v>
      </c>
      <c r="C13" s="1">
        <f t="shared" ref="C13:D13" si="0">SUM(C3:C12)</f>
        <v>73</v>
      </c>
      <c r="D13" s="1">
        <f t="shared" si="0"/>
        <v>79</v>
      </c>
    </row>
    <row r="14" spans="2:4" ht="12.75" customHeight="1" x14ac:dyDescent="0.25"/>
    <row r="15" spans="2:4" ht="12.75" customHeight="1" x14ac:dyDescent="0.25"/>
    <row r="16" spans="2:4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00"/>
  <sheetViews>
    <sheetView workbookViewId="0">
      <selection activeCell="H6" sqref="H6"/>
    </sheetView>
  </sheetViews>
  <sheetFormatPr baseColWidth="10" defaultColWidth="12.6328125" defaultRowHeight="15" customHeight="1" x14ac:dyDescent="0.25"/>
  <cols>
    <col min="1" max="1" width="1.7265625" customWidth="1"/>
    <col min="2" max="2" width="6.90625" customWidth="1"/>
    <col min="3" max="3" width="16.26953125" customWidth="1"/>
    <col min="4" max="4" width="13.7265625" customWidth="1"/>
    <col min="5" max="5" width="2.7265625" customWidth="1"/>
    <col min="6" max="6" width="12.08984375" customWidth="1"/>
    <col min="7" max="7" width="15.08984375" customWidth="1"/>
    <col min="8" max="8" width="18" customWidth="1"/>
    <col min="9" max="9" width="2.90625" customWidth="1"/>
    <col min="10" max="10" width="15" customWidth="1"/>
    <col min="11" max="11" width="15.36328125" customWidth="1"/>
    <col min="12" max="12" width="3.7265625" customWidth="1"/>
    <col min="13" max="13" width="13.26953125" customWidth="1"/>
    <col min="14" max="17" width="3" customWidth="1"/>
    <col min="18" max="18" width="2.6328125" customWidth="1"/>
    <col min="19" max="23" width="3" customWidth="1"/>
    <col min="24" max="24" width="2.90625" customWidth="1"/>
    <col min="25" max="25" width="15" customWidth="1"/>
    <col min="26" max="35" width="3" customWidth="1"/>
  </cols>
  <sheetData>
    <row r="1" spans="1:35" ht="8.25" customHeight="1" x14ac:dyDescent="0.25">
      <c r="E1" s="3"/>
      <c r="F1" s="3"/>
    </row>
    <row r="2" spans="1:35" ht="21" customHeight="1" x14ac:dyDescent="0.25">
      <c r="E2" s="3"/>
      <c r="F2" s="35" t="s">
        <v>4</v>
      </c>
      <c r="G2" s="33"/>
      <c r="H2" s="34"/>
    </row>
    <row r="3" spans="1:35" ht="21.75" customHeight="1" x14ac:dyDescent="0.25">
      <c r="B3" s="36" t="s">
        <v>5</v>
      </c>
      <c r="C3" s="33"/>
      <c r="D3" s="34"/>
      <c r="E3" s="3"/>
      <c r="F3" s="4" t="s">
        <v>6</v>
      </c>
      <c r="G3" s="5" t="s">
        <v>7</v>
      </c>
      <c r="H3" s="5" t="s">
        <v>8</v>
      </c>
      <c r="J3" s="6" t="s">
        <v>9</v>
      </c>
      <c r="K3" s="6" t="s">
        <v>10</v>
      </c>
      <c r="N3" s="37" t="s">
        <v>11</v>
      </c>
      <c r="O3" s="38"/>
      <c r="P3" s="38"/>
      <c r="Q3" s="38"/>
      <c r="R3" s="38"/>
      <c r="S3" s="38"/>
      <c r="T3" s="38"/>
      <c r="U3" s="38"/>
      <c r="V3" s="38"/>
      <c r="W3" s="39"/>
      <c r="Z3" s="43" t="s">
        <v>12</v>
      </c>
      <c r="AA3" s="38"/>
      <c r="AB3" s="38"/>
      <c r="AC3" s="38"/>
      <c r="AD3" s="38"/>
      <c r="AE3" s="38"/>
      <c r="AF3" s="38"/>
      <c r="AG3" s="38"/>
      <c r="AH3" s="38"/>
      <c r="AI3" s="39"/>
    </row>
    <row r="4" spans="1:35" ht="21.75" customHeight="1" x14ac:dyDescent="0.25">
      <c r="A4" s="3"/>
      <c r="B4" s="32" t="s">
        <v>13</v>
      </c>
      <c r="C4" s="34"/>
      <c r="D4" s="7">
        <f>'JUEZ 1'!B4+'JUEZ 2'!B4+'JUEZ 3'!B4+'JUEZ 4'!B4+'JUEZ 5'!B4+'JUEZ 6'!B4+'JUEZ 7'!B4+'JUEZ 8'!B4+'JUEZ 9'!B4+'JUEZ 10'!B4+'JUEZ 11'!B4</f>
        <v>11</v>
      </c>
      <c r="E4" s="3"/>
      <c r="F4" s="7">
        <v>1</v>
      </c>
      <c r="G4" s="7">
        <v>10</v>
      </c>
      <c r="H4" s="7">
        <v>9</v>
      </c>
      <c r="J4" s="8">
        <f>COUNTIFS('JUEZ 1'!B:B,F4,'JUEZ 1'!G:G,"error") + COUNTIFS('JUEZ 2'!B:B,F4,'JUEZ 2'!G:G,"error") + COUNTIFS('JUEZ 3'!B:B,F4,'JUEZ 3'!G:G,"error") + COUNTIFS('JUEZ 4'!B:B,F4,'JUEZ 4'!G:G,"error") + COUNTIFS('JUEZ 5'!B:B,F4,'JUEZ 5'!G:G,"error") + COUNTIFS('JUEZ 6'!B:B,F4,'JUEZ 6'!G:G,"error") + COUNTIFS('JUEZ 7'!B:B,F4,'JUEZ 7'!G:G,"error") + COUNTIFS('JUEZ 8'!B:B,F4,'JUEZ 8'!G:G,"error")+ COUNTIFS('JUEZ 9'!B:B,F4,'JUEZ 9'!G:G,"error")+ COUNTIFS('JUEZ 10'!B:B,F4,'JUEZ 10'!G:G,"error")+ COUNTIFS('JUEZ 11'!B:B,F4,'JUEZ 11'!G:G,"error")</f>
        <v>0</v>
      </c>
      <c r="K4" s="8">
        <f>COUNTIFS('JUEZ 1'!B:B,F4,'JUEZ 1'!G:G,"OK") + COUNTIFS('JUEZ 2'!B:B,F4,'JUEZ 2'!G:G,"OK") + COUNTIFS('JUEZ 3'!B:B,F4,'JUEZ 3'!G:G,"OK") + COUNTIFS('JUEZ 4'!B:B,F4,'JUEZ 4'!G:G,"OK") + COUNTIFS('JUEZ 5'!B:B,F4,'JUEZ 5'!G:G,"OK") + COUNTIFS('JUEZ 6'!B:B,F4,'JUEZ 6'!G:G,"OK") + COUNTIFS('JUEZ 7'!B:B,F4,'JUEZ 7'!G:G,"OK") + COUNTIFS('JUEZ 8'!B:B,F4,'JUEZ 8'!G:G,"OK")+ COUNTIFS('JUEZ 9'!B:B,F4,'JUEZ 9'!G:G,"OK") + COUNTIFS('JUEZ 10'!B:B,F4,'JUEZ 10'!G:G,"OK") + COUNTIFS('JUEZ 11'!B:B,F4,'JUEZ 11'!G:G,"OK")</f>
        <v>11</v>
      </c>
      <c r="L4" s="9"/>
      <c r="N4" s="40"/>
      <c r="O4" s="41"/>
      <c r="P4" s="41"/>
      <c r="Q4" s="41"/>
      <c r="R4" s="41"/>
      <c r="S4" s="41"/>
      <c r="T4" s="41"/>
      <c r="U4" s="41"/>
      <c r="V4" s="41"/>
      <c r="W4" s="42"/>
      <c r="Z4" s="40"/>
      <c r="AA4" s="41"/>
      <c r="AB4" s="41"/>
      <c r="AC4" s="41"/>
      <c r="AD4" s="41"/>
      <c r="AE4" s="41"/>
      <c r="AF4" s="41"/>
      <c r="AG4" s="41"/>
      <c r="AH4" s="41"/>
      <c r="AI4" s="42"/>
    </row>
    <row r="5" spans="1:35" ht="21.75" customHeight="1" x14ac:dyDescent="0.25">
      <c r="A5" s="3"/>
      <c r="B5" s="32" t="s">
        <v>14</v>
      </c>
      <c r="C5" s="34"/>
      <c r="D5" s="7">
        <f>COUNTA(G4:G13)</f>
        <v>10</v>
      </c>
      <c r="E5" s="3"/>
      <c r="F5" s="7">
        <v>2</v>
      </c>
      <c r="G5" s="7">
        <v>10</v>
      </c>
      <c r="H5" s="7">
        <v>9</v>
      </c>
      <c r="J5" s="8">
        <f>COUNTIFS('JUEZ 1'!B:B,F5,'JUEZ 1'!G:G,"error") + COUNTIFS('JUEZ 2'!B:B,F5,'JUEZ 2'!G:G,"error") + COUNTIFS('JUEZ 3'!B:B,F5,'JUEZ 3'!G:G,"error") + COUNTIFS('JUEZ 4'!B:B,F5,'JUEZ 4'!G:G,"error") + COUNTIFS('JUEZ 5'!B:B,F5,'JUEZ 5'!G:G,"error") + COUNTIFS('JUEZ 6'!B:B,F5,'JUEZ 6'!G:G,"error") + COUNTIFS('JUEZ 7'!B:B,F5,'JUEZ 7'!G:G,"error") + COUNTIFS('JUEZ 8'!B:B,F5,'JUEZ 8'!G:G,"error")+ COUNTIFS('JUEZ 9'!B:B,F5,'JUEZ 9'!G:G,"error")+ COUNTIFS('JUEZ 10'!B:B,F5,'JUEZ 10'!G:G,"error")+ COUNTIFS('JUEZ 11'!B:B,F5,'JUEZ 11'!G:G,"error")</f>
        <v>0</v>
      </c>
      <c r="K5" s="8">
        <f>COUNTIFS('JUEZ 1'!B:B,F5,'JUEZ 1'!G:G,"OK") + COUNTIFS('JUEZ 2'!B:B,F5,'JUEZ 2'!G:G,"OK") + COUNTIFS('JUEZ 3'!B:B,F5,'JUEZ 3'!G:G,"OK") + COUNTIFS('JUEZ 4'!B:B,F5,'JUEZ 4'!G:G,"OK") + COUNTIFS('JUEZ 5'!B:B,F5,'JUEZ 5'!G:G,"OK") + COUNTIFS('JUEZ 6'!B:B,F5,'JUEZ 6'!G:G,"OK") + COUNTIFS('JUEZ 7'!B:B,F5,'JUEZ 7'!G:G,"OK") + COUNTIFS('JUEZ 8'!B:B,F5,'JUEZ 8'!G:G,"OK")+ COUNTIFS('JUEZ 9'!B:B,F5,'JUEZ 9'!G:G,"OK") + COUNTIFS('JUEZ 10'!B:B,F5,'JUEZ 10'!G:G,"OK") + COUNTIFS('JUEZ 11'!B:B,F5,'JUEZ 11'!G:G,"OK")</f>
        <v>11</v>
      </c>
      <c r="L5" s="9"/>
      <c r="M5" s="10" t="str">
        <f>G3</f>
        <v>MANZUR</v>
      </c>
      <c r="N5" s="10">
        <f>IF(AND('JUEZ 1'!C4=10,'JUEZ 2'!C4=10,'JUEZ 3'!C4=10),B17,"")</f>
        <v>1</v>
      </c>
      <c r="O5" s="10">
        <f>IF(AND('JUEZ 1'!C5=10,'JUEZ 2'!C5=10,'JUEZ 3'!C5=10),B18,"")</f>
        <v>2</v>
      </c>
      <c r="P5" s="10">
        <f>IF(AND('JUEZ 1'!C6=10,'JUEZ 2'!C6=10,'JUEZ 3'!C6=10),B19,"")</f>
        <v>3</v>
      </c>
      <c r="Q5" s="10" t="str">
        <f>IF(AND('JUEZ 1'!C7=10,'JUEZ 2'!C7=10,'JUEZ 3'!C7=10),B20,"")</f>
        <v/>
      </c>
      <c r="R5" s="10" t="str">
        <f>IF(AND('JUEZ 1'!C8=10,'JUEZ 2'!C8=10,'JUEZ 3'!C8=10),B21,"")</f>
        <v/>
      </c>
      <c r="S5" s="10">
        <f>IF(AND('JUEZ 1'!C9=10,'JUEZ 2'!C9=10,'JUEZ 3'!C9=10),B22,"")</f>
        <v>6</v>
      </c>
      <c r="T5" s="10">
        <f>IF(AND('JUEZ 1'!C10=10,'JUEZ 2'!C10=10,'JUEZ 3'!C10=10),B23,"")</f>
        <v>7</v>
      </c>
      <c r="U5" s="11">
        <f>IF(AND('JUEZ 1'!C11=10,'JUEZ 2'!C11=10,'JUEZ 3'!C11=10),B24,"")</f>
        <v>8</v>
      </c>
      <c r="V5" s="11" t="str">
        <f>IF(AND('JUEZ 1'!C12=10,'JUEZ 2'!C12=10,'JUEZ 3'!C12=10),B25,"")</f>
        <v/>
      </c>
      <c r="W5" s="11">
        <f>IF(AND('JUEZ 1'!C13=10,'JUEZ 2'!C13=10,'JUEZ 3'!C13=10),B26,"")</f>
        <v>10</v>
      </c>
      <c r="X5" s="12"/>
      <c r="Y5" s="10" t="str">
        <f>G3</f>
        <v>MANZUR</v>
      </c>
      <c r="Z5" s="10">
        <f>IF(AND('JUEZ 4'!C4=10,'JUEZ 5'!C4=10,'JUEZ 6'!C4=10,'JUEZ 7'!C4=10,'JUEZ 8'!C4=10,'JUEZ 9'!C4=10,'JUEZ 10'!C4=10,'JUEZ 11'!C4=10),B17,"")</f>
        <v>1</v>
      </c>
      <c r="AA5" s="10">
        <f>IF(AND('JUEZ 4'!C5=10,'JUEZ 5'!C5=10,'JUEZ 6'!C5=10,'JUEZ 7'!C5=10,'JUEZ 8'!C5=10,'JUEZ 9'!C5=10,'JUEZ 10'!C5=10,'JUEZ 11'!C5=10),B18,"")</f>
        <v>2</v>
      </c>
      <c r="AB5" s="10">
        <f>IF(AND('JUEZ 4'!C6=10,'JUEZ 5'!C6=10,'JUEZ 6'!C6=10,'JUEZ 7'!C6=10,'JUEZ 8'!C6=10,'JUEZ 9'!C6=10,'JUEZ 10'!C6=10,'JUEZ 11'!C6=10),B19,"")</f>
        <v>3</v>
      </c>
      <c r="AC5" s="10" t="str">
        <f>IF(AND('JUEZ 4'!C7=10,'JUEZ 5'!C7=10,'JUEZ 6'!C7=10,'JUEZ 7'!C7=10,'JUEZ 8'!C7=10,'JUEZ 9'!C7=10,'JUEZ 10'!C7=10,'JUEZ 11'!C7=10),B20,"")</f>
        <v/>
      </c>
      <c r="AD5" s="10" t="str">
        <f>IF(AND('JUEZ 4'!C8=10,'JUEZ 5'!C8=10,'JUEZ 6'!C8=10,'JUEZ 7'!C8=10,'JUEZ 8'!C8=10,'JUEZ 9'!C8=10,'JUEZ 10'!C8=10,'JUEZ 11'!C8=10),B21,"")</f>
        <v/>
      </c>
      <c r="AE5" s="10">
        <f>IF(AND('JUEZ 4'!C9=10,'JUEZ 5'!C9=10,'JUEZ 6'!C9=10,'JUEZ 7'!C9=10,'JUEZ 8'!C9=10,'JUEZ 9'!C9=10,'JUEZ 10'!C9=10,'JUEZ 11'!C9=10),B22,"")</f>
        <v>6</v>
      </c>
      <c r="AF5" s="10">
        <f>IF(AND('JUEZ 4'!C10=10,'JUEZ 5'!C10=10,'JUEZ 6'!C10=10,'JUEZ 7'!C10=10,'JUEZ 8'!C10=10,'JUEZ 9'!C10=10,'JUEZ 10'!C10=10,'JUEZ 11'!C10=10),B23,"")</f>
        <v>7</v>
      </c>
      <c r="AG5" s="11">
        <f>IF(AND('JUEZ 4'!C11=10,'JUEZ 5'!C11=10,'JUEZ 6'!C11=10,'JUEZ 7'!C11=10,'JUEZ 8'!C11=10,'JUEZ 9'!C11=10,'JUEZ 10'!C11=10,'JUEZ 11'!C11=10),B24,"")</f>
        <v>8</v>
      </c>
      <c r="AH5" s="11" t="str">
        <f>IF(AND('JUEZ 4'!C12=10,'JUEZ 5'!C12=10,'JUEZ 6'!C12=10,'JUEZ 7'!C12=10,'JUEZ 8'!C12=10,'JUEZ 9'!C12=10,'JUEZ 10'!C12=10,'JUEZ 11'!C12=10),B25,"")</f>
        <v/>
      </c>
      <c r="AI5" s="11">
        <f>IF(AND('JUEZ 4'!C13=10,'JUEZ 5'!C13=10,'JUEZ 6'!C13=10,'JUEZ 7'!C13=10,'JUEZ 8'!C13=10,'JUEZ 9'!C13=10,'JUEZ 10'!C13=10,'JUEZ 11'!C13=10),B26,"")</f>
        <v>10</v>
      </c>
    </row>
    <row r="6" spans="1:35" ht="21.75" customHeight="1" x14ac:dyDescent="0.25">
      <c r="A6" s="3"/>
      <c r="B6" s="32" t="s">
        <v>15</v>
      </c>
      <c r="C6" s="34"/>
      <c r="D6" s="7">
        <f>COUNTIF('JUEZ 1'!G4:G13,"OK") + COUNTIF('JUEZ 2'!G4:G13,"OK") + COUNTIF('JUEZ 3'!G4:G13,"OK") + COUNTIF('JUEZ 4'!G4:G13,"OK") + COUNTIF('JUEZ 5'!G4:G13,"OK") + COUNTIF('JUEZ 6'!G4:G13,"OK") + COUNTIF('JUEZ 7'!G4:G13,"OK") + COUNTIF('JUEZ 8'!G4:G13,"OK")+ COUNTIF('JUEZ 9'!G4:G13,"OK")+ COUNTIF('JUEZ 10'!G4:G13,"OK")+ COUNTIF('JUEZ 11'!G4:G13,"OK")</f>
        <v>102</v>
      </c>
      <c r="E6" s="3"/>
      <c r="F6" s="7">
        <v>3</v>
      </c>
      <c r="G6" s="7">
        <v>10</v>
      </c>
      <c r="H6" s="7">
        <v>9</v>
      </c>
      <c r="J6" s="8">
        <f>COUNTIFS('JUEZ 1'!B:B,F6,'JUEZ 1'!G:G,"error") + COUNTIFS('JUEZ 2'!B:B,F6,'JUEZ 2'!G:G,"error") + COUNTIFS('JUEZ 3'!B:B,F6,'JUEZ 3'!G:G,"error") + COUNTIFS('JUEZ 4'!B:B,F6,'JUEZ 4'!G:G,"error") + COUNTIFS('JUEZ 5'!B:B,F6,'JUEZ 5'!G:G,"error") + COUNTIFS('JUEZ 6'!B:B,F6,'JUEZ 6'!G:G,"error") + COUNTIFS('JUEZ 7'!B:B,F6,'JUEZ 7'!G:G,"error") + COUNTIFS('JUEZ 8'!B:B,F6,'JUEZ 8'!G:G,"error")+ COUNTIFS('JUEZ 9'!B:B,F6,'JUEZ 9'!G:G,"error")+ COUNTIFS('JUEZ 10'!B:B,F6,'JUEZ 10'!G:G,"error")+ COUNTIFS('JUEZ 11'!B:B,F6,'JUEZ 11'!G:G,"error")</f>
        <v>0</v>
      </c>
      <c r="K6" s="8">
        <f>COUNTIFS('JUEZ 1'!B:B,F6,'JUEZ 1'!G:G,"OK") + COUNTIFS('JUEZ 2'!B:B,F6,'JUEZ 2'!G:G,"OK") + COUNTIFS('JUEZ 3'!B:B,F6,'JUEZ 3'!G:G,"OK") + COUNTIFS('JUEZ 4'!B:B,F6,'JUEZ 4'!G:G,"OK") + COUNTIFS('JUEZ 5'!B:B,F6,'JUEZ 5'!G:G,"OK") + COUNTIFS('JUEZ 6'!B:B,F6,'JUEZ 6'!G:G,"OK") + COUNTIFS('JUEZ 7'!B:B,F6,'JUEZ 7'!G:G,"OK") + COUNTIFS('JUEZ 8'!B:B,F6,'JUEZ 8'!G:G,"OK")+ COUNTIFS('JUEZ 9'!B:B,F6,'JUEZ 9'!G:G,"OK") + COUNTIFS('JUEZ 10'!B:B,F6,'JUEZ 10'!G:G,"OK") + COUNTIFS('JUEZ 11'!B:B,F6,'JUEZ 11'!G:G,"OK")</f>
        <v>11</v>
      </c>
      <c r="L6" s="9"/>
      <c r="M6" s="10" t="str">
        <f>H3</f>
        <v>ERLIN</v>
      </c>
      <c r="N6" s="10" t="str">
        <f>IF(AND('JUEZ 1'!D4=10,'JUEZ 2'!D4=10,'JUEZ 3'!D4=10),B17,"")</f>
        <v/>
      </c>
      <c r="O6" s="10" t="str">
        <f>IF(AND('JUEZ 1'!D5=10,'JUEZ 2'!D5=10,'JUEZ 3'!D5=10),B18,"")</f>
        <v/>
      </c>
      <c r="P6" s="10" t="str">
        <f>IF(AND('JUEZ 1'!D6=10,'JUEZ 2'!D6=10,'JUEZ 3'!D6=10),B19,"")</f>
        <v/>
      </c>
      <c r="Q6" s="10" t="str">
        <f>IF(AND('JUEZ 1'!D7=10,'JUEZ 2'!D7=10,'JUEZ 3'!D7=10),B20,"")</f>
        <v/>
      </c>
      <c r="R6" s="10" t="str">
        <f>IF(AND('JUEZ 1'!D8=10,'JUEZ 2'!D8=10,'JUEZ 3'!D8=10),B21,"")</f>
        <v/>
      </c>
      <c r="S6" s="10" t="str">
        <f>IF(AND('JUEZ 1'!D9=10,'JUEZ 2'!D9=10,'JUEZ 3'!D9=10),B22,"")</f>
        <v/>
      </c>
      <c r="T6" s="10" t="str">
        <f>IF(AND('JUEZ 1'!D10=10,'JUEZ 2'!D10=10,'JUEZ 3'!D10=10),B23,"")</f>
        <v/>
      </c>
      <c r="U6" s="11" t="str">
        <f>IF(AND('JUEZ 1'!D11=10,'JUEZ 2'!D11=10,'JUEZ 3'!D11=10),B24,"")</f>
        <v/>
      </c>
      <c r="V6" s="11" t="str">
        <f>IF(AND('JUEZ 1'!D12=10,'JUEZ 2'!D12=10,'JUEZ 3'!D12=10),B25,"")</f>
        <v/>
      </c>
      <c r="W6" s="11" t="str">
        <f>IF(AND('JUEZ 1'!D13=10,'JUEZ 2'!D13=10,'JUEZ 3'!D13=10),B26,"")</f>
        <v/>
      </c>
      <c r="Y6" s="10" t="str">
        <f>H3</f>
        <v>ERLIN</v>
      </c>
      <c r="Z6" s="10" t="str">
        <f>IF(AND('JUEZ 4'!D4=10,'JUEZ 5'!D4=10,'JUEZ 6'!D4=10,'JUEZ 7'!D4=10,'JUEZ 8'!D4=10,'JUEZ 9'!D4=10,'JUEZ 10'!D4=10,'JUEZ 11'!D4=10),B17,"")</f>
        <v/>
      </c>
      <c r="AA6" s="10" t="str">
        <f>IF(AND('JUEZ 4'!D5=10,'JUEZ 5'!D5=10,'JUEZ 6'!D5=10,'JUEZ 7'!D5=10,'JUEZ 8'!D5=10,'JUEZ 9'!D5=10,'JUEZ 10'!D5=10,'JUEZ 11'!D5=10),B18,"")</f>
        <v/>
      </c>
      <c r="AB6" s="10" t="str">
        <f>IF(AND('JUEZ 4'!D6=10,'JUEZ 5'!D6=10,'JUEZ 6'!D6=10,'JUEZ 7'!D6=10,'JUEZ 8'!D6=10,'JUEZ 9'!D6=10,'JUEZ 10'!D6=10,'JUEZ 11'!D6=10),B19,"")</f>
        <v/>
      </c>
      <c r="AC6" s="10" t="str">
        <f>IF(AND('JUEZ 4'!D7=10,'JUEZ 5'!D7=10,'JUEZ 6'!D7=10,'JUEZ 7'!D7=10,'JUEZ 8'!D7=10,'JUEZ 9'!D7=10,'JUEZ 10'!D7=10,'JUEZ 11'!D7=10),B20,"")</f>
        <v/>
      </c>
      <c r="AD6" s="10" t="str">
        <f>IF(AND('JUEZ 4'!D8=10,'JUEZ 5'!D8=10,'JUEZ 6'!D8=10,'JUEZ 7'!D8=10,'JUEZ 8'!D8=10,'JUEZ 9'!D8=10,'JUEZ 10'!D8=10,'JUEZ 11'!D8=10),B21,"")</f>
        <v/>
      </c>
      <c r="AE6" s="10" t="str">
        <f>IF(AND('JUEZ 4'!D9=10,'JUEZ 5'!D9=10,'JUEZ 6'!D9=10,'JUEZ 7'!D9=10,'JUEZ 8'!D9=10,'JUEZ 9'!D9=10,'JUEZ 10'!D9=10,'JUEZ 11'!D9=10),B22,"")</f>
        <v/>
      </c>
      <c r="AF6" s="10" t="str">
        <f>IF(AND('JUEZ 4'!D10=10,'JUEZ 5'!D10=10,'JUEZ 6'!D10=10,'JUEZ 7'!D10=10,'JUEZ 8'!D10=10,'JUEZ 9'!D10=10,'JUEZ 10'!D10=10,'JUEZ 11'!D10=10),B23,"")</f>
        <v/>
      </c>
      <c r="AG6" s="10" t="str">
        <f>IF(AND('JUEZ 4'!D11=10,'JUEZ 5'!D11=10,'JUEZ 6'!D11=10,'JUEZ 7'!D11=10,'JUEZ 8'!D11=10,'JUEZ 9'!D11=10,'JUEZ 10'!D11=10,'JUEZ 11'!D11=10),B24,"")</f>
        <v/>
      </c>
      <c r="AH6" s="10" t="str">
        <f>IF(AND('JUEZ 4'!D12=10,'JUEZ 5'!D12=10,'JUEZ 6'!D12=10,'JUEZ 7'!D12=10,'JUEZ 8'!D12=10,'JUEZ 9'!D12=10,'JUEZ 10'!D12=10,'JUEZ 11'!D12=10),B25,"")</f>
        <v/>
      </c>
      <c r="AI6" s="10" t="str">
        <f>IF(AND('JUEZ 4'!D13=10,'JUEZ 5'!D13=10,'JUEZ 6'!D13=10,'JUEZ 7'!D13=10,'JUEZ 8'!D13=10,'JUEZ 9'!D13=10,'JUEZ 10'!D13=10,'JUEZ 11'!D13=10),B26,"")</f>
        <v/>
      </c>
    </row>
    <row r="7" spans="1:35" ht="21.75" customHeight="1" x14ac:dyDescent="0.25">
      <c r="A7" s="3"/>
      <c r="B7" s="32" t="s">
        <v>16</v>
      </c>
      <c r="C7" s="34"/>
      <c r="D7" s="7">
        <f>COUNTIF('JUEZ 1'!G4:G13,"ERROR") + COUNTIF('JUEZ 2'!G4:G13,"ERROR") + COUNTIF('JUEZ 3'!G4:G13,"ERROR") + COUNTIF('JUEZ 4'!G4:G13,"ERROR") + COUNTIF('JUEZ 5'!G4:G13,"ERROR") + COUNTIF('JUEZ 6'!G4:G13,"ERROR") + COUNTIF('JUEZ 7'!G4:G13,"ERROR") + COUNTIF('JUEZ 8'!G4:G13,"ERROR")+ COUNTIF('JUEZ 9'!G4:G13,"ERROR")+ COUNTIF('JUEZ 10'!G4:G13,"ERROR")+ COUNTIF('JUEZ 11'!G4:G13,"ERROR")</f>
        <v>8</v>
      </c>
      <c r="E7" s="3"/>
      <c r="F7" s="7">
        <v>4</v>
      </c>
      <c r="G7" s="7">
        <v>9</v>
      </c>
      <c r="H7" s="7">
        <v>10</v>
      </c>
      <c r="J7" s="8">
        <f>COUNTIFS('JUEZ 1'!B:B,F7,'JUEZ 1'!G:G,"error") + COUNTIFS('JUEZ 2'!B:B,F7,'JUEZ 2'!G:G,"error") + COUNTIFS('JUEZ 3'!B:B,F7,'JUEZ 3'!G:G,"error") + COUNTIFS('JUEZ 4'!B:B,F7,'JUEZ 4'!G:G,"error") + COUNTIFS('JUEZ 5'!B:B,F7,'JUEZ 5'!G:G,"error") + COUNTIFS('JUEZ 6'!B:B,F7,'JUEZ 6'!G:G,"error") + COUNTIFS('JUEZ 7'!B:B,F7,'JUEZ 7'!G:G,"error") + COUNTIFS('JUEZ 8'!B:B,F7,'JUEZ 8'!G:G,"error")+ COUNTIFS('JUEZ 9'!B:B,F7,'JUEZ 9'!G:G,"error")+ COUNTIFS('JUEZ 10'!B:B,F7,'JUEZ 10'!G:G,"error")+ COUNTIFS('JUEZ 11'!B:B,F7,'JUEZ 11'!G:G,"error")</f>
        <v>3</v>
      </c>
      <c r="K7" s="8">
        <f>COUNTIFS('JUEZ 1'!B:B,F7,'JUEZ 1'!G:G,"OK") + COUNTIFS('JUEZ 2'!B:B,F7,'JUEZ 2'!G:G,"OK") + COUNTIFS('JUEZ 3'!B:B,F7,'JUEZ 3'!G:G,"OK") + COUNTIFS('JUEZ 4'!B:B,F7,'JUEZ 4'!G:G,"OK") + COUNTIFS('JUEZ 5'!B:B,F7,'JUEZ 5'!G:G,"OK") + COUNTIFS('JUEZ 6'!B:B,F7,'JUEZ 6'!G:G,"OK") + COUNTIFS('JUEZ 7'!B:B,F7,'JUEZ 7'!G:G,"OK") + COUNTIFS('JUEZ 8'!B:B,F7,'JUEZ 8'!G:G,"OK")+ COUNTIFS('JUEZ 9'!B:B,F7,'JUEZ 9'!G:G,"OK") + COUNTIFS('JUEZ 10'!B:B,F7,'JUEZ 10'!G:G,"OK") + COUNTIFS('JUEZ 11'!B:B,F7,'JUEZ 11'!G:G,"OK")</f>
        <v>8</v>
      </c>
      <c r="L7" s="9"/>
    </row>
    <row r="8" spans="1:35" ht="21.75" customHeight="1" x14ac:dyDescent="0.25">
      <c r="A8" s="3"/>
      <c r="B8" s="32" t="s">
        <v>17</v>
      </c>
      <c r="C8" s="34"/>
      <c r="D8" s="7">
        <f>COUNTIF('JUEZ 1'!G4:G14,"OKPELEA") + COUNTIF('JUEZ 2'!G4:G14,"OKPELEA") + COUNTIF('JUEZ 3'!G4:G14,"OKPELEA")  + COUNTIF('JUEZ 4'!G4:G14,"OKPELEA") + COUNTIF('JUEZ 5'!G4:G14,"OKPELEA") + COUNTIF('JUEZ 6'!G4:G14,"OKPELEA") + COUNTIF('JUEZ 7'!G4:G14,"OKPELEA") + COUNTIF('JUEZ 8'!G4:G14,"OKPELEA") + COUNTIF('JUEZ 9'!G4:G14,"OKPELEA") + COUNTIF('JUEZ 10'!G4:G14,"OKPELEA")+ COUNTIF('JUEZ 11'!G4:G14,"OKPELEA")</f>
        <v>6</v>
      </c>
      <c r="E8" s="3"/>
      <c r="F8" s="7">
        <v>5</v>
      </c>
      <c r="G8" s="7">
        <v>9</v>
      </c>
      <c r="H8" s="7">
        <v>10</v>
      </c>
      <c r="J8" s="8">
        <f>COUNTIFS('JUEZ 1'!B:B,F8,'JUEZ 1'!G:G,"error") + COUNTIFS('JUEZ 2'!B:B,F8,'JUEZ 2'!G:G,"error") + COUNTIFS('JUEZ 3'!B:B,F8,'JUEZ 3'!G:G,"error") + COUNTIFS('JUEZ 4'!B:B,F8,'JUEZ 4'!G:G,"error") + COUNTIFS('JUEZ 5'!B:B,F8,'JUEZ 5'!G:G,"error") + COUNTIFS('JUEZ 6'!B:B,F8,'JUEZ 6'!G:G,"error") + COUNTIFS('JUEZ 7'!B:B,F8,'JUEZ 7'!G:G,"error") + COUNTIFS('JUEZ 8'!B:B,F8,'JUEZ 8'!G:G,"error")+ COUNTIFS('JUEZ 9'!B:B,F8,'JUEZ 9'!G:G,"error")+ COUNTIFS('JUEZ 10'!B:B,F8,'JUEZ 10'!G:G,"error")+ COUNTIFS('JUEZ 11'!B:B,F8,'JUEZ 11'!G:G,"error")</f>
        <v>3</v>
      </c>
      <c r="K8" s="8">
        <f>COUNTIFS('JUEZ 1'!B:B,F8,'JUEZ 1'!G:G,"OK") + COUNTIFS('JUEZ 2'!B:B,F8,'JUEZ 2'!G:G,"OK") + COUNTIFS('JUEZ 3'!B:B,F8,'JUEZ 3'!G:G,"OK") + COUNTIFS('JUEZ 4'!B:B,F8,'JUEZ 4'!G:G,"OK") + COUNTIFS('JUEZ 5'!B:B,F8,'JUEZ 5'!G:G,"OK") + COUNTIFS('JUEZ 6'!B:B,F8,'JUEZ 6'!G:G,"OK") + COUNTIFS('JUEZ 7'!B:B,F8,'JUEZ 7'!G:G,"OK") + COUNTIFS('JUEZ 8'!B:B,F8,'JUEZ 8'!G:G,"OK")+ COUNTIFS('JUEZ 9'!B:B,F8,'JUEZ 9'!G:G,"OK") + COUNTIFS('JUEZ 10'!B:B,F8,'JUEZ 10'!G:G,"OK") + COUNTIFS('JUEZ 11'!B:B,F8,'JUEZ 11'!G:G,"OK")</f>
        <v>8</v>
      </c>
      <c r="L8" s="9"/>
      <c r="N8" s="37" t="s">
        <v>18</v>
      </c>
      <c r="O8" s="38"/>
      <c r="P8" s="38"/>
      <c r="Q8" s="38"/>
      <c r="R8" s="38"/>
      <c r="S8" s="38"/>
      <c r="T8" s="38"/>
      <c r="U8" s="38"/>
      <c r="V8" s="38"/>
      <c r="W8" s="39"/>
      <c r="Z8" s="37" t="s">
        <v>19</v>
      </c>
      <c r="AA8" s="38"/>
      <c r="AB8" s="38"/>
      <c r="AC8" s="38"/>
      <c r="AD8" s="38"/>
      <c r="AE8" s="38"/>
      <c r="AF8" s="38"/>
      <c r="AG8" s="38"/>
      <c r="AH8" s="38"/>
      <c r="AI8" s="39"/>
    </row>
    <row r="9" spans="1:35" ht="21.75" customHeight="1" x14ac:dyDescent="0.25">
      <c r="A9" s="3"/>
      <c r="B9" s="32" t="s">
        <v>20</v>
      </c>
      <c r="C9" s="34"/>
      <c r="D9" s="7">
        <f>COUNTIF('JUEZ 1'!G4:G14,"ERRORPELEA") + COUNTIF('JUEZ 2'!G4:G14,"ERRORPELEA") + COUNTIF('JUEZ 3'!G4:G14,"ERRORPELEA") + COUNTIF('JUEZ 4'!G4:G14,"ERRORPELEA") + COUNTIF('JUEZ 5'!G4:G14,"ERRORPELEA") + COUNTIF('JUEZ 6'!G4:G14,"ERRORPELEA") + COUNTIF('JUEZ 7'!G4:G14,"ERRORPELEA") + COUNTIF('JUEZ 8'!G4:G14,"ERRORPELEA") + COUNTIF('JUEZ 9'!G4:G14,"ERRORPELEA") + COUNTIF('JUEZ 10'!G4:G14,"ERRORPELEA")+ COUNTIF('JUEZ 11'!G4:G14,"ERRORPELEA")</f>
        <v>5</v>
      </c>
      <c r="E9" s="3"/>
      <c r="F9" s="7">
        <v>6</v>
      </c>
      <c r="G9" s="13">
        <v>10</v>
      </c>
      <c r="H9" s="13">
        <v>9</v>
      </c>
      <c r="J9" s="8">
        <f>COUNTIFS('JUEZ 1'!B:B,F9,'JUEZ 1'!G:G,"error") + COUNTIFS('JUEZ 2'!B:B,F9,'JUEZ 2'!G:G,"error") + COUNTIFS('JUEZ 3'!B:B,F9,'JUEZ 3'!G:G,"error") + COUNTIFS('JUEZ 4'!B:B,F9,'JUEZ 4'!G:G,"error") + COUNTIFS('JUEZ 5'!B:B,F9,'JUEZ 5'!G:G,"error") + COUNTIFS('JUEZ 6'!B:B,F9,'JUEZ 6'!G:G,"error") + COUNTIFS('JUEZ 7'!B:B,F9,'JUEZ 7'!G:G,"error") + COUNTIFS('JUEZ 8'!B:B,F9,'JUEZ 8'!G:G,"error")+ COUNTIFS('JUEZ 9'!B:B,F9,'JUEZ 9'!G:G,"error")+ COUNTIFS('JUEZ 10'!B:B,F9,'JUEZ 10'!G:G,"error")+ COUNTIFS('JUEZ 11'!B:B,F9,'JUEZ 11'!G:G,"error")</f>
        <v>0</v>
      </c>
      <c r="K9" s="8">
        <f>COUNTIFS('JUEZ 1'!B:B,F9,'JUEZ 1'!G:G,"OK") + COUNTIFS('JUEZ 2'!B:B,F9,'JUEZ 2'!G:G,"OK") + COUNTIFS('JUEZ 3'!B:B,F9,'JUEZ 3'!G:G,"OK") + COUNTIFS('JUEZ 4'!B:B,F9,'JUEZ 4'!G:G,"OK") + COUNTIFS('JUEZ 5'!B:B,F9,'JUEZ 5'!G:G,"OK") + COUNTIFS('JUEZ 6'!B:B,F9,'JUEZ 6'!G:G,"OK") + COUNTIFS('JUEZ 7'!B:B,F9,'JUEZ 7'!G:G,"OK") + COUNTIFS('JUEZ 8'!B:B,F9,'JUEZ 8'!G:G,"OK")+ COUNTIFS('JUEZ 9'!B:B,F9,'JUEZ 9'!G:G,"OK") + COUNTIFS('JUEZ 10'!B:B,F9,'JUEZ 10'!G:G,"OK") + COUNTIFS('JUEZ 11'!B:B,F9,'JUEZ 11'!G:G,"OK")</f>
        <v>11</v>
      </c>
      <c r="L9" s="9"/>
      <c r="N9" s="40"/>
      <c r="O9" s="41"/>
      <c r="P9" s="41"/>
      <c r="Q9" s="41"/>
      <c r="R9" s="41"/>
      <c r="S9" s="41"/>
      <c r="T9" s="41"/>
      <c r="U9" s="41"/>
      <c r="V9" s="41"/>
      <c r="W9" s="42"/>
      <c r="Z9" s="40"/>
      <c r="AA9" s="41"/>
      <c r="AB9" s="41"/>
      <c r="AC9" s="41"/>
      <c r="AD9" s="41"/>
      <c r="AE9" s="41"/>
      <c r="AF9" s="41"/>
      <c r="AG9" s="41"/>
      <c r="AH9" s="41"/>
      <c r="AI9" s="42"/>
    </row>
    <row r="10" spans="1:35" ht="21.75" customHeight="1" x14ac:dyDescent="0.25">
      <c r="A10" s="3"/>
      <c r="E10" s="3"/>
      <c r="F10" s="7">
        <v>7</v>
      </c>
      <c r="G10" s="7">
        <v>10</v>
      </c>
      <c r="H10" s="7">
        <v>9</v>
      </c>
      <c r="J10" s="8">
        <f>COUNTIFS('JUEZ 1'!B:B,F10,'JUEZ 1'!G:G,"error") + COUNTIFS('JUEZ 2'!B:B,F10,'JUEZ 2'!G:G,"error") + COUNTIFS('JUEZ 3'!B:B,F10,'JUEZ 3'!G:G,"error") + COUNTIFS('JUEZ 4'!B:B,F10,'JUEZ 4'!G:G,"error") + COUNTIFS('JUEZ 5'!B:B,F10,'JUEZ 5'!G:G,"error") + COUNTIFS('JUEZ 6'!B:B,F10,'JUEZ 6'!G:G,"error") + COUNTIFS('JUEZ 7'!B:B,F10,'JUEZ 7'!G:G,"error") + COUNTIFS('JUEZ 8'!B:B,F10,'JUEZ 8'!G:G,"error")+ COUNTIFS('JUEZ 9'!B:B,F10,'JUEZ 9'!G:G,"error")+ COUNTIFS('JUEZ 10'!B:B,F10,'JUEZ 10'!G:G,"error")+ COUNTIFS('JUEZ 11'!B:B,F10,'JUEZ 11'!G:G,"error")</f>
        <v>0</v>
      </c>
      <c r="K10" s="8">
        <f>COUNTIFS('JUEZ 1'!B:B,F10,'JUEZ 1'!G:G,"OK") + COUNTIFS('JUEZ 2'!B:B,F10,'JUEZ 2'!G:G,"OK") + COUNTIFS('JUEZ 3'!B:B,F10,'JUEZ 3'!G:G,"OK") + COUNTIFS('JUEZ 4'!B:B,F10,'JUEZ 4'!G:G,"OK") + COUNTIFS('JUEZ 5'!B:B,F10,'JUEZ 5'!G:G,"OK") + COUNTIFS('JUEZ 6'!B:B,F10,'JUEZ 6'!G:G,"OK") + COUNTIFS('JUEZ 7'!B:B,F10,'JUEZ 7'!G:G,"OK") + COUNTIFS('JUEZ 8'!B:B,F10,'JUEZ 8'!G:G,"OK")+ COUNTIFS('JUEZ 9'!B:B,F10,'JUEZ 9'!G:G,"OK") + COUNTIFS('JUEZ 10'!B:B,F10,'JUEZ 10'!G:G,"OK") + COUNTIFS('JUEZ 11'!B:B,F10,'JUEZ 11'!G:G,"OK")</f>
        <v>11</v>
      </c>
      <c r="L10" s="9"/>
      <c r="M10" s="10" t="str">
        <f>G3</f>
        <v>MANZUR</v>
      </c>
      <c r="N10" s="32">
        <f t="shared" ref="N10:N11" si="0">COUNT(N5:W5)</f>
        <v>7</v>
      </c>
      <c r="O10" s="33"/>
      <c r="P10" s="33"/>
      <c r="Q10" s="33"/>
      <c r="R10" s="33"/>
      <c r="S10" s="33"/>
      <c r="T10" s="33"/>
      <c r="U10" s="33"/>
      <c r="V10" s="33"/>
      <c r="W10" s="34"/>
      <c r="Y10" s="10" t="str">
        <f>G3</f>
        <v>MANZUR</v>
      </c>
      <c r="Z10" s="32">
        <f t="shared" ref="Z10:Z11" si="1">COUNT(Z5:AI5)</f>
        <v>7</v>
      </c>
      <c r="AA10" s="33"/>
      <c r="AB10" s="33"/>
      <c r="AC10" s="33"/>
      <c r="AD10" s="33"/>
      <c r="AE10" s="33"/>
      <c r="AF10" s="33"/>
      <c r="AG10" s="33"/>
      <c r="AH10" s="33"/>
      <c r="AI10" s="34"/>
    </row>
    <row r="11" spans="1:35" ht="21.75" customHeight="1" x14ac:dyDescent="0.25">
      <c r="A11" s="3"/>
      <c r="E11" s="3"/>
      <c r="F11" s="7">
        <v>8</v>
      </c>
      <c r="G11" s="7">
        <v>10</v>
      </c>
      <c r="H11" s="7">
        <v>9</v>
      </c>
      <c r="J11" s="8">
        <f>COUNTIFS('JUEZ 1'!B:B,F11,'JUEZ 1'!G:G,"error") + COUNTIFS('JUEZ 2'!B:B,F11,'JUEZ 2'!G:G,"error") + COUNTIFS('JUEZ 3'!B:B,F11,'JUEZ 3'!G:G,"error") + COUNTIFS('JUEZ 4'!B:B,F11,'JUEZ 4'!G:G,"error") + COUNTIFS('JUEZ 5'!B:B,F11,'JUEZ 5'!G:G,"error") + COUNTIFS('JUEZ 6'!B:B,F11,'JUEZ 6'!G:G,"error") + COUNTIFS('JUEZ 7'!B:B,F11,'JUEZ 7'!G:G,"error") + COUNTIFS('JUEZ 8'!B:B,F11,'JUEZ 8'!G:G,"error")+ COUNTIFS('JUEZ 9'!B:B,F11,'JUEZ 9'!G:G,"error")+ COUNTIFS('JUEZ 10'!B:B,F11,'JUEZ 10'!G:G,"error")+ COUNTIFS('JUEZ 11'!B:B,F11,'JUEZ 11'!G:G,"error")</f>
        <v>0</v>
      </c>
      <c r="K11" s="8">
        <f>COUNTIFS('JUEZ 1'!B:B,F11,'JUEZ 1'!G:G,"OK") + COUNTIFS('JUEZ 2'!B:B,F11,'JUEZ 2'!G:G,"OK") + COUNTIFS('JUEZ 3'!B:B,F11,'JUEZ 3'!G:G,"OK") + COUNTIFS('JUEZ 4'!B:B,F11,'JUEZ 4'!G:G,"OK") + COUNTIFS('JUEZ 5'!B:B,F11,'JUEZ 5'!G:G,"OK") + COUNTIFS('JUEZ 6'!B:B,F11,'JUEZ 6'!G:G,"OK") + COUNTIFS('JUEZ 7'!B:B,F11,'JUEZ 7'!G:G,"OK") + COUNTIFS('JUEZ 8'!B:B,F11,'JUEZ 8'!G:G,"OK")+ COUNTIFS('JUEZ 9'!B:B,F11,'JUEZ 9'!G:G,"OK") + COUNTIFS('JUEZ 10'!B:B,F11,'JUEZ 10'!G:G,"OK") + COUNTIFS('JUEZ 11'!B:B,F11,'JUEZ 11'!G:G,"OK")</f>
        <v>11</v>
      </c>
      <c r="L11" s="9"/>
      <c r="M11" s="10" t="str">
        <f>H3</f>
        <v>ERLIN</v>
      </c>
      <c r="N11" s="32">
        <f t="shared" si="0"/>
        <v>0</v>
      </c>
      <c r="O11" s="33"/>
      <c r="P11" s="33"/>
      <c r="Q11" s="33"/>
      <c r="R11" s="33"/>
      <c r="S11" s="33"/>
      <c r="T11" s="33"/>
      <c r="U11" s="33"/>
      <c r="V11" s="33"/>
      <c r="W11" s="34"/>
      <c r="Y11" s="10" t="str">
        <f>H3</f>
        <v>ERLIN</v>
      </c>
      <c r="Z11" s="32">
        <f t="shared" si="1"/>
        <v>0</v>
      </c>
      <c r="AA11" s="33"/>
      <c r="AB11" s="33"/>
      <c r="AC11" s="33"/>
      <c r="AD11" s="33"/>
      <c r="AE11" s="33"/>
      <c r="AF11" s="33"/>
      <c r="AG11" s="33"/>
      <c r="AH11" s="33"/>
      <c r="AI11" s="34"/>
    </row>
    <row r="12" spans="1:35" ht="21.75" customHeight="1" x14ac:dyDescent="0.25">
      <c r="A12" s="3"/>
      <c r="E12" s="3"/>
      <c r="F12" s="7">
        <v>9</v>
      </c>
      <c r="G12" s="7">
        <v>10</v>
      </c>
      <c r="H12" s="7">
        <v>9</v>
      </c>
      <c r="J12" s="8">
        <f>COUNTIFS('JUEZ 1'!B:B,F12,'JUEZ 1'!G:G,"error") + COUNTIFS('JUEZ 2'!B:B,F12,'JUEZ 2'!G:G,"error") + COUNTIFS('JUEZ 3'!B:B,F12,'JUEZ 3'!G:G,"error") + COUNTIFS('JUEZ 4'!B:B,F12,'JUEZ 4'!G:G,"error") + COUNTIFS('JUEZ 5'!B:B,F12,'JUEZ 5'!G:G,"error") + COUNTIFS('JUEZ 6'!B:B,F12,'JUEZ 6'!G:G,"error") + COUNTIFS('JUEZ 7'!B:B,F12,'JUEZ 7'!G:G,"error") + COUNTIFS('JUEZ 8'!B:B,F12,'JUEZ 8'!G:G,"error")+ COUNTIFS('JUEZ 9'!B:B,F12,'JUEZ 9'!G:G,"error")+ COUNTIFS('JUEZ 10'!B:B,F12,'JUEZ 10'!G:G,"error")+ COUNTIFS('JUEZ 11'!B:B,F12,'JUEZ 11'!G:G,"error")</f>
        <v>2</v>
      </c>
      <c r="K12" s="8">
        <f>COUNTIFS('JUEZ 1'!B:B,F12,'JUEZ 1'!G:G,"OK") + COUNTIFS('JUEZ 2'!B:B,F12,'JUEZ 2'!G:G,"OK") + COUNTIFS('JUEZ 3'!B:B,F12,'JUEZ 3'!G:G,"OK") + COUNTIFS('JUEZ 4'!B:B,F12,'JUEZ 4'!G:G,"OK") + COUNTIFS('JUEZ 5'!B:B,F12,'JUEZ 5'!G:G,"OK") + COUNTIFS('JUEZ 6'!B:B,F12,'JUEZ 6'!G:G,"OK") + COUNTIFS('JUEZ 7'!B:B,F12,'JUEZ 7'!G:G,"OK") + COUNTIFS('JUEZ 8'!B:B,F12,'JUEZ 8'!G:G,"OK")+ COUNTIFS('JUEZ 9'!B:B,F12,'JUEZ 9'!G:G,"OK") + COUNTIFS('JUEZ 10'!B:B,F12,'JUEZ 10'!G:G,"OK") + COUNTIFS('JUEZ 11'!B:B,F12,'JUEZ 11'!G:G,"OK")</f>
        <v>9</v>
      </c>
      <c r="L12" s="9"/>
    </row>
    <row r="13" spans="1:35" ht="21.75" customHeight="1" x14ac:dyDescent="0.25">
      <c r="A13" s="3"/>
      <c r="E13" s="3"/>
      <c r="F13" s="7">
        <v>10</v>
      </c>
      <c r="G13" s="7">
        <v>10</v>
      </c>
      <c r="H13" s="7">
        <v>9</v>
      </c>
      <c r="J13" s="8">
        <f>COUNTIFS('JUEZ 1'!B:B,F13,'JUEZ 1'!G:G,"error") + COUNTIFS('JUEZ 2'!B:B,F13,'JUEZ 2'!G:G,"error") + COUNTIFS('JUEZ 3'!B:B,F13,'JUEZ 3'!G:G,"error") + COUNTIFS('JUEZ 4'!B:B,F13,'JUEZ 4'!G:G,"error") + COUNTIFS('JUEZ 5'!B:B,F13,'JUEZ 5'!G:G,"error") + COUNTIFS('JUEZ 6'!B:B,F13,'JUEZ 6'!G:G,"error") + COUNTIFS('JUEZ 7'!B:B,F13,'JUEZ 7'!G:G,"error") + COUNTIFS('JUEZ 8'!B:B,F13,'JUEZ 8'!G:G,"error")+ COUNTIFS('JUEZ 9'!B:B,F13,'JUEZ 9'!G:G,"error")+ COUNTIFS('JUEZ 10'!B:B,F13,'JUEZ 10'!G:G,"error")+ COUNTIFS('JUEZ 11'!B:B,F13,'JUEZ 11'!G:G,"error")</f>
        <v>0</v>
      </c>
      <c r="K13" s="8">
        <f>COUNTIFS('JUEZ 1'!B:B,F13,'JUEZ 1'!G:G,"OK") + COUNTIFS('JUEZ 2'!B:B,F13,'JUEZ 2'!G:G,"OK") + COUNTIFS('JUEZ 3'!B:B,F13,'JUEZ 3'!G:G,"OK") + COUNTIFS('JUEZ 4'!B:B,F13,'JUEZ 4'!G:G,"OK") + COUNTIFS('JUEZ 5'!B:B,F13,'JUEZ 5'!G:G,"OK") + COUNTIFS('JUEZ 6'!B:B,F13,'JUEZ 6'!G:G,"OK") + COUNTIFS('JUEZ 7'!B:B,F13,'JUEZ 7'!G:G,"OK") + COUNTIFS('JUEZ 8'!B:B,F13,'JUEZ 8'!G:G,"OK")+ COUNTIFS('JUEZ 9'!B:B,F13,'JUEZ 9'!G:G,"OK") + COUNTIFS('JUEZ 10'!B:B,F13,'JUEZ 10'!G:G,"OK") + COUNTIFS('JUEZ 11'!B:B,F13,'JUEZ 11'!G:G,"OK")</f>
        <v>11</v>
      </c>
      <c r="L13" s="9"/>
    </row>
    <row r="14" spans="1:35" ht="21.75" customHeight="1" x14ac:dyDescent="0.25">
      <c r="A14" s="3"/>
      <c r="E14" s="3"/>
      <c r="F14" s="14" t="s">
        <v>21</v>
      </c>
      <c r="G14" s="14">
        <f t="shared" ref="G14:H14" si="2">SUM(G4:G13)</f>
        <v>98</v>
      </c>
      <c r="H14" s="14">
        <f t="shared" si="2"/>
        <v>92</v>
      </c>
    </row>
    <row r="15" spans="1:35" ht="12" customHeight="1" x14ac:dyDescent="0.25">
      <c r="E15" s="3"/>
      <c r="F15" s="3"/>
      <c r="G15" s="3"/>
      <c r="H15" s="3"/>
      <c r="I15" s="3"/>
      <c r="J15" s="3"/>
      <c r="K15" s="3"/>
      <c r="L15" s="3"/>
    </row>
    <row r="16" spans="1:35" ht="21.75" customHeight="1" x14ac:dyDescent="0.25">
      <c r="A16" s="3"/>
      <c r="B16" s="15" t="s">
        <v>6</v>
      </c>
      <c r="C16" s="15" t="str">
        <f>'JUEZ 1'!B3</f>
        <v>HERRERA</v>
      </c>
      <c r="D16" s="15" t="str">
        <f>'JUEZ 2'!B3</f>
        <v>ALARCON</v>
      </c>
      <c r="E16" s="44" t="str">
        <f>'JUEZ 3'!B3</f>
        <v>NAMEN</v>
      </c>
      <c r="F16" s="45"/>
      <c r="G16" s="16" t="str">
        <f>'JUEZ 4'!B3</f>
        <v>FANUCCHI</v>
      </c>
      <c r="H16" s="16" t="str">
        <f>'JUEZ 5'!B3</f>
        <v>BOPP</v>
      </c>
      <c r="I16" s="44" t="str">
        <f>'JUEZ 6'!B3</f>
        <v>VALERA</v>
      </c>
      <c r="J16" s="45"/>
      <c r="K16" s="16" t="str">
        <f>'JUEZ 7'!B3</f>
        <v>IRUSTA</v>
      </c>
      <c r="L16" s="44" t="str">
        <f>'JUEZ 8'!B3</f>
        <v>ALANCAY</v>
      </c>
      <c r="M16" s="45"/>
      <c r="N16" s="44" t="str">
        <f>'JUEZ 9'!B3</f>
        <v>IANOVSKY</v>
      </c>
      <c r="O16" s="46"/>
      <c r="P16" s="46"/>
      <c r="Q16" s="46"/>
      <c r="R16" s="45"/>
      <c r="S16" s="47" t="str">
        <f>'JUEZ 10'!B3</f>
        <v>MAYORQUIM</v>
      </c>
      <c r="T16" s="33"/>
      <c r="U16" s="33"/>
      <c r="V16" s="33"/>
      <c r="W16" s="33"/>
      <c r="X16" s="34"/>
      <c r="Y16" s="16" t="str">
        <f>'JUEZ 11'!B3</f>
        <v>VALERA</v>
      </c>
    </row>
    <row r="17" spans="1:25" ht="21.75" customHeight="1" x14ac:dyDescent="0.25">
      <c r="A17" s="3"/>
      <c r="B17" s="7">
        <v>1</v>
      </c>
      <c r="C17" s="7" t="str">
        <f>'JUEZ 1'!G4</f>
        <v>OK</v>
      </c>
      <c r="D17" s="7" t="str">
        <f>'JUEZ 2'!G4</f>
        <v>OK</v>
      </c>
      <c r="E17" s="32" t="str">
        <f>'JUEZ 3'!G4</f>
        <v>OK</v>
      </c>
      <c r="F17" s="34"/>
      <c r="G17" s="7" t="str">
        <f>'JUEZ 4'!G4</f>
        <v>OK</v>
      </c>
      <c r="H17" s="7" t="str">
        <f>'JUEZ 5'!G4</f>
        <v>OK</v>
      </c>
      <c r="I17" s="32" t="str">
        <f>'JUEZ 6'!G4</f>
        <v>OK</v>
      </c>
      <c r="J17" s="34"/>
      <c r="K17" s="7" t="str">
        <f>'JUEZ 7'!G4</f>
        <v>OK</v>
      </c>
      <c r="L17" s="32" t="str">
        <f>'JUEZ 8'!G4</f>
        <v>OK</v>
      </c>
      <c r="M17" s="34"/>
      <c r="N17" s="32" t="str">
        <f>'JUEZ 9'!G4</f>
        <v>OK</v>
      </c>
      <c r="O17" s="33"/>
      <c r="P17" s="33"/>
      <c r="Q17" s="33"/>
      <c r="R17" s="34"/>
      <c r="S17" s="32" t="str">
        <f>'JUEZ 10'!G4</f>
        <v>OK</v>
      </c>
      <c r="T17" s="33"/>
      <c r="U17" s="33"/>
      <c r="V17" s="33"/>
      <c r="W17" s="33"/>
      <c r="X17" s="34"/>
      <c r="Y17" s="7" t="str">
        <f>'JUEZ 11'!G4</f>
        <v>OK</v>
      </c>
    </row>
    <row r="18" spans="1:25" ht="21.75" customHeight="1" x14ac:dyDescent="0.25">
      <c r="A18" s="3"/>
      <c r="B18" s="7">
        <v>2</v>
      </c>
      <c r="C18" s="7" t="str">
        <f>'JUEZ 1'!G5</f>
        <v>OK</v>
      </c>
      <c r="D18" s="7" t="str">
        <f>'JUEZ 2'!G5</f>
        <v>OK</v>
      </c>
      <c r="E18" s="32" t="str">
        <f>'JUEZ 3'!G5</f>
        <v>OK</v>
      </c>
      <c r="F18" s="34"/>
      <c r="G18" s="7" t="str">
        <f>'JUEZ 4'!G5</f>
        <v>OK</v>
      </c>
      <c r="H18" s="7" t="str">
        <f>'JUEZ 5'!G5</f>
        <v>OK</v>
      </c>
      <c r="I18" s="32" t="str">
        <f>'JUEZ 6'!G5</f>
        <v>OK</v>
      </c>
      <c r="J18" s="34"/>
      <c r="K18" s="7" t="str">
        <f>'JUEZ 7'!G5</f>
        <v>OK</v>
      </c>
      <c r="L18" s="32" t="str">
        <f>'JUEZ 8'!G5</f>
        <v>OK</v>
      </c>
      <c r="M18" s="34"/>
      <c r="N18" s="32" t="str">
        <f>'JUEZ 9'!G5</f>
        <v>OK</v>
      </c>
      <c r="O18" s="33"/>
      <c r="P18" s="33"/>
      <c r="Q18" s="33"/>
      <c r="R18" s="34"/>
      <c r="S18" s="32" t="str">
        <f>'JUEZ 10'!G5</f>
        <v>OK</v>
      </c>
      <c r="T18" s="33"/>
      <c r="U18" s="33"/>
      <c r="V18" s="33"/>
      <c r="W18" s="33"/>
      <c r="X18" s="34"/>
      <c r="Y18" s="7" t="str">
        <f>'JUEZ 11'!G5</f>
        <v>OK</v>
      </c>
    </row>
    <row r="19" spans="1:25" ht="21.75" customHeight="1" x14ac:dyDescent="0.25">
      <c r="A19" s="3"/>
      <c r="B19" s="7">
        <v>3</v>
      </c>
      <c r="C19" s="7" t="str">
        <f>'JUEZ 1'!G6</f>
        <v>OK</v>
      </c>
      <c r="D19" s="7" t="str">
        <f>'JUEZ 2'!G6</f>
        <v>OK</v>
      </c>
      <c r="E19" s="32" t="str">
        <f>'JUEZ 3'!G6</f>
        <v>OK</v>
      </c>
      <c r="F19" s="34"/>
      <c r="G19" s="7" t="str">
        <f>'JUEZ 4'!G6</f>
        <v>OK</v>
      </c>
      <c r="H19" s="7" t="str">
        <f>'JUEZ 5'!G6</f>
        <v>OK</v>
      </c>
      <c r="I19" s="32" t="str">
        <f>'JUEZ 6'!G6</f>
        <v>OK</v>
      </c>
      <c r="J19" s="34"/>
      <c r="K19" s="7" t="str">
        <f>'JUEZ 7'!G6</f>
        <v>OK</v>
      </c>
      <c r="L19" s="32" t="str">
        <f>'JUEZ 8'!G6</f>
        <v>OK</v>
      </c>
      <c r="M19" s="34"/>
      <c r="N19" s="32" t="str">
        <f>'JUEZ 9'!G6</f>
        <v>OK</v>
      </c>
      <c r="O19" s="33"/>
      <c r="P19" s="33"/>
      <c r="Q19" s="33"/>
      <c r="R19" s="34"/>
      <c r="S19" s="32" t="str">
        <f>'JUEZ 10'!G6</f>
        <v>OK</v>
      </c>
      <c r="T19" s="33"/>
      <c r="U19" s="33"/>
      <c r="V19" s="33"/>
      <c r="W19" s="33"/>
      <c r="X19" s="34"/>
      <c r="Y19" s="7" t="str">
        <f>'JUEZ 11'!G6</f>
        <v>OK</v>
      </c>
    </row>
    <row r="20" spans="1:25" ht="21.75" customHeight="1" x14ac:dyDescent="0.25">
      <c r="A20" s="3"/>
      <c r="B20" s="7">
        <v>4</v>
      </c>
      <c r="C20" s="7" t="str">
        <f>'JUEZ 1'!G7</f>
        <v>OK</v>
      </c>
      <c r="D20" s="7" t="str">
        <f>'JUEZ 2'!G7</f>
        <v>OK</v>
      </c>
      <c r="E20" s="32" t="str">
        <f>'JUEZ 3'!G7</f>
        <v>ERROR</v>
      </c>
      <c r="F20" s="34"/>
      <c r="G20" s="7" t="str">
        <f>'JUEZ 4'!G7</f>
        <v>ERROR</v>
      </c>
      <c r="H20" s="7" t="str">
        <f>'JUEZ 5'!G7</f>
        <v>ERROR</v>
      </c>
      <c r="I20" s="32" t="str">
        <f>'JUEZ 6'!G7</f>
        <v>OK</v>
      </c>
      <c r="J20" s="34"/>
      <c r="K20" s="7" t="str">
        <f>'JUEZ 7'!G7</f>
        <v>OK</v>
      </c>
      <c r="L20" s="32" t="str">
        <f>'JUEZ 8'!G7</f>
        <v>OK</v>
      </c>
      <c r="M20" s="34"/>
      <c r="N20" s="32" t="str">
        <f>'JUEZ 9'!G7</f>
        <v>OK</v>
      </c>
      <c r="O20" s="33"/>
      <c r="P20" s="33"/>
      <c r="Q20" s="33"/>
      <c r="R20" s="34"/>
      <c r="S20" s="32" t="str">
        <f>'JUEZ 10'!G7</f>
        <v>OK</v>
      </c>
      <c r="T20" s="33"/>
      <c r="U20" s="33"/>
      <c r="V20" s="33"/>
      <c r="W20" s="33"/>
      <c r="X20" s="34"/>
      <c r="Y20" s="7" t="str">
        <f>'JUEZ 11'!G7</f>
        <v>OK</v>
      </c>
    </row>
    <row r="21" spans="1:25" ht="21.75" customHeight="1" x14ac:dyDescent="0.25">
      <c r="A21" s="3"/>
      <c r="B21" s="7">
        <v>5</v>
      </c>
      <c r="C21" s="7" t="str">
        <f>'JUEZ 1'!G8</f>
        <v>OK</v>
      </c>
      <c r="D21" s="7" t="str">
        <f>'JUEZ 2'!G8</f>
        <v>OK</v>
      </c>
      <c r="E21" s="32" t="str">
        <f>'JUEZ 3'!G8</f>
        <v>ERROR</v>
      </c>
      <c r="F21" s="34"/>
      <c r="G21" s="7" t="str">
        <f>'JUEZ 4'!G8</f>
        <v>OK</v>
      </c>
      <c r="H21" s="7" t="str">
        <f>'JUEZ 5'!G8</f>
        <v>ERROR</v>
      </c>
      <c r="I21" s="32" t="str">
        <f>'JUEZ 6'!G8</f>
        <v>OK</v>
      </c>
      <c r="J21" s="34"/>
      <c r="K21" s="7" t="str">
        <f>'JUEZ 7'!G8</f>
        <v>ERROR</v>
      </c>
      <c r="L21" s="32" t="str">
        <f>'JUEZ 8'!G8</f>
        <v>OK</v>
      </c>
      <c r="M21" s="34"/>
      <c r="N21" s="32" t="str">
        <f>'JUEZ 9'!G8</f>
        <v>OK</v>
      </c>
      <c r="O21" s="33"/>
      <c r="P21" s="33"/>
      <c r="Q21" s="33"/>
      <c r="R21" s="34"/>
      <c r="S21" s="32" t="str">
        <f>'JUEZ 10'!G8</f>
        <v>OK</v>
      </c>
      <c r="T21" s="33"/>
      <c r="U21" s="33"/>
      <c r="V21" s="33"/>
      <c r="W21" s="33"/>
      <c r="X21" s="34"/>
      <c r="Y21" s="7" t="str">
        <f>'JUEZ 11'!G8</f>
        <v>OK</v>
      </c>
    </row>
    <row r="22" spans="1:25" ht="21.75" customHeight="1" x14ac:dyDescent="0.25">
      <c r="A22" s="3"/>
      <c r="B22" s="7">
        <v>6</v>
      </c>
      <c r="C22" s="7" t="str">
        <f>'JUEZ 1'!G9</f>
        <v>OK</v>
      </c>
      <c r="D22" s="7" t="str">
        <f>'JUEZ 2'!G9</f>
        <v>OK</v>
      </c>
      <c r="E22" s="32" t="str">
        <f>'JUEZ 3'!G9</f>
        <v>OK</v>
      </c>
      <c r="F22" s="34"/>
      <c r="G22" s="7" t="str">
        <f>'JUEZ 4'!G9</f>
        <v>OK</v>
      </c>
      <c r="H22" s="7" t="str">
        <f>'JUEZ 5'!G9</f>
        <v>OK</v>
      </c>
      <c r="I22" s="32" t="str">
        <f>'JUEZ 6'!G9</f>
        <v>OK</v>
      </c>
      <c r="J22" s="34"/>
      <c r="K22" s="7" t="str">
        <f>'JUEZ 7'!G9</f>
        <v>OK</v>
      </c>
      <c r="L22" s="32" t="str">
        <f>'JUEZ 8'!G9</f>
        <v>OK</v>
      </c>
      <c r="M22" s="34"/>
      <c r="N22" s="32" t="str">
        <f>'JUEZ 9'!G9</f>
        <v>OK</v>
      </c>
      <c r="O22" s="33"/>
      <c r="P22" s="33"/>
      <c r="Q22" s="33"/>
      <c r="R22" s="34"/>
      <c r="S22" s="32" t="str">
        <f>'JUEZ 10'!G9</f>
        <v>OK</v>
      </c>
      <c r="T22" s="33"/>
      <c r="U22" s="33"/>
      <c r="V22" s="33"/>
      <c r="W22" s="33"/>
      <c r="X22" s="34"/>
      <c r="Y22" s="7" t="str">
        <f>'JUEZ 11'!G9</f>
        <v>OK</v>
      </c>
    </row>
    <row r="23" spans="1:25" ht="21.75" customHeight="1" x14ac:dyDescent="0.25">
      <c r="A23" s="3"/>
      <c r="B23" s="7">
        <v>7</v>
      </c>
      <c r="C23" s="7" t="str">
        <f>'JUEZ 1'!G10</f>
        <v>OK</v>
      </c>
      <c r="D23" s="7" t="str">
        <f>'JUEZ 2'!G10</f>
        <v>OK</v>
      </c>
      <c r="E23" s="32" t="str">
        <f>'JUEZ 3'!G10</f>
        <v>OK</v>
      </c>
      <c r="F23" s="34"/>
      <c r="G23" s="7" t="str">
        <f>'JUEZ 4'!G10</f>
        <v>OK</v>
      </c>
      <c r="H23" s="7" t="str">
        <f>'JUEZ 5'!G10</f>
        <v>OK</v>
      </c>
      <c r="I23" s="32" t="str">
        <f>'JUEZ 6'!G10</f>
        <v>OK</v>
      </c>
      <c r="J23" s="34"/>
      <c r="K23" s="7" t="str">
        <f>'JUEZ 7'!G10</f>
        <v>OK</v>
      </c>
      <c r="L23" s="32" t="str">
        <f>'JUEZ 8'!G10</f>
        <v>OK</v>
      </c>
      <c r="M23" s="34"/>
      <c r="N23" s="32" t="str">
        <f>'JUEZ 9'!G10</f>
        <v>OK</v>
      </c>
      <c r="O23" s="33"/>
      <c r="P23" s="33"/>
      <c r="Q23" s="33"/>
      <c r="R23" s="34"/>
      <c r="S23" s="32" t="str">
        <f>'JUEZ 10'!G10</f>
        <v>OK</v>
      </c>
      <c r="T23" s="33"/>
      <c r="U23" s="33"/>
      <c r="V23" s="33"/>
      <c r="W23" s="33"/>
      <c r="X23" s="34"/>
      <c r="Y23" s="7" t="str">
        <f>'JUEZ 11'!G10</f>
        <v>OK</v>
      </c>
    </row>
    <row r="24" spans="1:25" ht="21.75" customHeight="1" x14ac:dyDescent="0.25">
      <c r="A24" s="3"/>
      <c r="B24" s="7">
        <v>8</v>
      </c>
      <c r="C24" s="7" t="str">
        <f>'JUEZ 1'!G11</f>
        <v>OK</v>
      </c>
      <c r="D24" s="7" t="str">
        <f>'JUEZ 2'!G11</f>
        <v>OK</v>
      </c>
      <c r="E24" s="32" t="str">
        <f>'JUEZ 3'!G11</f>
        <v>OK</v>
      </c>
      <c r="F24" s="34"/>
      <c r="G24" s="7" t="str">
        <f>'JUEZ 4'!G11</f>
        <v>OK</v>
      </c>
      <c r="H24" s="7" t="str">
        <f>'JUEZ 5'!G11</f>
        <v>OK</v>
      </c>
      <c r="I24" s="32" t="str">
        <f>'JUEZ 6'!G11</f>
        <v>OK</v>
      </c>
      <c r="J24" s="34"/>
      <c r="K24" s="7" t="str">
        <f>'JUEZ 7'!G11</f>
        <v>OK</v>
      </c>
      <c r="L24" s="32" t="str">
        <f>'JUEZ 8'!G11</f>
        <v>OK</v>
      </c>
      <c r="M24" s="34"/>
      <c r="N24" s="32" t="str">
        <f>'JUEZ 9'!G11</f>
        <v>OK</v>
      </c>
      <c r="O24" s="33"/>
      <c r="P24" s="33"/>
      <c r="Q24" s="33"/>
      <c r="R24" s="34"/>
      <c r="S24" s="32" t="str">
        <f>'JUEZ 10'!G11</f>
        <v>OK</v>
      </c>
      <c r="T24" s="33"/>
      <c r="U24" s="33"/>
      <c r="V24" s="33"/>
      <c r="W24" s="33"/>
      <c r="X24" s="34"/>
      <c r="Y24" s="7" t="str">
        <f>'JUEZ 11'!G11</f>
        <v>OK</v>
      </c>
    </row>
    <row r="25" spans="1:25" ht="21.75" customHeight="1" x14ac:dyDescent="0.25">
      <c r="A25" s="3"/>
      <c r="B25" s="7">
        <v>9</v>
      </c>
      <c r="C25" s="7" t="str">
        <f>'JUEZ 1'!G12</f>
        <v>ERROR</v>
      </c>
      <c r="D25" s="7" t="str">
        <f>'JUEZ 2'!G12</f>
        <v>OK</v>
      </c>
      <c r="E25" s="32" t="str">
        <f>'JUEZ 3'!G12</f>
        <v>OK</v>
      </c>
      <c r="F25" s="34"/>
      <c r="G25" s="7" t="str">
        <f>'JUEZ 4'!G12</f>
        <v>OK</v>
      </c>
      <c r="H25" s="7" t="str">
        <f>'JUEZ 5'!G12</f>
        <v>ERROR</v>
      </c>
      <c r="I25" s="32" t="str">
        <f>'JUEZ 6'!G12</f>
        <v>OK</v>
      </c>
      <c r="J25" s="34"/>
      <c r="K25" s="7" t="str">
        <f>'JUEZ 7'!G12</f>
        <v>OK</v>
      </c>
      <c r="L25" s="32" t="str">
        <f>'JUEZ 8'!G12</f>
        <v>OK</v>
      </c>
      <c r="M25" s="34"/>
      <c r="N25" s="32" t="str">
        <f>'JUEZ 9'!G12</f>
        <v>OK</v>
      </c>
      <c r="O25" s="33"/>
      <c r="P25" s="33"/>
      <c r="Q25" s="33"/>
      <c r="R25" s="34"/>
      <c r="S25" s="32" t="str">
        <f>'JUEZ 10'!G12</f>
        <v>OK</v>
      </c>
      <c r="T25" s="33"/>
      <c r="U25" s="33"/>
      <c r="V25" s="33"/>
      <c r="W25" s="33"/>
      <c r="X25" s="34"/>
      <c r="Y25" s="7" t="str">
        <f>'JUEZ 11'!G12</f>
        <v>OK</v>
      </c>
    </row>
    <row r="26" spans="1:25" ht="21.75" customHeight="1" x14ac:dyDescent="0.25">
      <c r="A26" s="3"/>
      <c r="B26" s="7">
        <v>10</v>
      </c>
      <c r="C26" s="7" t="str">
        <f>'JUEZ 1'!G13</f>
        <v>OK</v>
      </c>
      <c r="D26" s="7" t="str">
        <f>'JUEZ 2'!G13</f>
        <v>OK</v>
      </c>
      <c r="E26" s="32" t="str">
        <f>'JUEZ 3'!G13</f>
        <v>OK</v>
      </c>
      <c r="F26" s="34"/>
      <c r="G26" s="7" t="str">
        <f>'JUEZ 4'!G13</f>
        <v>OK</v>
      </c>
      <c r="H26" s="7" t="str">
        <f>'JUEZ 5'!G13</f>
        <v>OK</v>
      </c>
      <c r="I26" s="32" t="str">
        <f>'JUEZ 6'!G13</f>
        <v>OK</v>
      </c>
      <c r="J26" s="34"/>
      <c r="K26" s="7" t="str">
        <f>'JUEZ 7'!G13</f>
        <v>OK</v>
      </c>
      <c r="L26" s="32" t="str">
        <f>'JUEZ 8'!G13</f>
        <v>OK</v>
      </c>
      <c r="M26" s="34"/>
      <c r="N26" s="32" t="str">
        <f>'JUEZ 9'!G13</f>
        <v>OK</v>
      </c>
      <c r="O26" s="33"/>
      <c r="P26" s="33"/>
      <c r="Q26" s="33"/>
      <c r="R26" s="34"/>
      <c r="S26" s="32" t="str">
        <f>'JUEZ 10'!G13</f>
        <v>OK</v>
      </c>
      <c r="T26" s="33"/>
      <c r="U26" s="33"/>
      <c r="V26" s="33"/>
      <c r="W26" s="33"/>
      <c r="X26" s="34"/>
      <c r="Y26" s="7" t="str">
        <f>'JUEZ 11'!G13</f>
        <v>OK</v>
      </c>
    </row>
    <row r="27" spans="1:25" ht="12.75" customHeight="1" x14ac:dyDescent="0.25">
      <c r="E27" s="3"/>
      <c r="F27" s="3"/>
    </row>
    <row r="28" spans="1:25" ht="12.75" customHeight="1" x14ac:dyDescent="0.25">
      <c r="E28" s="3"/>
      <c r="F28" s="3"/>
    </row>
    <row r="29" spans="1:25" ht="12.75" customHeight="1" x14ac:dyDescent="0.25">
      <c r="A29" s="3"/>
      <c r="E29" s="3"/>
      <c r="F29" s="3"/>
    </row>
    <row r="30" spans="1:25" ht="12.75" customHeight="1" x14ac:dyDescent="0.25">
      <c r="A30" s="3"/>
      <c r="E30" s="3"/>
      <c r="F30" s="3"/>
    </row>
    <row r="31" spans="1:25" ht="12.75" customHeight="1" x14ac:dyDescent="0.25">
      <c r="A31" s="3"/>
      <c r="E31" s="3"/>
      <c r="F31" s="3"/>
    </row>
    <row r="32" spans="1:25" ht="12.75" customHeight="1" x14ac:dyDescent="0.25">
      <c r="A32" s="3"/>
      <c r="E32" s="3"/>
      <c r="F32" s="3"/>
    </row>
    <row r="33" spans="1:6" ht="12.75" customHeight="1" x14ac:dyDescent="0.25">
      <c r="A33" s="3"/>
      <c r="E33" s="3"/>
      <c r="F33" s="3"/>
    </row>
    <row r="34" spans="1:6" ht="12.75" customHeight="1" x14ac:dyDescent="0.25">
      <c r="A34" s="3"/>
      <c r="E34" s="3"/>
      <c r="F34" s="3"/>
    </row>
    <row r="35" spans="1:6" ht="12.75" customHeight="1" x14ac:dyDescent="0.25">
      <c r="A35" s="3"/>
      <c r="E35" s="3"/>
      <c r="F35" s="3"/>
    </row>
    <row r="36" spans="1:6" ht="12.75" customHeight="1" x14ac:dyDescent="0.25">
      <c r="A36" s="3"/>
      <c r="E36" s="3"/>
      <c r="F36" s="3"/>
    </row>
    <row r="37" spans="1:6" ht="12.75" customHeight="1" x14ac:dyDescent="0.25">
      <c r="A37" s="3"/>
      <c r="E37" s="3"/>
      <c r="F37" s="3"/>
    </row>
    <row r="38" spans="1:6" ht="12.75" customHeight="1" x14ac:dyDescent="0.25">
      <c r="A38" s="3"/>
      <c r="E38" s="3"/>
      <c r="F38" s="3"/>
    </row>
    <row r="39" spans="1:6" ht="12.75" customHeight="1" x14ac:dyDescent="0.25">
      <c r="A39" s="3"/>
      <c r="E39" s="3"/>
      <c r="F39" s="3"/>
    </row>
    <row r="40" spans="1:6" ht="12.75" customHeight="1" x14ac:dyDescent="0.25">
      <c r="A40" s="3"/>
      <c r="E40" s="3"/>
      <c r="F40" s="3"/>
    </row>
    <row r="41" spans="1:6" ht="12.75" customHeight="1" x14ac:dyDescent="0.25">
      <c r="E41" s="3"/>
      <c r="F41" s="3"/>
    </row>
    <row r="42" spans="1:6" ht="12.75" customHeight="1" x14ac:dyDescent="0.25">
      <c r="E42" s="3"/>
      <c r="F42" s="3"/>
    </row>
    <row r="43" spans="1:6" ht="12.75" customHeight="1" x14ac:dyDescent="0.25">
      <c r="A43" s="3"/>
      <c r="E43" s="3"/>
      <c r="F43" s="3"/>
    </row>
    <row r="44" spans="1:6" ht="12.75" customHeight="1" x14ac:dyDescent="0.25">
      <c r="A44" s="3"/>
      <c r="E44" s="3"/>
      <c r="F44" s="3"/>
    </row>
    <row r="45" spans="1:6" ht="12.75" customHeight="1" x14ac:dyDescent="0.25">
      <c r="A45" s="3"/>
      <c r="E45" s="3"/>
      <c r="F45" s="3"/>
    </row>
    <row r="46" spans="1:6" ht="12.75" customHeight="1" x14ac:dyDescent="0.25">
      <c r="A46" s="3"/>
      <c r="E46" s="3"/>
      <c r="F46" s="3"/>
    </row>
    <row r="47" spans="1:6" ht="12.75" customHeight="1" x14ac:dyDescent="0.25">
      <c r="A47" s="3"/>
      <c r="E47" s="3"/>
      <c r="F47" s="3"/>
    </row>
    <row r="48" spans="1:6" ht="12.75" customHeight="1" x14ac:dyDescent="0.25">
      <c r="A48" s="3"/>
      <c r="E48" s="3"/>
      <c r="F48" s="3"/>
    </row>
    <row r="49" spans="1:6" ht="12.75" customHeight="1" x14ac:dyDescent="0.25">
      <c r="A49" s="3"/>
      <c r="E49" s="3"/>
      <c r="F49" s="3"/>
    </row>
    <row r="50" spans="1:6" ht="12.75" customHeight="1" x14ac:dyDescent="0.25">
      <c r="A50" s="3"/>
      <c r="E50" s="3"/>
      <c r="F50" s="3"/>
    </row>
    <row r="51" spans="1:6" ht="12.75" customHeight="1" x14ac:dyDescent="0.25">
      <c r="A51" s="3"/>
      <c r="E51" s="3"/>
      <c r="F51" s="3"/>
    </row>
    <row r="52" spans="1:6" ht="12.75" customHeight="1" x14ac:dyDescent="0.25">
      <c r="A52" s="3"/>
      <c r="E52" s="3"/>
      <c r="F52" s="3"/>
    </row>
    <row r="53" spans="1:6" ht="12.75" customHeight="1" x14ac:dyDescent="0.25">
      <c r="A53" s="3"/>
      <c r="E53" s="3"/>
      <c r="F53" s="3"/>
    </row>
    <row r="54" spans="1:6" ht="12.75" customHeight="1" x14ac:dyDescent="0.25">
      <c r="A54" s="3"/>
      <c r="E54" s="3"/>
      <c r="F54" s="3"/>
    </row>
    <row r="55" spans="1:6" ht="12.75" customHeight="1" x14ac:dyDescent="0.25">
      <c r="E55" s="3"/>
      <c r="F55" s="3"/>
    </row>
    <row r="56" spans="1:6" ht="12.75" customHeight="1" x14ac:dyDescent="0.25">
      <c r="E56" s="3"/>
      <c r="F56" s="3"/>
    </row>
    <row r="57" spans="1:6" ht="12.75" customHeight="1" x14ac:dyDescent="0.25">
      <c r="A57" s="3"/>
      <c r="E57" s="3"/>
      <c r="F57" s="3"/>
    </row>
    <row r="58" spans="1:6" ht="12.75" customHeight="1" x14ac:dyDescent="0.25">
      <c r="A58" s="3"/>
      <c r="E58" s="3"/>
      <c r="F58" s="3"/>
    </row>
    <row r="59" spans="1:6" ht="12.75" customHeight="1" x14ac:dyDescent="0.25">
      <c r="A59" s="3"/>
      <c r="E59" s="3"/>
      <c r="F59" s="3"/>
    </row>
    <row r="60" spans="1:6" ht="12.75" customHeight="1" x14ac:dyDescent="0.25">
      <c r="A60" s="3"/>
      <c r="E60" s="3"/>
      <c r="F60" s="3"/>
    </row>
    <row r="61" spans="1:6" ht="12.75" customHeight="1" x14ac:dyDescent="0.25">
      <c r="A61" s="3"/>
      <c r="E61" s="3"/>
      <c r="F61" s="3"/>
    </row>
    <row r="62" spans="1:6" ht="12.75" customHeight="1" x14ac:dyDescent="0.25">
      <c r="A62" s="3"/>
      <c r="E62" s="3"/>
      <c r="F62" s="3"/>
    </row>
    <row r="63" spans="1:6" ht="12.75" customHeight="1" x14ac:dyDescent="0.25">
      <c r="A63" s="3"/>
      <c r="E63" s="3"/>
      <c r="F63" s="3"/>
    </row>
    <row r="64" spans="1:6" ht="12.75" customHeight="1" x14ac:dyDescent="0.25">
      <c r="A64" s="3"/>
      <c r="E64" s="3"/>
      <c r="F64" s="3"/>
    </row>
    <row r="65" spans="1:6" ht="12.75" customHeight="1" x14ac:dyDescent="0.25">
      <c r="A65" s="3"/>
      <c r="E65" s="3"/>
      <c r="F65" s="3"/>
    </row>
    <row r="66" spans="1:6" ht="12.75" customHeight="1" x14ac:dyDescent="0.25">
      <c r="A66" s="3"/>
      <c r="E66" s="3"/>
      <c r="F66" s="3"/>
    </row>
    <row r="67" spans="1:6" ht="12.75" customHeight="1" x14ac:dyDescent="0.25">
      <c r="A67" s="3"/>
      <c r="E67" s="3"/>
      <c r="F67" s="3"/>
    </row>
    <row r="68" spans="1:6" ht="12.75" customHeight="1" x14ac:dyDescent="0.25">
      <c r="A68" s="3"/>
      <c r="E68" s="3"/>
      <c r="F68" s="3"/>
    </row>
    <row r="69" spans="1:6" ht="12.75" customHeight="1" x14ac:dyDescent="0.25">
      <c r="E69" s="3"/>
      <c r="F69" s="3"/>
    </row>
    <row r="70" spans="1:6" ht="12.75" customHeight="1" x14ac:dyDescent="0.25">
      <c r="E70" s="3"/>
      <c r="F70" s="3"/>
    </row>
    <row r="71" spans="1:6" ht="12.75" customHeight="1" x14ac:dyDescent="0.25">
      <c r="A71" s="3"/>
      <c r="E71" s="3"/>
      <c r="F71" s="3"/>
    </row>
    <row r="72" spans="1:6" ht="12.75" customHeight="1" x14ac:dyDescent="0.25">
      <c r="A72" s="3"/>
      <c r="E72" s="3"/>
      <c r="F72" s="3"/>
    </row>
    <row r="73" spans="1:6" ht="12.75" customHeight="1" x14ac:dyDescent="0.25">
      <c r="A73" s="3"/>
      <c r="E73" s="3"/>
      <c r="F73" s="3"/>
    </row>
    <row r="74" spans="1:6" ht="12.75" customHeight="1" x14ac:dyDescent="0.25">
      <c r="A74" s="3"/>
      <c r="E74" s="3"/>
      <c r="F74" s="3"/>
    </row>
    <row r="75" spans="1:6" ht="12.75" customHeight="1" x14ac:dyDescent="0.25">
      <c r="A75" s="3"/>
      <c r="E75" s="3"/>
      <c r="F75" s="3"/>
    </row>
    <row r="76" spans="1:6" ht="12.75" customHeight="1" x14ac:dyDescent="0.25">
      <c r="A76" s="3"/>
      <c r="E76" s="3"/>
      <c r="F76" s="3"/>
    </row>
    <row r="77" spans="1:6" ht="12.75" customHeight="1" x14ac:dyDescent="0.25">
      <c r="A77" s="3"/>
      <c r="E77" s="3"/>
      <c r="F77" s="3"/>
    </row>
    <row r="78" spans="1:6" ht="12.75" customHeight="1" x14ac:dyDescent="0.25">
      <c r="A78" s="3"/>
      <c r="E78" s="3"/>
      <c r="F78" s="3"/>
    </row>
    <row r="79" spans="1:6" ht="12.75" customHeight="1" x14ac:dyDescent="0.25">
      <c r="A79" s="3"/>
      <c r="E79" s="3"/>
      <c r="F79" s="3"/>
    </row>
    <row r="80" spans="1:6" ht="12.75" customHeight="1" x14ac:dyDescent="0.25">
      <c r="A80" s="3"/>
      <c r="E80" s="3"/>
      <c r="F80" s="3"/>
    </row>
    <row r="81" spans="1:6" ht="12.75" customHeight="1" x14ac:dyDescent="0.25">
      <c r="A81" s="3"/>
      <c r="E81" s="3"/>
      <c r="F81" s="3"/>
    </row>
    <row r="82" spans="1:6" ht="12.75" customHeight="1" x14ac:dyDescent="0.25">
      <c r="A82" s="3"/>
      <c r="E82" s="3"/>
      <c r="F82" s="3"/>
    </row>
    <row r="83" spans="1:6" ht="12.75" customHeight="1" x14ac:dyDescent="0.25">
      <c r="E83" s="3"/>
      <c r="F83" s="3"/>
    </row>
    <row r="84" spans="1:6" ht="12.75" customHeight="1" x14ac:dyDescent="0.25">
      <c r="E84" s="3"/>
      <c r="F84" s="3"/>
    </row>
    <row r="85" spans="1:6" ht="12.75" customHeight="1" x14ac:dyDescent="0.25">
      <c r="A85" s="3"/>
      <c r="E85" s="3"/>
      <c r="F85" s="3"/>
    </row>
    <row r="86" spans="1:6" ht="12.75" customHeight="1" x14ac:dyDescent="0.25">
      <c r="A86" s="3"/>
      <c r="E86" s="3"/>
      <c r="F86" s="3"/>
    </row>
    <row r="87" spans="1:6" ht="12.75" customHeight="1" x14ac:dyDescent="0.25">
      <c r="A87" s="3"/>
      <c r="E87" s="3"/>
      <c r="F87" s="3"/>
    </row>
    <row r="88" spans="1:6" ht="12.75" customHeight="1" x14ac:dyDescent="0.25">
      <c r="A88" s="3"/>
      <c r="E88" s="3"/>
      <c r="F88" s="3"/>
    </row>
    <row r="89" spans="1:6" ht="12.75" customHeight="1" x14ac:dyDescent="0.25">
      <c r="A89" s="3"/>
      <c r="E89" s="3"/>
      <c r="F89" s="3"/>
    </row>
    <row r="90" spans="1:6" ht="12.75" customHeight="1" x14ac:dyDescent="0.25">
      <c r="A90" s="3"/>
      <c r="E90" s="3"/>
      <c r="F90" s="3"/>
    </row>
    <row r="91" spans="1:6" ht="12.75" customHeight="1" x14ac:dyDescent="0.25">
      <c r="A91" s="3"/>
      <c r="E91" s="3"/>
      <c r="F91" s="3"/>
    </row>
    <row r="92" spans="1:6" ht="12.75" customHeight="1" x14ac:dyDescent="0.25">
      <c r="A92" s="3"/>
      <c r="E92" s="3"/>
      <c r="F92" s="3"/>
    </row>
    <row r="93" spans="1:6" ht="12.75" customHeight="1" x14ac:dyDescent="0.25">
      <c r="A93" s="3"/>
      <c r="E93" s="3"/>
      <c r="F93" s="3"/>
    </row>
    <row r="94" spans="1:6" ht="12.75" customHeight="1" x14ac:dyDescent="0.25">
      <c r="A94" s="3"/>
      <c r="E94" s="3"/>
      <c r="F94" s="3"/>
    </row>
    <row r="95" spans="1:6" ht="12.75" customHeight="1" x14ac:dyDescent="0.25">
      <c r="A95" s="3"/>
      <c r="E95" s="3"/>
      <c r="F95" s="3"/>
    </row>
    <row r="96" spans="1:6" ht="12.75" customHeight="1" x14ac:dyDescent="0.25">
      <c r="A96" s="3"/>
      <c r="E96" s="3"/>
      <c r="F96" s="3"/>
    </row>
    <row r="97" spans="1:6" ht="12.75" customHeight="1" x14ac:dyDescent="0.25">
      <c r="E97" s="3"/>
      <c r="F97" s="3"/>
    </row>
    <row r="98" spans="1:6" ht="12.75" customHeight="1" x14ac:dyDescent="0.25">
      <c r="E98" s="3"/>
      <c r="F98" s="3"/>
    </row>
    <row r="99" spans="1:6" ht="12.75" customHeight="1" x14ac:dyDescent="0.25">
      <c r="A99" s="3"/>
      <c r="E99" s="3"/>
      <c r="F99" s="3"/>
    </row>
    <row r="100" spans="1:6" ht="12.75" customHeight="1" x14ac:dyDescent="0.25">
      <c r="A100" s="3"/>
      <c r="E100" s="3"/>
      <c r="F100" s="3"/>
    </row>
    <row r="101" spans="1:6" ht="12.75" customHeight="1" x14ac:dyDescent="0.25">
      <c r="A101" s="3"/>
      <c r="E101" s="3"/>
      <c r="F101" s="3"/>
    </row>
    <row r="102" spans="1:6" ht="12.75" customHeight="1" x14ac:dyDescent="0.25">
      <c r="A102" s="3"/>
      <c r="E102" s="3"/>
      <c r="F102" s="3"/>
    </row>
    <row r="103" spans="1:6" ht="12.75" customHeight="1" x14ac:dyDescent="0.25">
      <c r="A103" s="3"/>
      <c r="E103" s="3"/>
      <c r="F103" s="3"/>
    </row>
    <row r="104" spans="1:6" ht="12.75" customHeight="1" x14ac:dyDescent="0.25">
      <c r="A104" s="3"/>
      <c r="E104" s="3"/>
      <c r="F104" s="3"/>
    </row>
    <row r="105" spans="1:6" ht="12.75" customHeight="1" x14ac:dyDescent="0.25">
      <c r="A105" s="3"/>
      <c r="E105" s="3"/>
      <c r="F105" s="3"/>
    </row>
    <row r="106" spans="1:6" ht="12.75" customHeight="1" x14ac:dyDescent="0.25">
      <c r="A106" s="3"/>
      <c r="E106" s="3"/>
      <c r="F106" s="3"/>
    </row>
    <row r="107" spans="1:6" ht="12.75" customHeight="1" x14ac:dyDescent="0.25">
      <c r="A107" s="3"/>
      <c r="E107" s="3"/>
      <c r="F107" s="3"/>
    </row>
    <row r="108" spans="1:6" ht="12.75" customHeight="1" x14ac:dyDescent="0.25">
      <c r="A108" s="3"/>
      <c r="E108" s="3"/>
      <c r="F108" s="3"/>
    </row>
    <row r="109" spans="1:6" ht="12.75" customHeight="1" x14ac:dyDescent="0.25">
      <c r="A109" s="3"/>
      <c r="E109" s="3"/>
      <c r="F109" s="3"/>
    </row>
    <row r="110" spans="1:6" ht="12.75" customHeight="1" x14ac:dyDescent="0.25">
      <c r="A110" s="3"/>
      <c r="E110" s="3"/>
      <c r="F110" s="3"/>
    </row>
    <row r="111" spans="1:6" ht="12.75" customHeight="1" x14ac:dyDescent="0.25">
      <c r="E111" s="3"/>
      <c r="F111" s="3"/>
    </row>
    <row r="112" spans="1:6" ht="12.75" customHeight="1" x14ac:dyDescent="0.25">
      <c r="E112" s="3"/>
      <c r="F112" s="3"/>
    </row>
    <row r="113" spans="1:6" ht="12.75" customHeight="1" x14ac:dyDescent="0.25">
      <c r="A113" s="3"/>
      <c r="E113" s="3"/>
      <c r="F113" s="3"/>
    </row>
    <row r="114" spans="1:6" ht="12.75" customHeight="1" x14ac:dyDescent="0.25">
      <c r="A114" s="3"/>
      <c r="E114" s="3"/>
      <c r="F114" s="3"/>
    </row>
    <row r="115" spans="1:6" ht="12.75" customHeight="1" x14ac:dyDescent="0.25">
      <c r="A115" s="3"/>
      <c r="E115" s="3"/>
      <c r="F115" s="3"/>
    </row>
    <row r="116" spans="1:6" ht="12.75" customHeight="1" x14ac:dyDescent="0.25">
      <c r="A116" s="3"/>
      <c r="E116" s="3"/>
      <c r="F116" s="3"/>
    </row>
    <row r="117" spans="1:6" ht="12.75" customHeight="1" x14ac:dyDescent="0.25">
      <c r="A117" s="3"/>
      <c r="E117" s="3"/>
      <c r="F117" s="3"/>
    </row>
    <row r="118" spans="1:6" ht="12.75" customHeight="1" x14ac:dyDescent="0.25">
      <c r="A118" s="3"/>
      <c r="E118" s="3"/>
      <c r="F118" s="3"/>
    </row>
    <row r="119" spans="1:6" ht="12.75" customHeight="1" x14ac:dyDescent="0.25">
      <c r="A119" s="3"/>
      <c r="E119" s="3"/>
      <c r="F119" s="3"/>
    </row>
    <row r="120" spans="1:6" ht="12.75" customHeight="1" x14ac:dyDescent="0.25">
      <c r="A120" s="3"/>
      <c r="E120" s="3"/>
      <c r="F120" s="3"/>
    </row>
    <row r="121" spans="1:6" ht="12.75" customHeight="1" x14ac:dyDescent="0.25">
      <c r="A121" s="3"/>
      <c r="E121" s="3"/>
      <c r="F121" s="3"/>
    </row>
    <row r="122" spans="1:6" ht="12.75" customHeight="1" x14ac:dyDescent="0.25">
      <c r="A122" s="3"/>
      <c r="E122" s="3"/>
      <c r="F122" s="3"/>
    </row>
    <row r="123" spans="1:6" ht="12.75" customHeight="1" x14ac:dyDescent="0.25">
      <c r="A123" s="3"/>
      <c r="E123" s="3"/>
      <c r="F123" s="3"/>
    </row>
    <row r="124" spans="1:6" ht="12.75" customHeight="1" x14ac:dyDescent="0.25">
      <c r="A124" s="3"/>
      <c r="E124" s="3"/>
      <c r="F124" s="3"/>
    </row>
    <row r="125" spans="1:6" ht="12.75" customHeight="1" x14ac:dyDescent="0.25">
      <c r="E125" s="3"/>
      <c r="F125" s="3"/>
    </row>
    <row r="126" spans="1:6" ht="12.75" customHeight="1" x14ac:dyDescent="0.25">
      <c r="E126" s="3"/>
      <c r="F126" s="3"/>
    </row>
    <row r="127" spans="1:6" ht="12.75" customHeight="1" x14ac:dyDescent="0.25">
      <c r="A127" s="3"/>
      <c r="E127" s="3"/>
      <c r="F127" s="3"/>
    </row>
    <row r="128" spans="1:6" ht="12.75" customHeight="1" x14ac:dyDescent="0.25">
      <c r="A128" s="3"/>
      <c r="E128" s="3"/>
      <c r="F128" s="3"/>
    </row>
    <row r="129" spans="1:6" ht="12.75" customHeight="1" x14ac:dyDescent="0.25">
      <c r="A129" s="3"/>
      <c r="E129" s="3"/>
      <c r="F129" s="3"/>
    </row>
    <row r="130" spans="1:6" ht="12.75" customHeight="1" x14ac:dyDescent="0.25">
      <c r="A130" s="3"/>
      <c r="E130" s="3"/>
      <c r="F130" s="3"/>
    </row>
    <row r="131" spans="1:6" ht="12.75" customHeight="1" x14ac:dyDescent="0.25">
      <c r="A131" s="3"/>
      <c r="E131" s="3"/>
      <c r="F131" s="3"/>
    </row>
    <row r="132" spans="1:6" ht="12.75" customHeight="1" x14ac:dyDescent="0.25">
      <c r="A132" s="3"/>
      <c r="E132" s="3"/>
      <c r="F132" s="3"/>
    </row>
    <row r="133" spans="1:6" ht="12.75" customHeight="1" x14ac:dyDescent="0.25">
      <c r="A133" s="3"/>
      <c r="E133" s="3"/>
      <c r="F133" s="3"/>
    </row>
    <row r="134" spans="1:6" ht="12.75" customHeight="1" x14ac:dyDescent="0.25">
      <c r="A134" s="3"/>
      <c r="E134" s="3"/>
      <c r="F134" s="3"/>
    </row>
    <row r="135" spans="1:6" ht="12.75" customHeight="1" x14ac:dyDescent="0.25">
      <c r="A135" s="3"/>
      <c r="E135" s="3"/>
      <c r="F135" s="3"/>
    </row>
    <row r="136" spans="1:6" ht="12.75" customHeight="1" x14ac:dyDescent="0.25">
      <c r="A136" s="3"/>
      <c r="E136" s="3"/>
      <c r="F136" s="3"/>
    </row>
    <row r="137" spans="1:6" ht="12.75" customHeight="1" x14ac:dyDescent="0.25">
      <c r="A137" s="3"/>
      <c r="E137" s="3"/>
      <c r="F137" s="3"/>
    </row>
    <row r="138" spans="1:6" ht="12.75" customHeight="1" x14ac:dyDescent="0.25">
      <c r="A138" s="3"/>
      <c r="E138" s="3"/>
      <c r="F138" s="3"/>
    </row>
    <row r="139" spans="1:6" ht="12.75" customHeight="1" x14ac:dyDescent="0.25">
      <c r="E139" s="3"/>
      <c r="F139" s="3"/>
    </row>
    <row r="140" spans="1:6" ht="12.75" customHeight="1" x14ac:dyDescent="0.25">
      <c r="E140" s="3"/>
      <c r="F140" s="3"/>
    </row>
    <row r="141" spans="1:6" ht="12.75" customHeight="1" x14ac:dyDescent="0.25">
      <c r="A141" s="3"/>
      <c r="E141" s="3"/>
      <c r="F141" s="3"/>
    </row>
    <row r="142" spans="1:6" ht="12.75" customHeight="1" x14ac:dyDescent="0.25">
      <c r="A142" s="3"/>
      <c r="E142" s="3"/>
      <c r="F142" s="3"/>
    </row>
    <row r="143" spans="1:6" ht="12.75" customHeight="1" x14ac:dyDescent="0.25">
      <c r="A143" s="3"/>
      <c r="E143" s="3"/>
      <c r="F143" s="3"/>
    </row>
    <row r="144" spans="1:6" ht="12.75" customHeight="1" x14ac:dyDescent="0.25">
      <c r="A144" s="3"/>
      <c r="E144" s="3"/>
      <c r="F144" s="3"/>
    </row>
    <row r="145" spans="1:6" ht="12.75" customHeight="1" x14ac:dyDescent="0.25">
      <c r="A145" s="3"/>
      <c r="E145" s="3"/>
      <c r="F145" s="3"/>
    </row>
    <row r="146" spans="1:6" ht="12.75" customHeight="1" x14ac:dyDescent="0.25">
      <c r="A146" s="3"/>
      <c r="E146" s="3"/>
      <c r="F146" s="3"/>
    </row>
    <row r="147" spans="1:6" ht="12.75" customHeight="1" x14ac:dyDescent="0.25">
      <c r="A147" s="3"/>
      <c r="E147" s="3"/>
      <c r="F147" s="3"/>
    </row>
    <row r="148" spans="1:6" ht="12.75" customHeight="1" x14ac:dyDescent="0.25">
      <c r="A148" s="3"/>
      <c r="E148" s="3"/>
      <c r="F148" s="3"/>
    </row>
    <row r="149" spans="1:6" ht="12.75" customHeight="1" x14ac:dyDescent="0.25">
      <c r="A149" s="3"/>
      <c r="E149" s="3"/>
      <c r="F149" s="3"/>
    </row>
    <row r="150" spans="1:6" ht="12.75" customHeight="1" x14ac:dyDescent="0.25">
      <c r="A150" s="3"/>
      <c r="E150" s="3"/>
      <c r="F150" s="3"/>
    </row>
    <row r="151" spans="1:6" ht="12.75" customHeight="1" x14ac:dyDescent="0.25">
      <c r="A151" s="3"/>
      <c r="E151" s="3"/>
      <c r="F151" s="3"/>
    </row>
    <row r="152" spans="1:6" ht="12.75" customHeight="1" x14ac:dyDescent="0.25">
      <c r="A152" s="3"/>
      <c r="E152" s="3"/>
      <c r="F152" s="3"/>
    </row>
    <row r="153" spans="1:6" ht="12.75" customHeight="1" x14ac:dyDescent="0.25">
      <c r="E153" s="3"/>
      <c r="F153" s="3"/>
    </row>
    <row r="154" spans="1:6" ht="12.75" customHeight="1" x14ac:dyDescent="0.25">
      <c r="E154" s="3"/>
      <c r="F154" s="3"/>
    </row>
    <row r="155" spans="1:6" ht="12.75" customHeight="1" x14ac:dyDescent="0.25">
      <c r="A155" s="3"/>
      <c r="E155" s="3"/>
      <c r="F155" s="3"/>
    </row>
    <row r="156" spans="1:6" ht="12.75" customHeight="1" x14ac:dyDescent="0.25">
      <c r="A156" s="3"/>
      <c r="E156" s="3"/>
      <c r="F156" s="3"/>
    </row>
    <row r="157" spans="1:6" ht="12.75" customHeight="1" x14ac:dyDescent="0.25">
      <c r="A157" s="3"/>
      <c r="E157" s="3"/>
      <c r="F157" s="3"/>
    </row>
    <row r="158" spans="1:6" ht="12.75" customHeight="1" x14ac:dyDescent="0.25">
      <c r="A158" s="3"/>
      <c r="E158" s="3"/>
      <c r="F158" s="3"/>
    </row>
    <row r="159" spans="1:6" ht="12.75" customHeight="1" x14ac:dyDescent="0.25">
      <c r="A159" s="3"/>
      <c r="E159" s="3"/>
      <c r="F159" s="3"/>
    </row>
    <row r="160" spans="1:6" ht="12.75" customHeight="1" x14ac:dyDescent="0.25">
      <c r="A160" s="3"/>
      <c r="E160" s="3"/>
      <c r="F160" s="3"/>
    </row>
    <row r="161" spans="1:6" ht="12.75" customHeight="1" x14ac:dyDescent="0.25">
      <c r="A161" s="3"/>
      <c r="E161" s="3"/>
      <c r="F161" s="3"/>
    </row>
    <row r="162" spans="1:6" ht="12.75" customHeight="1" x14ac:dyDescent="0.25">
      <c r="A162" s="3"/>
      <c r="E162" s="3"/>
      <c r="F162" s="3"/>
    </row>
    <row r="163" spans="1:6" ht="12.75" customHeight="1" x14ac:dyDescent="0.25">
      <c r="A163" s="3"/>
      <c r="E163" s="3"/>
      <c r="F163" s="3"/>
    </row>
    <row r="164" spans="1:6" ht="12.75" customHeight="1" x14ac:dyDescent="0.25">
      <c r="A164" s="3"/>
      <c r="E164" s="3"/>
      <c r="F164" s="3"/>
    </row>
    <row r="165" spans="1:6" ht="12.75" customHeight="1" x14ac:dyDescent="0.25">
      <c r="A165" s="3"/>
      <c r="E165" s="3"/>
      <c r="F165" s="3"/>
    </row>
    <row r="166" spans="1:6" ht="12.75" customHeight="1" x14ac:dyDescent="0.25">
      <c r="A166" s="3"/>
      <c r="E166" s="3"/>
      <c r="F166" s="3"/>
    </row>
    <row r="167" spans="1:6" ht="12.75" customHeight="1" x14ac:dyDescent="0.25">
      <c r="E167" s="3"/>
      <c r="F167" s="3"/>
    </row>
    <row r="168" spans="1:6" ht="12.75" customHeight="1" x14ac:dyDescent="0.25">
      <c r="E168" s="3"/>
      <c r="F168" s="3"/>
    </row>
    <row r="169" spans="1:6" ht="12.75" customHeight="1" x14ac:dyDescent="0.25">
      <c r="A169" s="3"/>
      <c r="E169" s="3"/>
      <c r="F169" s="3"/>
    </row>
    <row r="170" spans="1:6" ht="12.75" customHeight="1" x14ac:dyDescent="0.25">
      <c r="A170" s="3"/>
      <c r="E170" s="3"/>
      <c r="F170" s="3"/>
    </row>
    <row r="171" spans="1:6" ht="12.75" customHeight="1" x14ac:dyDescent="0.25">
      <c r="A171" s="3"/>
      <c r="E171" s="3"/>
      <c r="F171" s="3"/>
    </row>
    <row r="172" spans="1:6" ht="12.75" customHeight="1" x14ac:dyDescent="0.25">
      <c r="A172" s="3"/>
      <c r="E172" s="3"/>
      <c r="F172" s="3"/>
    </row>
    <row r="173" spans="1:6" ht="12.75" customHeight="1" x14ac:dyDescent="0.25">
      <c r="A173" s="3"/>
      <c r="E173" s="3"/>
      <c r="F173" s="3"/>
    </row>
    <row r="174" spans="1:6" ht="12.75" customHeight="1" x14ac:dyDescent="0.25">
      <c r="A174" s="3"/>
      <c r="E174" s="3"/>
      <c r="F174" s="3"/>
    </row>
    <row r="175" spans="1:6" ht="12.75" customHeight="1" x14ac:dyDescent="0.25">
      <c r="A175" s="3"/>
      <c r="E175" s="3"/>
      <c r="F175" s="3"/>
    </row>
    <row r="176" spans="1:6" ht="12.75" customHeight="1" x14ac:dyDescent="0.25">
      <c r="A176" s="3"/>
      <c r="E176" s="3"/>
      <c r="F176" s="3"/>
    </row>
    <row r="177" spans="1:6" ht="12.75" customHeight="1" x14ac:dyDescent="0.25">
      <c r="A177" s="3"/>
      <c r="E177" s="3"/>
      <c r="F177" s="3"/>
    </row>
    <row r="178" spans="1:6" ht="12.75" customHeight="1" x14ac:dyDescent="0.25">
      <c r="A178" s="3"/>
      <c r="E178" s="3"/>
      <c r="F178" s="3"/>
    </row>
    <row r="179" spans="1:6" ht="12.75" customHeight="1" x14ac:dyDescent="0.25">
      <c r="A179" s="3"/>
      <c r="E179" s="3"/>
      <c r="F179" s="3"/>
    </row>
    <row r="180" spans="1:6" ht="12.75" customHeight="1" x14ac:dyDescent="0.25">
      <c r="A180" s="3"/>
      <c r="E180" s="3"/>
      <c r="F180" s="3"/>
    </row>
    <row r="181" spans="1:6" ht="12.75" customHeight="1" x14ac:dyDescent="0.25">
      <c r="E181" s="3"/>
      <c r="F181" s="3"/>
    </row>
    <row r="182" spans="1:6" ht="12.75" customHeight="1" x14ac:dyDescent="0.25">
      <c r="E182" s="3"/>
      <c r="F182" s="3"/>
    </row>
    <row r="183" spans="1:6" ht="12.75" customHeight="1" x14ac:dyDescent="0.25">
      <c r="E183" s="3"/>
      <c r="F183" s="3"/>
    </row>
    <row r="184" spans="1:6" ht="12.75" customHeight="1" x14ac:dyDescent="0.25">
      <c r="E184" s="3"/>
      <c r="F184" s="3"/>
    </row>
    <row r="185" spans="1:6" ht="12.75" customHeight="1" x14ac:dyDescent="0.25">
      <c r="E185" s="3"/>
      <c r="F185" s="3"/>
    </row>
    <row r="186" spans="1:6" ht="12.75" customHeight="1" x14ac:dyDescent="0.25">
      <c r="E186" s="3"/>
      <c r="F186" s="3"/>
    </row>
    <row r="187" spans="1:6" ht="12.75" customHeight="1" x14ac:dyDescent="0.25">
      <c r="E187" s="3"/>
      <c r="F187" s="3"/>
    </row>
    <row r="188" spans="1:6" ht="12.75" customHeight="1" x14ac:dyDescent="0.25">
      <c r="E188" s="3"/>
      <c r="F188" s="3"/>
    </row>
    <row r="189" spans="1:6" ht="12.75" customHeight="1" x14ac:dyDescent="0.25">
      <c r="E189" s="3"/>
      <c r="F189" s="3"/>
    </row>
    <row r="190" spans="1:6" ht="12.75" customHeight="1" x14ac:dyDescent="0.25">
      <c r="E190" s="3"/>
      <c r="F190" s="3"/>
    </row>
    <row r="191" spans="1:6" ht="12.75" customHeight="1" x14ac:dyDescent="0.25">
      <c r="E191" s="3"/>
      <c r="F191" s="3"/>
    </row>
    <row r="192" spans="1:6" ht="12.75" customHeight="1" x14ac:dyDescent="0.25">
      <c r="E192" s="3"/>
      <c r="F192" s="3"/>
    </row>
    <row r="193" spans="5:6" ht="12.75" customHeight="1" x14ac:dyDescent="0.25">
      <c r="E193" s="3"/>
      <c r="F193" s="3"/>
    </row>
    <row r="194" spans="5:6" ht="12.75" customHeight="1" x14ac:dyDescent="0.25">
      <c r="E194" s="3"/>
      <c r="F194" s="3"/>
    </row>
    <row r="195" spans="5:6" ht="12.75" customHeight="1" x14ac:dyDescent="0.25">
      <c r="E195" s="3"/>
      <c r="F195" s="3"/>
    </row>
    <row r="196" spans="5:6" ht="12.75" customHeight="1" x14ac:dyDescent="0.25">
      <c r="E196" s="3"/>
      <c r="F196" s="3"/>
    </row>
    <row r="197" spans="5:6" ht="12.75" customHeight="1" x14ac:dyDescent="0.25">
      <c r="E197" s="3"/>
      <c r="F197" s="3"/>
    </row>
    <row r="198" spans="5:6" ht="12.75" customHeight="1" x14ac:dyDescent="0.25">
      <c r="E198" s="3"/>
      <c r="F198" s="3"/>
    </row>
    <row r="199" spans="5:6" ht="12.75" customHeight="1" x14ac:dyDescent="0.25">
      <c r="E199" s="3"/>
      <c r="F199" s="3"/>
    </row>
    <row r="200" spans="5:6" ht="12.75" customHeight="1" x14ac:dyDescent="0.25">
      <c r="E200" s="3"/>
      <c r="F200" s="3"/>
    </row>
    <row r="201" spans="5:6" ht="12.75" customHeight="1" x14ac:dyDescent="0.25">
      <c r="E201" s="3"/>
      <c r="F201" s="3"/>
    </row>
    <row r="202" spans="5:6" ht="12.75" customHeight="1" x14ac:dyDescent="0.25">
      <c r="E202" s="3"/>
      <c r="F202" s="3"/>
    </row>
    <row r="203" spans="5:6" ht="12.75" customHeight="1" x14ac:dyDescent="0.25">
      <c r="E203" s="3"/>
      <c r="F203" s="3"/>
    </row>
    <row r="204" spans="5:6" ht="12.75" customHeight="1" x14ac:dyDescent="0.25">
      <c r="E204" s="3"/>
      <c r="F204" s="3"/>
    </row>
    <row r="205" spans="5:6" ht="12.75" customHeight="1" x14ac:dyDescent="0.25">
      <c r="E205" s="3"/>
      <c r="F205" s="3"/>
    </row>
    <row r="206" spans="5:6" ht="12.75" customHeight="1" x14ac:dyDescent="0.25">
      <c r="E206" s="3"/>
      <c r="F206" s="3"/>
    </row>
    <row r="207" spans="5:6" ht="12.75" customHeight="1" x14ac:dyDescent="0.25">
      <c r="E207" s="3"/>
      <c r="F207" s="3"/>
    </row>
    <row r="208" spans="5:6" ht="12.75" customHeight="1" x14ac:dyDescent="0.25">
      <c r="E208" s="3"/>
      <c r="F208" s="3"/>
    </row>
    <row r="209" spans="5:6" ht="12.75" customHeight="1" x14ac:dyDescent="0.25">
      <c r="E209" s="3"/>
      <c r="F209" s="3"/>
    </row>
    <row r="210" spans="5:6" ht="12.75" customHeight="1" x14ac:dyDescent="0.25">
      <c r="E210" s="3"/>
      <c r="F210" s="3"/>
    </row>
    <row r="211" spans="5:6" ht="12.75" customHeight="1" x14ac:dyDescent="0.25">
      <c r="E211" s="3"/>
      <c r="F211" s="3"/>
    </row>
    <row r="212" spans="5:6" ht="12.75" customHeight="1" x14ac:dyDescent="0.25">
      <c r="E212" s="3"/>
      <c r="F212" s="3"/>
    </row>
    <row r="213" spans="5:6" ht="12.75" customHeight="1" x14ac:dyDescent="0.25">
      <c r="E213" s="3"/>
      <c r="F213" s="3"/>
    </row>
    <row r="214" spans="5:6" ht="12.75" customHeight="1" x14ac:dyDescent="0.25">
      <c r="E214" s="3"/>
      <c r="F214" s="3"/>
    </row>
    <row r="215" spans="5:6" ht="12.75" customHeight="1" x14ac:dyDescent="0.25">
      <c r="E215" s="3"/>
      <c r="F215" s="3"/>
    </row>
    <row r="216" spans="5:6" ht="12.75" customHeight="1" x14ac:dyDescent="0.25">
      <c r="E216" s="3"/>
      <c r="F216" s="3"/>
    </row>
    <row r="217" spans="5:6" ht="12.75" customHeight="1" x14ac:dyDescent="0.25">
      <c r="E217" s="3"/>
      <c r="F217" s="3"/>
    </row>
    <row r="218" spans="5:6" ht="12.75" customHeight="1" x14ac:dyDescent="0.25">
      <c r="E218" s="3"/>
      <c r="F218" s="3"/>
    </row>
    <row r="219" spans="5:6" ht="12.75" customHeight="1" x14ac:dyDescent="0.25">
      <c r="E219" s="3"/>
      <c r="F219" s="3"/>
    </row>
    <row r="220" spans="5:6" ht="12.75" customHeight="1" x14ac:dyDescent="0.25">
      <c r="E220" s="3"/>
      <c r="F220" s="3"/>
    </row>
    <row r="221" spans="5:6" ht="12.75" customHeight="1" x14ac:dyDescent="0.25">
      <c r="E221" s="3"/>
      <c r="F221" s="3"/>
    </row>
    <row r="222" spans="5:6" ht="12.75" customHeight="1" x14ac:dyDescent="0.25">
      <c r="E222" s="3"/>
      <c r="F222" s="3"/>
    </row>
    <row r="223" spans="5:6" ht="12.75" customHeight="1" x14ac:dyDescent="0.25">
      <c r="E223" s="3"/>
      <c r="F223" s="3"/>
    </row>
    <row r="224" spans="5:6" ht="12.75" customHeight="1" x14ac:dyDescent="0.25">
      <c r="E224" s="3"/>
      <c r="F224" s="3"/>
    </row>
    <row r="225" spans="5:6" ht="12.75" customHeight="1" x14ac:dyDescent="0.25">
      <c r="E225" s="3"/>
      <c r="F225" s="3"/>
    </row>
    <row r="226" spans="5:6" ht="12.75" customHeight="1" x14ac:dyDescent="0.25">
      <c r="E226" s="3"/>
      <c r="F226" s="3"/>
    </row>
    <row r="227" spans="5:6" ht="12.75" customHeight="1" x14ac:dyDescent="0.25">
      <c r="E227" s="3"/>
      <c r="F227" s="3"/>
    </row>
    <row r="228" spans="5:6" ht="12.75" customHeight="1" x14ac:dyDescent="0.25">
      <c r="E228" s="3"/>
      <c r="F228" s="3"/>
    </row>
    <row r="229" spans="5:6" ht="12.75" customHeight="1" x14ac:dyDescent="0.25">
      <c r="E229" s="3"/>
      <c r="F229" s="3"/>
    </row>
    <row r="230" spans="5:6" ht="12.75" customHeight="1" x14ac:dyDescent="0.25">
      <c r="E230" s="3"/>
      <c r="F230" s="3"/>
    </row>
    <row r="231" spans="5:6" ht="12.75" customHeight="1" x14ac:dyDescent="0.25">
      <c r="E231" s="3"/>
      <c r="F231" s="3"/>
    </row>
    <row r="232" spans="5:6" ht="12.75" customHeight="1" x14ac:dyDescent="0.25">
      <c r="E232" s="3"/>
      <c r="F232" s="3"/>
    </row>
    <row r="233" spans="5:6" ht="12.75" customHeight="1" x14ac:dyDescent="0.25">
      <c r="E233" s="3"/>
      <c r="F233" s="3"/>
    </row>
    <row r="234" spans="5:6" ht="12.75" customHeight="1" x14ac:dyDescent="0.25">
      <c r="E234" s="3"/>
      <c r="F234" s="3"/>
    </row>
    <row r="235" spans="5:6" ht="12.75" customHeight="1" x14ac:dyDescent="0.25">
      <c r="E235" s="3"/>
      <c r="F235" s="3"/>
    </row>
    <row r="236" spans="5:6" ht="12.75" customHeight="1" x14ac:dyDescent="0.25">
      <c r="E236" s="3"/>
      <c r="F236" s="3"/>
    </row>
    <row r="237" spans="5:6" ht="12.75" customHeight="1" x14ac:dyDescent="0.25">
      <c r="E237" s="3"/>
      <c r="F237" s="3"/>
    </row>
    <row r="238" spans="5:6" ht="12.75" customHeight="1" x14ac:dyDescent="0.25">
      <c r="E238" s="3"/>
      <c r="F238" s="3"/>
    </row>
    <row r="239" spans="5:6" ht="12.75" customHeight="1" x14ac:dyDescent="0.25">
      <c r="E239" s="3"/>
      <c r="F239" s="3"/>
    </row>
    <row r="240" spans="5:6" ht="12.75" customHeight="1" x14ac:dyDescent="0.25">
      <c r="E240" s="3"/>
      <c r="F240" s="3"/>
    </row>
    <row r="241" spans="5:6" ht="12.75" customHeight="1" x14ac:dyDescent="0.25">
      <c r="E241" s="3"/>
      <c r="F241" s="3"/>
    </row>
    <row r="242" spans="5:6" ht="12.75" customHeight="1" x14ac:dyDescent="0.25">
      <c r="E242" s="3"/>
      <c r="F242" s="3"/>
    </row>
    <row r="243" spans="5:6" ht="12.75" customHeight="1" x14ac:dyDescent="0.25">
      <c r="E243" s="3"/>
      <c r="F243" s="3"/>
    </row>
    <row r="244" spans="5:6" ht="12.75" customHeight="1" x14ac:dyDescent="0.25">
      <c r="E244" s="3"/>
      <c r="F244" s="3"/>
    </row>
    <row r="245" spans="5:6" ht="12.75" customHeight="1" x14ac:dyDescent="0.25">
      <c r="E245" s="3"/>
      <c r="F245" s="3"/>
    </row>
    <row r="246" spans="5:6" ht="12.75" customHeight="1" x14ac:dyDescent="0.25">
      <c r="E246" s="3"/>
      <c r="F246" s="3"/>
    </row>
    <row r="247" spans="5:6" ht="12.75" customHeight="1" x14ac:dyDescent="0.25">
      <c r="E247" s="3"/>
      <c r="F247" s="3"/>
    </row>
    <row r="248" spans="5:6" ht="12.75" customHeight="1" x14ac:dyDescent="0.25">
      <c r="E248" s="3"/>
      <c r="F248" s="3"/>
    </row>
    <row r="249" spans="5:6" ht="12.75" customHeight="1" x14ac:dyDescent="0.25">
      <c r="E249" s="3"/>
      <c r="F249" s="3"/>
    </row>
    <row r="250" spans="5:6" ht="12.75" customHeight="1" x14ac:dyDescent="0.25">
      <c r="E250" s="3"/>
      <c r="F250" s="3"/>
    </row>
    <row r="251" spans="5:6" ht="12.75" customHeight="1" x14ac:dyDescent="0.25">
      <c r="E251" s="3"/>
      <c r="F251" s="3"/>
    </row>
    <row r="252" spans="5:6" ht="12.75" customHeight="1" x14ac:dyDescent="0.25">
      <c r="E252" s="3"/>
      <c r="F252" s="3"/>
    </row>
    <row r="253" spans="5:6" ht="12.75" customHeight="1" x14ac:dyDescent="0.25">
      <c r="E253" s="3"/>
      <c r="F253" s="3"/>
    </row>
    <row r="254" spans="5:6" ht="12.75" customHeight="1" x14ac:dyDescent="0.25">
      <c r="E254" s="3"/>
      <c r="F254" s="3"/>
    </row>
    <row r="255" spans="5:6" ht="12.75" customHeight="1" x14ac:dyDescent="0.25">
      <c r="E255" s="3"/>
      <c r="F255" s="3"/>
    </row>
    <row r="256" spans="5:6" ht="12.75" customHeight="1" x14ac:dyDescent="0.25">
      <c r="E256" s="3"/>
      <c r="F256" s="3"/>
    </row>
    <row r="257" spans="5:6" ht="12.75" customHeight="1" x14ac:dyDescent="0.25">
      <c r="E257" s="3"/>
      <c r="F257" s="3"/>
    </row>
    <row r="258" spans="5:6" ht="12.75" customHeight="1" x14ac:dyDescent="0.25">
      <c r="E258" s="3"/>
      <c r="F258" s="3"/>
    </row>
    <row r="259" spans="5:6" ht="12.75" customHeight="1" x14ac:dyDescent="0.25">
      <c r="E259" s="3"/>
      <c r="F259" s="3"/>
    </row>
    <row r="260" spans="5:6" ht="12.75" customHeight="1" x14ac:dyDescent="0.25">
      <c r="E260" s="3"/>
      <c r="F260" s="3"/>
    </row>
    <row r="261" spans="5:6" ht="12.75" customHeight="1" x14ac:dyDescent="0.25">
      <c r="E261" s="3"/>
      <c r="F261" s="3"/>
    </row>
    <row r="262" spans="5:6" ht="12.75" customHeight="1" x14ac:dyDescent="0.25">
      <c r="E262" s="3"/>
      <c r="F262" s="3"/>
    </row>
    <row r="263" spans="5:6" ht="12.75" customHeight="1" x14ac:dyDescent="0.25">
      <c r="E263" s="3"/>
      <c r="F263" s="3"/>
    </row>
    <row r="264" spans="5:6" ht="12.75" customHeight="1" x14ac:dyDescent="0.25">
      <c r="E264" s="3"/>
      <c r="F264" s="3"/>
    </row>
    <row r="265" spans="5:6" ht="12.75" customHeight="1" x14ac:dyDescent="0.25">
      <c r="E265" s="3"/>
      <c r="F265" s="3"/>
    </row>
    <row r="266" spans="5:6" ht="12.75" customHeight="1" x14ac:dyDescent="0.25">
      <c r="E266" s="3"/>
      <c r="F266" s="3"/>
    </row>
    <row r="267" spans="5:6" ht="12.75" customHeight="1" x14ac:dyDescent="0.25">
      <c r="E267" s="3"/>
      <c r="F267" s="3"/>
    </row>
    <row r="268" spans="5:6" ht="12.75" customHeight="1" x14ac:dyDescent="0.25">
      <c r="E268" s="3"/>
      <c r="F268" s="3"/>
    </row>
    <row r="269" spans="5:6" ht="12.75" customHeight="1" x14ac:dyDescent="0.25">
      <c r="E269" s="3"/>
      <c r="F269" s="3"/>
    </row>
    <row r="270" spans="5:6" ht="12.75" customHeight="1" x14ac:dyDescent="0.25">
      <c r="E270" s="3"/>
      <c r="F270" s="3"/>
    </row>
    <row r="271" spans="5:6" ht="12.75" customHeight="1" x14ac:dyDescent="0.25">
      <c r="E271" s="3"/>
      <c r="F271" s="3"/>
    </row>
    <row r="272" spans="5:6" ht="12.75" customHeight="1" x14ac:dyDescent="0.25">
      <c r="E272" s="3"/>
      <c r="F272" s="3"/>
    </row>
    <row r="273" spans="5:6" ht="12.75" customHeight="1" x14ac:dyDescent="0.25">
      <c r="E273" s="3"/>
      <c r="F273" s="3"/>
    </row>
    <row r="274" spans="5:6" ht="12.75" customHeight="1" x14ac:dyDescent="0.25">
      <c r="E274" s="3"/>
      <c r="F274" s="3"/>
    </row>
    <row r="275" spans="5:6" ht="12.75" customHeight="1" x14ac:dyDescent="0.25">
      <c r="E275" s="3"/>
      <c r="F275" s="3"/>
    </row>
    <row r="276" spans="5:6" ht="12.75" customHeight="1" x14ac:dyDescent="0.25">
      <c r="E276" s="3"/>
      <c r="F276" s="3"/>
    </row>
    <row r="277" spans="5:6" ht="12.75" customHeight="1" x14ac:dyDescent="0.25">
      <c r="E277" s="3"/>
      <c r="F277" s="3"/>
    </row>
    <row r="278" spans="5:6" ht="12.75" customHeight="1" x14ac:dyDescent="0.25">
      <c r="E278" s="3"/>
      <c r="F278" s="3"/>
    </row>
    <row r="279" spans="5:6" ht="12.75" customHeight="1" x14ac:dyDescent="0.25">
      <c r="E279" s="3"/>
      <c r="F279" s="3"/>
    </row>
    <row r="280" spans="5:6" ht="12.75" customHeight="1" x14ac:dyDescent="0.25">
      <c r="E280" s="3"/>
      <c r="F280" s="3"/>
    </row>
    <row r="281" spans="5:6" ht="12.75" customHeight="1" x14ac:dyDescent="0.25">
      <c r="E281" s="3"/>
      <c r="F281" s="3"/>
    </row>
    <row r="282" spans="5:6" ht="12.75" customHeight="1" x14ac:dyDescent="0.25">
      <c r="E282" s="3"/>
      <c r="F282" s="3"/>
    </row>
    <row r="283" spans="5:6" ht="12.75" customHeight="1" x14ac:dyDescent="0.25">
      <c r="E283" s="3"/>
      <c r="F283" s="3"/>
    </row>
    <row r="284" spans="5:6" ht="12.75" customHeight="1" x14ac:dyDescent="0.25">
      <c r="E284" s="3"/>
      <c r="F284" s="3"/>
    </row>
    <row r="285" spans="5:6" ht="12.75" customHeight="1" x14ac:dyDescent="0.25">
      <c r="E285" s="3"/>
      <c r="F285" s="3"/>
    </row>
    <row r="286" spans="5:6" ht="12.75" customHeight="1" x14ac:dyDescent="0.25">
      <c r="E286" s="3"/>
      <c r="F286" s="3"/>
    </row>
    <row r="287" spans="5:6" ht="12.75" customHeight="1" x14ac:dyDescent="0.25">
      <c r="E287" s="3"/>
      <c r="F287" s="3"/>
    </row>
    <row r="288" spans="5:6" ht="12.75" customHeight="1" x14ac:dyDescent="0.25">
      <c r="E288" s="3"/>
      <c r="F288" s="3"/>
    </row>
    <row r="289" spans="5:6" ht="12.75" customHeight="1" x14ac:dyDescent="0.25">
      <c r="E289" s="3"/>
      <c r="F289" s="3"/>
    </row>
    <row r="290" spans="5:6" ht="12.75" customHeight="1" x14ac:dyDescent="0.25">
      <c r="E290" s="3"/>
      <c r="F290" s="3"/>
    </row>
    <row r="291" spans="5:6" ht="12.75" customHeight="1" x14ac:dyDescent="0.25">
      <c r="E291" s="3"/>
      <c r="F291" s="3"/>
    </row>
    <row r="292" spans="5:6" ht="12.75" customHeight="1" x14ac:dyDescent="0.25">
      <c r="E292" s="3"/>
      <c r="F292" s="3"/>
    </row>
    <row r="293" spans="5:6" ht="12.75" customHeight="1" x14ac:dyDescent="0.25">
      <c r="E293" s="3"/>
      <c r="F293" s="3"/>
    </row>
    <row r="294" spans="5:6" ht="12.75" customHeight="1" x14ac:dyDescent="0.25">
      <c r="E294" s="3"/>
      <c r="F294" s="3"/>
    </row>
    <row r="295" spans="5:6" ht="12.75" customHeight="1" x14ac:dyDescent="0.25">
      <c r="E295" s="3"/>
      <c r="F295" s="3"/>
    </row>
    <row r="296" spans="5:6" ht="12.75" customHeight="1" x14ac:dyDescent="0.25">
      <c r="E296" s="3"/>
      <c r="F296" s="3"/>
    </row>
    <row r="297" spans="5:6" ht="12.75" customHeight="1" x14ac:dyDescent="0.25">
      <c r="E297" s="3"/>
      <c r="F297" s="3"/>
    </row>
    <row r="298" spans="5:6" ht="12.75" customHeight="1" x14ac:dyDescent="0.25">
      <c r="E298" s="3"/>
      <c r="F298" s="3"/>
    </row>
    <row r="299" spans="5:6" ht="12.75" customHeight="1" x14ac:dyDescent="0.25">
      <c r="E299" s="3"/>
      <c r="F299" s="3"/>
    </row>
    <row r="300" spans="5:6" ht="12.75" customHeight="1" x14ac:dyDescent="0.25">
      <c r="E300" s="3"/>
      <c r="F300" s="3"/>
    </row>
    <row r="301" spans="5:6" ht="12.75" customHeight="1" x14ac:dyDescent="0.25">
      <c r="E301" s="3"/>
      <c r="F301" s="3"/>
    </row>
    <row r="302" spans="5:6" ht="12.75" customHeight="1" x14ac:dyDescent="0.25">
      <c r="E302" s="3"/>
      <c r="F302" s="3"/>
    </row>
    <row r="303" spans="5:6" ht="12.75" customHeight="1" x14ac:dyDescent="0.25">
      <c r="E303" s="3"/>
      <c r="F303" s="3"/>
    </row>
    <row r="304" spans="5:6" ht="12.75" customHeight="1" x14ac:dyDescent="0.25">
      <c r="E304" s="3"/>
      <c r="F304" s="3"/>
    </row>
    <row r="305" spans="5:6" ht="12.75" customHeight="1" x14ac:dyDescent="0.25">
      <c r="E305" s="3"/>
      <c r="F305" s="3"/>
    </row>
    <row r="306" spans="5:6" ht="12.75" customHeight="1" x14ac:dyDescent="0.25">
      <c r="E306" s="3"/>
      <c r="F306" s="3"/>
    </row>
    <row r="307" spans="5:6" ht="12.75" customHeight="1" x14ac:dyDescent="0.25">
      <c r="E307" s="3"/>
      <c r="F307" s="3"/>
    </row>
    <row r="308" spans="5:6" ht="12.75" customHeight="1" x14ac:dyDescent="0.25">
      <c r="E308" s="3"/>
      <c r="F308" s="3"/>
    </row>
    <row r="309" spans="5:6" ht="12.75" customHeight="1" x14ac:dyDescent="0.25">
      <c r="E309" s="3"/>
      <c r="F309" s="3"/>
    </row>
    <row r="310" spans="5:6" ht="12.75" customHeight="1" x14ac:dyDescent="0.25">
      <c r="E310" s="3"/>
      <c r="F310" s="3"/>
    </row>
    <row r="311" spans="5:6" ht="12.75" customHeight="1" x14ac:dyDescent="0.25">
      <c r="E311" s="3"/>
      <c r="F311" s="3"/>
    </row>
    <row r="312" spans="5:6" ht="12.75" customHeight="1" x14ac:dyDescent="0.25">
      <c r="E312" s="3"/>
      <c r="F312" s="3"/>
    </row>
    <row r="313" spans="5:6" ht="12.75" customHeight="1" x14ac:dyDescent="0.25">
      <c r="E313" s="3"/>
      <c r="F313" s="3"/>
    </row>
    <row r="314" spans="5:6" ht="12.75" customHeight="1" x14ac:dyDescent="0.25">
      <c r="E314" s="3"/>
      <c r="F314" s="3"/>
    </row>
    <row r="315" spans="5:6" ht="12.75" customHeight="1" x14ac:dyDescent="0.25">
      <c r="E315" s="3"/>
      <c r="F315" s="3"/>
    </row>
    <row r="316" spans="5:6" ht="12.75" customHeight="1" x14ac:dyDescent="0.25">
      <c r="E316" s="3"/>
      <c r="F316" s="3"/>
    </row>
    <row r="317" spans="5:6" ht="12.75" customHeight="1" x14ac:dyDescent="0.25">
      <c r="E317" s="3"/>
      <c r="F317" s="3"/>
    </row>
    <row r="318" spans="5:6" ht="12.75" customHeight="1" x14ac:dyDescent="0.25">
      <c r="E318" s="3"/>
      <c r="F318" s="3"/>
    </row>
    <row r="319" spans="5:6" ht="12.75" customHeight="1" x14ac:dyDescent="0.25">
      <c r="E319" s="3"/>
      <c r="F319" s="3"/>
    </row>
    <row r="320" spans="5:6" ht="12.75" customHeight="1" x14ac:dyDescent="0.25">
      <c r="E320" s="3"/>
      <c r="F320" s="3"/>
    </row>
    <row r="321" spans="5:6" ht="12.75" customHeight="1" x14ac:dyDescent="0.25">
      <c r="E321" s="3"/>
      <c r="F321" s="3"/>
    </row>
    <row r="322" spans="5:6" ht="12.75" customHeight="1" x14ac:dyDescent="0.25">
      <c r="E322" s="3"/>
      <c r="F322" s="3"/>
    </row>
    <row r="323" spans="5:6" ht="12.75" customHeight="1" x14ac:dyDescent="0.25">
      <c r="E323" s="3"/>
      <c r="F323" s="3"/>
    </row>
    <row r="324" spans="5:6" ht="12.75" customHeight="1" x14ac:dyDescent="0.25">
      <c r="E324" s="3"/>
      <c r="F324" s="3"/>
    </row>
    <row r="325" spans="5:6" ht="12.75" customHeight="1" x14ac:dyDescent="0.25">
      <c r="E325" s="3"/>
      <c r="F325" s="3"/>
    </row>
    <row r="326" spans="5:6" ht="12.75" customHeight="1" x14ac:dyDescent="0.25">
      <c r="E326" s="3"/>
      <c r="F326" s="3"/>
    </row>
    <row r="327" spans="5:6" ht="12.75" customHeight="1" x14ac:dyDescent="0.25">
      <c r="E327" s="3"/>
      <c r="F327" s="3"/>
    </row>
    <row r="328" spans="5:6" ht="12.75" customHeight="1" x14ac:dyDescent="0.25">
      <c r="E328" s="3"/>
      <c r="F328" s="3"/>
    </row>
    <row r="329" spans="5:6" ht="12.75" customHeight="1" x14ac:dyDescent="0.25">
      <c r="E329" s="3"/>
      <c r="F329" s="3"/>
    </row>
    <row r="330" spans="5:6" ht="12.75" customHeight="1" x14ac:dyDescent="0.25">
      <c r="E330" s="3"/>
      <c r="F330" s="3"/>
    </row>
    <row r="331" spans="5:6" ht="12.75" customHeight="1" x14ac:dyDescent="0.25">
      <c r="E331" s="3"/>
      <c r="F331" s="3"/>
    </row>
    <row r="332" spans="5:6" ht="12.75" customHeight="1" x14ac:dyDescent="0.25">
      <c r="E332" s="3"/>
      <c r="F332" s="3"/>
    </row>
    <row r="333" spans="5:6" ht="12.75" customHeight="1" x14ac:dyDescent="0.25">
      <c r="E333" s="3"/>
      <c r="F333" s="3"/>
    </row>
    <row r="334" spans="5:6" ht="12.75" customHeight="1" x14ac:dyDescent="0.25">
      <c r="E334" s="3"/>
      <c r="F334" s="3"/>
    </row>
    <row r="335" spans="5:6" ht="12.75" customHeight="1" x14ac:dyDescent="0.25">
      <c r="E335" s="3"/>
      <c r="F335" s="3"/>
    </row>
    <row r="336" spans="5:6" ht="12.75" customHeight="1" x14ac:dyDescent="0.25">
      <c r="E336" s="3"/>
      <c r="F336" s="3"/>
    </row>
    <row r="337" spans="5:6" ht="12.75" customHeight="1" x14ac:dyDescent="0.25">
      <c r="E337" s="3"/>
      <c r="F337" s="3"/>
    </row>
    <row r="338" spans="5:6" ht="12.75" customHeight="1" x14ac:dyDescent="0.25">
      <c r="E338" s="3"/>
      <c r="F338" s="3"/>
    </row>
    <row r="339" spans="5:6" ht="12.75" customHeight="1" x14ac:dyDescent="0.25">
      <c r="E339" s="3"/>
      <c r="F339" s="3"/>
    </row>
    <row r="340" spans="5:6" ht="12.75" customHeight="1" x14ac:dyDescent="0.25">
      <c r="E340" s="3"/>
      <c r="F340" s="3"/>
    </row>
    <row r="341" spans="5:6" ht="12.75" customHeight="1" x14ac:dyDescent="0.25">
      <c r="E341" s="3"/>
      <c r="F341" s="3"/>
    </row>
    <row r="342" spans="5:6" ht="12.75" customHeight="1" x14ac:dyDescent="0.25">
      <c r="E342" s="3"/>
      <c r="F342" s="3"/>
    </row>
    <row r="343" spans="5:6" ht="12.75" customHeight="1" x14ac:dyDescent="0.25">
      <c r="E343" s="3"/>
      <c r="F343" s="3"/>
    </row>
    <row r="344" spans="5:6" ht="12.75" customHeight="1" x14ac:dyDescent="0.25">
      <c r="E344" s="3"/>
      <c r="F344" s="3"/>
    </row>
    <row r="345" spans="5:6" ht="12.75" customHeight="1" x14ac:dyDescent="0.25">
      <c r="E345" s="3"/>
      <c r="F345" s="3"/>
    </row>
    <row r="346" spans="5:6" ht="12.75" customHeight="1" x14ac:dyDescent="0.25">
      <c r="E346" s="3"/>
      <c r="F346" s="3"/>
    </row>
    <row r="347" spans="5:6" ht="12.75" customHeight="1" x14ac:dyDescent="0.25">
      <c r="E347" s="3"/>
      <c r="F347" s="3"/>
    </row>
    <row r="348" spans="5:6" ht="12.75" customHeight="1" x14ac:dyDescent="0.25">
      <c r="E348" s="3"/>
      <c r="F348" s="3"/>
    </row>
    <row r="349" spans="5:6" ht="12.75" customHeight="1" x14ac:dyDescent="0.25">
      <c r="E349" s="3"/>
      <c r="F349" s="3"/>
    </row>
    <row r="350" spans="5:6" ht="12.75" customHeight="1" x14ac:dyDescent="0.25">
      <c r="E350" s="3"/>
      <c r="F350" s="3"/>
    </row>
    <row r="351" spans="5:6" ht="12.75" customHeight="1" x14ac:dyDescent="0.25">
      <c r="E351" s="3"/>
      <c r="F351" s="3"/>
    </row>
    <row r="352" spans="5:6" ht="12.75" customHeight="1" x14ac:dyDescent="0.25">
      <c r="E352" s="3"/>
      <c r="F352" s="3"/>
    </row>
    <row r="353" spans="5:6" ht="12.75" customHeight="1" x14ac:dyDescent="0.25">
      <c r="E353" s="3"/>
      <c r="F353" s="3"/>
    </row>
    <row r="354" spans="5:6" ht="12.75" customHeight="1" x14ac:dyDescent="0.25">
      <c r="E354" s="3"/>
      <c r="F354" s="3"/>
    </row>
    <row r="355" spans="5:6" ht="12.75" customHeight="1" x14ac:dyDescent="0.25">
      <c r="E355" s="3"/>
      <c r="F355" s="3"/>
    </row>
    <row r="356" spans="5:6" ht="12.75" customHeight="1" x14ac:dyDescent="0.25">
      <c r="E356" s="3"/>
      <c r="F356" s="3"/>
    </row>
    <row r="357" spans="5:6" ht="12.75" customHeight="1" x14ac:dyDescent="0.25">
      <c r="E357" s="3"/>
      <c r="F357" s="3"/>
    </row>
    <row r="358" spans="5:6" ht="12.75" customHeight="1" x14ac:dyDescent="0.25">
      <c r="E358" s="3"/>
      <c r="F358" s="3"/>
    </row>
    <row r="359" spans="5:6" ht="12.75" customHeight="1" x14ac:dyDescent="0.25">
      <c r="E359" s="3"/>
      <c r="F359" s="3"/>
    </row>
    <row r="360" spans="5:6" ht="12.75" customHeight="1" x14ac:dyDescent="0.25">
      <c r="E360" s="3"/>
      <c r="F360" s="3"/>
    </row>
    <row r="361" spans="5:6" ht="12.75" customHeight="1" x14ac:dyDescent="0.25">
      <c r="E361" s="3"/>
      <c r="F361" s="3"/>
    </row>
    <row r="362" spans="5:6" ht="12.75" customHeight="1" x14ac:dyDescent="0.25">
      <c r="E362" s="3"/>
      <c r="F362" s="3"/>
    </row>
    <row r="363" spans="5:6" ht="12.75" customHeight="1" x14ac:dyDescent="0.25">
      <c r="E363" s="3"/>
      <c r="F363" s="3"/>
    </row>
    <row r="364" spans="5:6" ht="12.75" customHeight="1" x14ac:dyDescent="0.25">
      <c r="E364" s="3"/>
      <c r="F364" s="3"/>
    </row>
    <row r="365" spans="5:6" ht="12.75" customHeight="1" x14ac:dyDescent="0.25">
      <c r="E365" s="3"/>
      <c r="F365" s="3"/>
    </row>
    <row r="366" spans="5:6" ht="12.75" customHeight="1" x14ac:dyDescent="0.25">
      <c r="E366" s="3"/>
      <c r="F366" s="3"/>
    </row>
    <row r="367" spans="5:6" ht="12.75" customHeight="1" x14ac:dyDescent="0.25">
      <c r="E367" s="3"/>
      <c r="F367" s="3"/>
    </row>
    <row r="368" spans="5:6" ht="12.75" customHeight="1" x14ac:dyDescent="0.25">
      <c r="E368" s="3"/>
      <c r="F368" s="3"/>
    </row>
    <row r="369" spans="5:6" ht="12.75" customHeight="1" x14ac:dyDescent="0.25">
      <c r="E369" s="3"/>
      <c r="F369" s="3"/>
    </row>
    <row r="370" spans="5:6" ht="12.75" customHeight="1" x14ac:dyDescent="0.25">
      <c r="E370" s="3"/>
      <c r="F370" s="3"/>
    </row>
    <row r="371" spans="5:6" ht="12.75" customHeight="1" x14ac:dyDescent="0.25">
      <c r="E371" s="3"/>
      <c r="F371" s="3"/>
    </row>
    <row r="372" spans="5:6" ht="12.75" customHeight="1" x14ac:dyDescent="0.25">
      <c r="E372" s="3"/>
      <c r="F372" s="3"/>
    </row>
    <row r="373" spans="5:6" ht="12.75" customHeight="1" x14ac:dyDescent="0.25">
      <c r="E373" s="3"/>
      <c r="F373" s="3"/>
    </row>
    <row r="374" spans="5:6" ht="12.75" customHeight="1" x14ac:dyDescent="0.25">
      <c r="E374" s="3"/>
      <c r="F374" s="3"/>
    </row>
    <row r="375" spans="5:6" ht="12.75" customHeight="1" x14ac:dyDescent="0.25">
      <c r="E375" s="3"/>
      <c r="F375" s="3"/>
    </row>
    <row r="376" spans="5:6" ht="12.75" customHeight="1" x14ac:dyDescent="0.25">
      <c r="E376" s="3"/>
      <c r="F376" s="3"/>
    </row>
    <row r="377" spans="5:6" ht="12.75" customHeight="1" x14ac:dyDescent="0.25">
      <c r="E377" s="3"/>
      <c r="F377" s="3"/>
    </row>
    <row r="378" spans="5:6" ht="12.75" customHeight="1" x14ac:dyDescent="0.25">
      <c r="E378" s="3"/>
      <c r="F378" s="3"/>
    </row>
    <row r="379" spans="5:6" ht="12.75" customHeight="1" x14ac:dyDescent="0.25">
      <c r="E379" s="3"/>
      <c r="F379" s="3"/>
    </row>
    <row r="380" spans="5:6" ht="12.75" customHeight="1" x14ac:dyDescent="0.25">
      <c r="E380" s="3"/>
      <c r="F380" s="3"/>
    </row>
    <row r="381" spans="5:6" ht="12.75" customHeight="1" x14ac:dyDescent="0.25">
      <c r="E381" s="3"/>
      <c r="F381" s="3"/>
    </row>
    <row r="382" spans="5:6" ht="12.75" customHeight="1" x14ac:dyDescent="0.25">
      <c r="E382" s="3"/>
      <c r="F382" s="3"/>
    </row>
    <row r="383" spans="5:6" ht="12.75" customHeight="1" x14ac:dyDescent="0.25">
      <c r="E383" s="3"/>
      <c r="F383" s="3"/>
    </row>
    <row r="384" spans="5:6" ht="12.75" customHeight="1" x14ac:dyDescent="0.25">
      <c r="E384" s="3"/>
      <c r="F384" s="3"/>
    </row>
    <row r="385" spans="5:6" ht="12.75" customHeight="1" x14ac:dyDescent="0.25">
      <c r="E385" s="3"/>
      <c r="F385" s="3"/>
    </row>
    <row r="386" spans="5:6" ht="12.75" customHeight="1" x14ac:dyDescent="0.25">
      <c r="E386" s="3"/>
      <c r="F386" s="3"/>
    </row>
    <row r="387" spans="5:6" ht="12.75" customHeight="1" x14ac:dyDescent="0.25">
      <c r="E387" s="3"/>
      <c r="F387" s="3"/>
    </row>
    <row r="388" spans="5:6" ht="12.75" customHeight="1" x14ac:dyDescent="0.25">
      <c r="E388" s="3"/>
      <c r="F388" s="3"/>
    </row>
    <row r="389" spans="5:6" ht="12.75" customHeight="1" x14ac:dyDescent="0.25">
      <c r="E389" s="3"/>
      <c r="F389" s="3"/>
    </row>
    <row r="390" spans="5:6" ht="12.75" customHeight="1" x14ac:dyDescent="0.25">
      <c r="E390" s="3"/>
      <c r="F390" s="3"/>
    </row>
    <row r="391" spans="5:6" ht="12.75" customHeight="1" x14ac:dyDescent="0.25">
      <c r="E391" s="3"/>
      <c r="F391" s="3"/>
    </row>
    <row r="392" spans="5:6" ht="12.75" customHeight="1" x14ac:dyDescent="0.25">
      <c r="E392" s="3"/>
      <c r="F392" s="3"/>
    </row>
    <row r="393" spans="5:6" ht="12.75" customHeight="1" x14ac:dyDescent="0.25">
      <c r="E393" s="3"/>
      <c r="F393" s="3"/>
    </row>
    <row r="394" spans="5:6" ht="12.75" customHeight="1" x14ac:dyDescent="0.25">
      <c r="E394" s="3"/>
      <c r="F394" s="3"/>
    </row>
    <row r="395" spans="5:6" ht="12.75" customHeight="1" x14ac:dyDescent="0.25">
      <c r="E395" s="3"/>
      <c r="F395" s="3"/>
    </row>
    <row r="396" spans="5:6" ht="12.75" customHeight="1" x14ac:dyDescent="0.25">
      <c r="E396" s="3"/>
      <c r="F396" s="3"/>
    </row>
    <row r="397" spans="5:6" ht="12.75" customHeight="1" x14ac:dyDescent="0.25">
      <c r="E397" s="3"/>
      <c r="F397" s="3"/>
    </row>
    <row r="398" spans="5:6" ht="12.75" customHeight="1" x14ac:dyDescent="0.25">
      <c r="E398" s="3"/>
      <c r="F398" s="3"/>
    </row>
    <row r="399" spans="5:6" ht="12.75" customHeight="1" x14ac:dyDescent="0.25">
      <c r="E399" s="3"/>
      <c r="F399" s="3"/>
    </row>
    <row r="400" spans="5:6" ht="12.75" customHeight="1" x14ac:dyDescent="0.25">
      <c r="E400" s="3"/>
      <c r="F400" s="3"/>
    </row>
    <row r="401" spans="5:6" ht="12.75" customHeight="1" x14ac:dyDescent="0.25">
      <c r="E401" s="3"/>
      <c r="F401" s="3"/>
    </row>
    <row r="402" spans="5:6" ht="12.75" customHeight="1" x14ac:dyDescent="0.25">
      <c r="E402" s="3"/>
      <c r="F402" s="3"/>
    </row>
    <row r="403" spans="5:6" ht="12.75" customHeight="1" x14ac:dyDescent="0.25">
      <c r="E403" s="3"/>
      <c r="F403" s="3"/>
    </row>
    <row r="404" spans="5:6" ht="12.75" customHeight="1" x14ac:dyDescent="0.25">
      <c r="E404" s="3"/>
      <c r="F404" s="3"/>
    </row>
    <row r="405" spans="5:6" ht="12.75" customHeight="1" x14ac:dyDescent="0.25">
      <c r="E405" s="3"/>
      <c r="F405" s="3"/>
    </row>
    <row r="406" spans="5:6" ht="12.75" customHeight="1" x14ac:dyDescent="0.25">
      <c r="E406" s="3"/>
      <c r="F406" s="3"/>
    </row>
    <row r="407" spans="5:6" ht="12.75" customHeight="1" x14ac:dyDescent="0.25">
      <c r="E407" s="3"/>
      <c r="F407" s="3"/>
    </row>
    <row r="408" spans="5:6" ht="12.75" customHeight="1" x14ac:dyDescent="0.25">
      <c r="E408" s="3"/>
      <c r="F408" s="3"/>
    </row>
    <row r="409" spans="5:6" ht="12.75" customHeight="1" x14ac:dyDescent="0.25">
      <c r="E409" s="3"/>
      <c r="F409" s="3"/>
    </row>
    <row r="410" spans="5:6" ht="12.75" customHeight="1" x14ac:dyDescent="0.25">
      <c r="E410" s="3"/>
      <c r="F410" s="3"/>
    </row>
    <row r="411" spans="5:6" ht="12.75" customHeight="1" x14ac:dyDescent="0.25">
      <c r="E411" s="3"/>
      <c r="F411" s="3"/>
    </row>
    <row r="412" spans="5:6" ht="12.75" customHeight="1" x14ac:dyDescent="0.25">
      <c r="E412" s="3"/>
      <c r="F412" s="3"/>
    </row>
    <row r="413" spans="5:6" ht="12.75" customHeight="1" x14ac:dyDescent="0.25">
      <c r="E413" s="3"/>
      <c r="F413" s="3"/>
    </row>
    <row r="414" spans="5:6" ht="12.75" customHeight="1" x14ac:dyDescent="0.25">
      <c r="E414" s="3"/>
      <c r="F414" s="3"/>
    </row>
    <row r="415" spans="5:6" ht="12.75" customHeight="1" x14ac:dyDescent="0.25">
      <c r="E415" s="3"/>
      <c r="F415" s="3"/>
    </row>
    <row r="416" spans="5:6" ht="12.75" customHeight="1" x14ac:dyDescent="0.25">
      <c r="E416" s="3"/>
      <c r="F416" s="3"/>
    </row>
    <row r="417" spans="5:6" ht="12.75" customHeight="1" x14ac:dyDescent="0.25">
      <c r="E417" s="3"/>
      <c r="F417" s="3"/>
    </row>
    <row r="418" spans="5:6" ht="12.75" customHeight="1" x14ac:dyDescent="0.25">
      <c r="E418" s="3"/>
      <c r="F418" s="3"/>
    </row>
    <row r="419" spans="5:6" ht="12.75" customHeight="1" x14ac:dyDescent="0.25">
      <c r="E419" s="3"/>
      <c r="F419" s="3"/>
    </row>
    <row r="420" spans="5:6" ht="12.75" customHeight="1" x14ac:dyDescent="0.25">
      <c r="E420" s="3"/>
      <c r="F420" s="3"/>
    </row>
    <row r="421" spans="5:6" ht="12.75" customHeight="1" x14ac:dyDescent="0.25">
      <c r="E421" s="3"/>
      <c r="F421" s="3"/>
    </row>
    <row r="422" spans="5:6" ht="12.75" customHeight="1" x14ac:dyDescent="0.25">
      <c r="E422" s="3"/>
      <c r="F422" s="3"/>
    </row>
    <row r="423" spans="5:6" ht="12.75" customHeight="1" x14ac:dyDescent="0.25">
      <c r="E423" s="3"/>
      <c r="F423" s="3"/>
    </row>
    <row r="424" spans="5:6" ht="12.75" customHeight="1" x14ac:dyDescent="0.25">
      <c r="E424" s="3"/>
      <c r="F424" s="3"/>
    </row>
    <row r="425" spans="5:6" ht="12.75" customHeight="1" x14ac:dyDescent="0.25">
      <c r="E425" s="3"/>
      <c r="F425" s="3"/>
    </row>
    <row r="426" spans="5:6" ht="12.75" customHeight="1" x14ac:dyDescent="0.25">
      <c r="E426" s="3"/>
      <c r="F426" s="3"/>
    </row>
    <row r="427" spans="5:6" ht="12.75" customHeight="1" x14ac:dyDescent="0.25">
      <c r="E427" s="3"/>
      <c r="F427" s="3"/>
    </row>
    <row r="428" spans="5:6" ht="12.75" customHeight="1" x14ac:dyDescent="0.25">
      <c r="E428" s="3"/>
      <c r="F428" s="3"/>
    </row>
    <row r="429" spans="5:6" ht="12.75" customHeight="1" x14ac:dyDescent="0.25">
      <c r="E429" s="3"/>
      <c r="F429" s="3"/>
    </row>
    <row r="430" spans="5:6" ht="12.75" customHeight="1" x14ac:dyDescent="0.25">
      <c r="E430" s="3"/>
      <c r="F430" s="3"/>
    </row>
    <row r="431" spans="5:6" ht="12.75" customHeight="1" x14ac:dyDescent="0.25">
      <c r="E431" s="3"/>
      <c r="F431" s="3"/>
    </row>
    <row r="432" spans="5:6" ht="12.75" customHeight="1" x14ac:dyDescent="0.25">
      <c r="E432" s="3"/>
      <c r="F432" s="3"/>
    </row>
    <row r="433" spans="5:6" ht="12.75" customHeight="1" x14ac:dyDescent="0.25">
      <c r="E433" s="3"/>
      <c r="F433" s="3"/>
    </row>
    <row r="434" spans="5:6" ht="12.75" customHeight="1" x14ac:dyDescent="0.25">
      <c r="E434" s="3"/>
      <c r="F434" s="3"/>
    </row>
    <row r="435" spans="5:6" ht="12.75" customHeight="1" x14ac:dyDescent="0.25">
      <c r="E435" s="3"/>
      <c r="F435" s="3"/>
    </row>
    <row r="436" spans="5:6" ht="12.75" customHeight="1" x14ac:dyDescent="0.25">
      <c r="E436" s="3"/>
      <c r="F436" s="3"/>
    </row>
    <row r="437" spans="5:6" ht="12.75" customHeight="1" x14ac:dyDescent="0.25">
      <c r="E437" s="3"/>
      <c r="F437" s="3"/>
    </row>
    <row r="438" spans="5:6" ht="12.75" customHeight="1" x14ac:dyDescent="0.25">
      <c r="E438" s="3"/>
      <c r="F438" s="3"/>
    </row>
    <row r="439" spans="5:6" ht="12.75" customHeight="1" x14ac:dyDescent="0.25">
      <c r="E439" s="3"/>
      <c r="F439" s="3"/>
    </row>
    <row r="440" spans="5:6" ht="12.75" customHeight="1" x14ac:dyDescent="0.25">
      <c r="E440" s="3"/>
      <c r="F440" s="3"/>
    </row>
    <row r="441" spans="5:6" ht="12.75" customHeight="1" x14ac:dyDescent="0.25">
      <c r="E441" s="3"/>
      <c r="F441" s="3"/>
    </row>
    <row r="442" spans="5:6" ht="12.75" customHeight="1" x14ac:dyDescent="0.25">
      <c r="E442" s="3"/>
      <c r="F442" s="3"/>
    </row>
    <row r="443" spans="5:6" ht="12.75" customHeight="1" x14ac:dyDescent="0.25">
      <c r="E443" s="3"/>
      <c r="F443" s="3"/>
    </row>
    <row r="444" spans="5:6" ht="12.75" customHeight="1" x14ac:dyDescent="0.25">
      <c r="E444" s="3"/>
      <c r="F444" s="3"/>
    </row>
    <row r="445" spans="5:6" ht="12.75" customHeight="1" x14ac:dyDescent="0.25">
      <c r="E445" s="3"/>
      <c r="F445" s="3"/>
    </row>
    <row r="446" spans="5:6" ht="12.75" customHeight="1" x14ac:dyDescent="0.25">
      <c r="E446" s="3"/>
      <c r="F446" s="3"/>
    </row>
    <row r="447" spans="5:6" ht="12.75" customHeight="1" x14ac:dyDescent="0.25">
      <c r="E447" s="3"/>
      <c r="F447" s="3"/>
    </row>
    <row r="448" spans="5:6" ht="12.75" customHeight="1" x14ac:dyDescent="0.25">
      <c r="E448" s="3"/>
      <c r="F448" s="3"/>
    </row>
    <row r="449" spans="5:6" ht="12.75" customHeight="1" x14ac:dyDescent="0.25">
      <c r="E449" s="3"/>
      <c r="F449" s="3"/>
    </row>
    <row r="450" spans="5:6" ht="12.75" customHeight="1" x14ac:dyDescent="0.25">
      <c r="E450" s="3"/>
      <c r="F450" s="3"/>
    </row>
    <row r="451" spans="5:6" ht="12.75" customHeight="1" x14ac:dyDescent="0.25">
      <c r="E451" s="3"/>
      <c r="F451" s="3"/>
    </row>
    <row r="452" spans="5:6" ht="12.75" customHeight="1" x14ac:dyDescent="0.25">
      <c r="E452" s="3"/>
      <c r="F452" s="3"/>
    </row>
    <row r="453" spans="5:6" ht="12.75" customHeight="1" x14ac:dyDescent="0.25">
      <c r="E453" s="3"/>
      <c r="F453" s="3"/>
    </row>
    <row r="454" spans="5:6" ht="12.75" customHeight="1" x14ac:dyDescent="0.25">
      <c r="E454" s="3"/>
      <c r="F454" s="3"/>
    </row>
    <row r="455" spans="5:6" ht="12.75" customHeight="1" x14ac:dyDescent="0.25">
      <c r="E455" s="3"/>
      <c r="F455" s="3"/>
    </row>
    <row r="456" spans="5:6" ht="12.75" customHeight="1" x14ac:dyDescent="0.25">
      <c r="E456" s="3"/>
      <c r="F456" s="3"/>
    </row>
    <row r="457" spans="5:6" ht="12.75" customHeight="1" x14ac:dyDescent="0.25">
      <c r="E457" s="3"/>
      <c r="F457" s="3"/>
    </row>
    <row r="458" spans="5:6" ht="12.75" customHeight="1" x14ac:dyDescent="0.25">
      <c r="E458" s="3"/>
      <c r="F458" s="3"/>
    </row>
    <row r="459" spans="5:6" ht="12.75" customHeight="1" x14ac:dyDescent="0.25">
      <c r="E459" s="3"/>
      <c r="F459" s="3"/>
    </row>
    <row r="460" spans="5:6" ht="12.75" customHeight="1" x14ac:dyDescent="0.25">
      <c r="E460" s="3"/>
      <c r="F460" s="3"/>
    </row>
    <row r="461" spans="5:6" ht="12.75" customHeight="1" x14ac:dyDescent="0.25">
      <c r="E461" s="3"/>
      <c r="F461" s="3"/>
    </row>
    <row r="462" spans="5:6" ht="12.75" customHeight="1" x14ac:dyDescent="0.25">
      <c r="E462" s="3"/>
      <c r="F462" s="3"/>
    </row>
    <row r="463" spans="5:6" ht="12.75" customHeight="1" x14ac:dyDescent="0.25">
      <c r="E463" s="3"/>
      <c r="F463" s="3"/>
    </row>
    <row r="464" spans="5:6" ht="12.75" customHeight="1" x14ac:dyDescent="0.25">
      <c r="E464" s="3"/>
      <c r="F464" s="3"/>
    </row>
    <row r="465" spans="5:6" ht="12.75" customHeight="1" x14ac:dyDescent="0.25">
      <c r="E465" s="3"/>
      <c r="F465" s="3"/>
    </row>
    <row r="466" spans="5:6" ht="12.75" customHeight="1" x14ac:dyDescent="0.25">
      <c r="E466" s="3"/>
      <c r="F466" s="3"/>
    </row>
    <row r="467" spans="5:6" ht="12.75" customHeight="1" x14ac:dyDescent="0.25">
      <c r="E467" s="3"/>
      <c r="F467" s="3"/>
    </row>
    <row r="468" spans="5:6" ht="12.75" customHeight="1" x14ac:dyDescent="0.25">
      <c r="E468" s="3"/>
      <c r="F468" s="3"/>
    </row>
    <row r="469" spans="5:6" ht="12.75" customHeight="1" x14ac:dyDescent="0.25">
      <c r="E469" s="3"/>
      <c r="F469" s="3"/>
    </row>
    <row r="470" spans="5:6" ht="12.75" customHeight="1" x14ac:dyDescent="0.25">
      <c r="E470" s="3"/>
      <c r="F470" s="3"/>
    </row>
    <row r="471" spans="5:6" ht="12.75" customHeight="1" x14ac:dyDescent="0.25">
      <c r="E471" s="3"/>
      <c r="F471" s="3"/>
    </row>
    <row r="472" spans="5:6" ht="12.75" customHeight="1" x14ac:dyDescent="0.25">
      <c r="E472" s="3"/>
      <c r="F472" s="3"/>
    </row>
    <row r="473" spans="5:6" ht="12.75" customHeight="1" x14ac:dyDescent="0.25">
      <c r="E473" s="3"/>
      <c r="F473" s="3"/>
    </row>
    <row r="474" spans="5:6" ht="12.75" customHeight="1" x14ac:dyDescent="0.25">
      <c r="E474" s="3"/>
      <c r="F474" s="3"/>
    </row>
    <row r="475" spans="5:6" ht="12.75" customHeight="1" x14ac:dyDescent="0.25">
      <c r="E475" s="3"/>
      <c r="F475" s="3"/>
    </row>
    <row r="476" spans="5:6" ht="12.75" customHeight="1" x14ac:dyDescent="0.25">
      <c r="E476" s="3"/>
      <c r="F476" s="3"/>
    </row>
    <row r="477" spans="5:6" ht="12.75" customHeight="1" x14ac:dyDescent="0.25">
      <c r="E477" s="3"/>
      <c r="F477" s="3"/>
    </row>
    <row r="478" spans="5:6" ht="12.75" customHeight="1" x14ac:dyDescent="0.25">
      <c r="E478" s="3"/>
      <c r="F478" s="3"/>
    </row>
    <row r="479" spans="5:6" ht="12.75" customHeight="1" x14ac:dyDescent="0.25">
      <c r="E479" s="3"/>
      <c r="F479" s="3"/>
    </row>
    <row r="480" spans="5:6" ht="12.75" customHeight="1" x14ac:dyDescent="0.25">
      <c r="E480" s="3"/>
      <c r="F480" s="3"/>
    </row>
    <row r="481" spans="5:6" ht="12.75" customHeight="1" x14ac:dyDescent="0.25">
      <c r="E481" s="3"/>
      <c r="F481" s="3"/>
    </row>
    <row r="482" spans="5:6" ht="12.75" customHeight="1" x14ac:dyDescent="0.25">
      <c r="E482" s="3"/>
      <c r="F482" s="3"/>
    </row>
    <row r="483" spans="5:6" ht="12.75" customHeight="1" x14ac:dyDescent="0.25">
      <c r="E483" s="3"/>
      <c r="F483" s="3"/>
    </row>
    <row r="484" spans="5:6" ht="12.75" customHeight="1" x14ac:dyDescent="0.25">
      <c r="E484" s="3"/>
      <c r="F484" s="3"/>
    </row>
    <row r="485" spans="5:6" ht="12.75" customHeight="1" x14ac:dyDescent="0.25">
      <c r="E485" s="3"/>
      <c r="F485" s="3"/>
    </row>
    <row r="486" spans="5:6" ht="12.75" customHeight="1" x14ac:dyDescent="0.25">
      <c r="E486" s="3"/>
      <c r="F486" s="3"/>
    </row>
    <row r="487" spans="5:6" ht="12.75" customHeight="1" x14ac:dyDescent="0.25">
      <c r="E487" s="3"/>
      <c r="F487" s="3"/>
    </row>
    <row r="488" spans="5:6" ht="12.75" customHeight="1" x14ac:dyDescent="0.25">
      <c r="E488" s="3"/>
      <c r="F488" s="3"/>
    </row>
    <row r="489" spans="5:6" ht="12.75" customHeight="1" x14ac:dyDescent="0.25">
      <c r="E489" s="3"/>
      <c r="F489" s="3"/>
    </row>
    <row r="490" spans="5:6" ht="12.75" customHeight="1" x14ac:dyDescent="0.25">
      <c r="E490" s="3"/>
      <c r="F490" s="3"/>
    </row>
    <row r="491" spans="5:6" ht="12.75" customHeight="1" x14ac:dyDescent="0.25">
      <c r="E491" s="3"/>
      <c r="F491" s="3"/>
    </row>
    <row r="492" spans="5:6" ht="12.75" customHeight="1" x14ac:dyDescent="0.25">
      <c r="E492" s="3"/>
      <c r="F492" s="3"/>
    </row>
    <row r="493" spans="5:6" ht="12.75" customHeight="1" x14ac:dyDescent="0.25">
      <c r="E493" s="3"/>
      <c r="F493" s="3"/>
    </row>
    <row r="494" spans="5:6" ht="12.75" customHeight="1" x14ac:dyDescent="0.25">
      <c r="E494" s="3"/>
      <c r="F494" s="3"/>
    </row>
    <row r="495" spans="5:6" ht="12.75" customHeight="1" x14ac:dyDescent="0.25">
      <c r="E495" s="3"/>
      <c r="F495" s="3"/>
    </row>
    <row r="496" spans="5:6" ht="12.75" customHeight="1" x14ac:dyDescent="0.25">
      <c r="E496" s="3"/>
      <c r="F496" s="3"/>
    </row>
    <row r="497" spans="5:6" ht="12.75" customHeight="1" x14ac:dyDescent="0.25">
      <c r="E497" s="3"/>
      <c r="F497" s="3"/>
    </row>
    <row r="498" spans="5:6" ht="12.75" customHeight="1" x14ac:dyDescent="0.25">
      <c r="E498" s="3"/>
      <c r="F498" s="3"/>
    </row>
    <row r="499" spans="5:6" ht="12.75" customHeight="1" x14ac:dyDescent="0.25">
      <c r="E499" s="3"/>
      <c r="F499" s="3"/>
    </row>
    <row r="500" spans="5:6" ht="12.75" customHeight="1" x14ac:dyDescent="0.25">
      <c r="E500" s="3"/>
      <c r="F500" s="3"/>
    </row>
    <row r="501" spans="5:6" ht="12.75" customHeight="1" x14ac:dyDescent="0.25">
      <c r="E501" s="3"/>
      <c r="F501" s="3"/>
    </row>
    <row r="502" spans="5:6" ht="12.75" customHeight="1" x14ac:dyDescent="0.25">
      <c r="E502" s="3"/>
      <c r="F502" s="3"/>
    </row>
    <row r="503" spans="5:6" ht="12.75" customHeight="1" x14ac:dyDescent="0.25">
      <c r="E503" s="3"/>
      <c r="F503" s="3"/>
    </row>
    <row r="504" spans="5:6" ht="12.75" customHeight="1" x14ac:dyDescent="0.25">
      <c r="E504" s="3"/>
      <c r="F504" s="3"/>
    </row>
    <row r="505" spans="5:6" ht="12.75" customHeight="1" x14ac:dyDescent="0.25">
      <c r="E505" s="3"/>
      <c r="F505" s="3"/>
    </row>
    <row r="506" spans="5:6" ht="12.75" customHeight="1" x14ac:dyDescent="0.25">
      <c r="E506" s="3"/>
      <c r="F506" s="3"/>
    </row>
    <row r="507" spans="5:6" ht="12.75" customHeight="1" x14ac:dyDescent="0.25">
      <c r="E507" s="3"/>
      <c r="F507" s="3"/>
    </row>
    <row r="508" spans="5:6" ht="12.75" customHeight="1" x14ac:dyDescent="0.25">
      <c r="E508" s="3"/>
      <c r="F508" s="3"/>
    </row>
    <row r="509" spans="5:6" ht="12.75" customHeight="1" x14ac:dyDescent="0.25">
      <c r="E509" s="3"/>
      <c r="F509" s="3"/>
    </row>
    <row r="510" spans="5:6" ht="12.75" customHeight="1" x14ac:dyDescent="0.25">
      <c r="E510" s="3"/>
      <c r="F510" s="3"/>
    </row>
    <row r="511" spans="5:6" ht="12.75" customHeight="1" x14ac:dyDescent="0.25">
      <c r="E511" s="3"/>
      <c r="F511" s="3"/>
    </row>
    <row r="512" spans="5:6" ht="12.75" customHeight="1" x14ac:dyDescent="0.25">
      <c r="E512" s="3"/>
      <c r="F512" s="3"/>
    </row>
    <row r="513" spans="5:6" ht="12.75" customHeight="1" x14ac:dyDescent="0.25">
      <c r="E513" s="3"/>
      <c r="F513" s="3"/>
    </row>
    <row r="514" spans="5:6" ht="12.75" customHeight="1" x14ac:dyDescent="0.25">
      <c r="E514" s="3"/>
      <c r="F514" s="3"/>
    </row>
    <row r="515" spans="5:6" ht="12.75" customHeight="1" x14ac:dyDescent="0.25">
      <c r="E515" s="3"/>
      <c r="F515" s="3"/>
    </row>
    <row r="516" spans="5:6" ht="12.75" customHeight="1" x14ac:dyDescent="0.25">
      <c r="E516" s="3"/>
      <c r="F516" s="3"/>
    </row>
    <row r="517" spans="5:6" ht="12.75" customHeight="1" x14ac:dyDescent="0.25">
      <c r="E517" s="3"/>
      <c r="F517" s="3"/>
    </row>
    <row r="518" spans="5:6" ht="12.75" customHeight="1" x14ac:dyDescent="0.25">
      <c r="E518" s="3"/>
      <c r="F518" s="3"/>
    </row>
    <row r="519" spans="5:6" ht="12.75" customHeight="1" x14ac:dyDescent="0.25">
      <c r="E519" s="3"/>
      <c r="F519" s="3"/>
    </row>
    <row r="520" spans="5:6" ht="12.75" customHeight="1" x14ac:dyDescent="0.25">
      <c r="E520" s="3"/>
      <c r="F520" s="3"/>
    </row>
    <row r="521" spans="5:6" ht="12.75" customHeight="1" x14ac:dyDescent="0.25">
      <c r="E521" s="3"/>
      <c r="F521" s="3"/>
    </row>
    <row r="522" spans="5:6" ht="12.75" customHeight="1" x14ac:dyDescent="0.25">
      <c r="E522" s="3"/>
      <c r="F522" s="3"/>
    </row>
    <row r="523" spans="5:6" ht="12.75" customHeight="1" x14ac:dyDescent="0.25">
      <c r="E523" s="3"/>
      <c r="F523" s="3"/>
    </row>
    <row r="524" spans="5:6" ht="12.75" customHeight="1" x14ac:dyDescent="0.25">
      <c r="E524" s="3"/>
      <c r="F524" s="3"/>
    </row>
    <row r="525" spans="5:6" ht="12.75" customHeight="1" x14ac:dyDescent="0.25">
      <c r="E525" s="3"/>
      <c r="F525" s="3"/>
    </row>
    <row r="526" spans="5:6" ht="12.75" customHeight="1" x14ac:dyDescent="0.25">
      <c r="E526" s="3"/>
      <c r="F526" s="3"/>
    </row>
    <row r="527" spans="5:6" ht="12.75" customHeight="1" x14ac:dyDescent="0.25">
      <c r="E527" s="3"/>
      <c r="F527" s="3"/>
    </row>
    <row r="528" spans="5:6" ht="12.75" customHeight="1" x14ac:dyDescent="0.25">
      <c r="E528" s="3"/>
      <c r="F528" s="3"/>
    </row>
    <row r="529" spans="5:6" ht="12.75" customHeight="1" x14ac:dyDescent="0.25">
      <c r="E529" s="3"/>
      <c r="F529" s="3"/>
    </row>
    <row r="530" spans="5:6" ht="12.75" customHeight="1" x14ac:dyDescent="0.25">
      <c r="E530" s="3"/>
      <c r="F530" s="3"/>
    </row>
    <row r="531" spans="5:6" ht="12.75" customHeight="1" x14ac:dyDescent="0.25">
      <c r="E531" s="3"/>
      <c r="F531" s="3"/>
    </row>
    <row r="532" spans="5:6" ht="12.75" customHeight="1" x14ac:dyDescent="0.25">
      <c r="E532" s="3"/>
      <c r="F532" s="3"/>
    </row>
    <row r="533" spans="5:6" ht="12.75" customHeight="1" x14ac:dyDescent="0.25">
      <c r="E533" s="3"/>
      <c r="F533" s="3"/>
    </row>
    <row r="534" spans="5:6" ht="12.75" customHeight="1" x14ac:dyDescent="0.25">
      <c r="E534" s="3"/>
      <c r="F534" s="3"/>
    </row>
    <row r="535" spans="5:6" ht="12.75" customHeight="1" x14ac:dyDescent="0.25">
      <c r="E535" s="3"/>
      <c r="F535" s="3"/>
    </row>
    <row r="536" spans="5:6" ht="12.75" customHeight="1" x14ac:dyDescent="0.25">
      <c r="E536" s="3"/>
      <c r="F536" s="3"/>
    </row>
    <row r="537" spans="5:6" ht="12.75" customHeight="1" x14ac:dyDescent="0.25">
      <c r="E537" s="3"/>
      <c r="F537" s="3"/>
    </row>
    <row r="538" spans="5:6" ht="12.75" customHeight="1" x14ac:dyDescent="0.25">
      <c r="E538" s="3"/>
      <c r="F538" s="3"/>
    </row>
    <row r="539" spans="5:6" ht="12.75" customHeight="1" x14ac:dyDescent="0.25">
      <c r="E539" s="3"/>
      <c r="F539" s="3"/>
    </row>
    <row r="540" spans="5:6" ht="12.75" customHeight="1" x14ac:dyDescent="0.25">
      <c r="E540" s="3"/>
      <c r="F540" s="3"/>
    </row>
    <row r="541" spans="5:6" ht="12.75" customHeight="1" x14ac:dyDescent="0.25">
      <c r="E541" s="3"/>
      <c r="F541" s="3"/>
    </row>
    <row r="542" spans="5:6" ht="12.75" customHeight="1" x14ac:dyDescent="0.25">
      <c r="E542" s="3"/>
      <c r="F542" s="3"/>
    </row>
    <row r="543" spans="5:6" ht="12.75" customHeight="1" x14ac:dyDescent="0.25">
      <c r="E543" s="3"/>
      <c r="F543" s="3"/>
    </row>
    <row r="544" spans="5:6" ht="12.75" customHeight="1" x14ac:dyDescent="0.25">
      <c r="E544" s="3"/>
      <c r="F544" s="3"/>
    </row>
    <row r="545" spans="5:6" ht="12.75" customHeight="1" x14ac:dyDescent="0.25">
      <c r="E545" s="3"/>
      <c r="F545" s="3"/>
    </row>
    <row r="546" spans="5:6" ht="12.75" customHeight="1" x14ac:dyDescent="0.25">
      <c r="E546" s="3"/>
      <c r="F546" s="3"/>
    </row>
    <row r="547" spans="5:6" ht="12.75" customHeight="1" x14ac:dyDescent="0.25">
      <c r="E547" s="3"/>
      <c r="F547" s="3"/>
    </row>
    <row r="548" spans="5:6" ht="12.75" customHeight="1" x14ac:dyDescent="0.25">
      <c r="E548" s="3"/>
      <c r="F548" s="3"/>
    </row>
    <row r="549" spans="5:6" ht="12.75" customHeight="1" x14ac:dyDescent="0.25">
      <c r="E549" s="3"/>
      <c r="F549" s="3"/>
    </row>
    <row r="550" spans="5:6" ht="12.75" customHeight="1" x14ac:dyDescent="0.25">
      <c r="E550" s="3"/>
      <c r="F550" s="3"/>
    </row>
    <row r="551" spans="5:6" ht="12.75" customHeight="1" x14ac:dyDescent="0.25">
      <c r="E551" s="3"/>
      <c r="F551" s="3"/>
    </row>
    <row r="552" spans="5:6" ht="12.75" customHeight="1" x14ac:dyDescent="0.25">
      <c r="E552" s="3"/>
      <c r="F552" s="3"/>
    </row>
    <row r="553" spans="5:6" ht="12.75" customHeight="1" x14ac:dyDescent="0.25">
      <c r="E553" s="3"/>
      <c r="F553" s="3"/>
    </row>
    <row r="554" spans="5:6" ht="12.75" customHeight="1" x14ac:dyDescent="0.25">
      <c r="E554" s="3"/>
      <c r="F554" s="3"/>
    </row>
    <row r="555" spans="5:6" ht="12.75" customHeight="1" x14ac:dyDescent="0.25">
      <c r="E555" s="3"/>
      <c r="F555" s="3"/>
    </row>
    <row r="556" spans="5:6" ht="12.75" customHeight="1" x14ac:dyDescent="0.25">
      <c r="E556" s="3"/>
      <c r="F556" s="3"/>
    </row>
    <row r="557" spans="5:6" ht="12.75" customHeight="1" x14ac:dyDescent="0.25">
      <c r="E557" s="3"/>
      <c r="F557" s="3"/>
    </row>
    <row r="558" spans="5:6" ht="12.75" customHeight="1" x14ac:dyDescent="0.25">
      <c r="E558" s="3"/>
      <c r="F558" s="3"/>
    </row>
    <row r="559" spans="5:6" ht="12.75" customHeight="1" x14ac:dyDescent="0.25">
      <c r="E559" s="3"/>
      <c r="F559" s="3"/>
    </row>
    <row r="560" spans="5:6" ht="12.75" customHeight="1" x14ac:dyDescent="0.25">
      <c r="E560" s="3"/>
      <c r="F560" s="3"/>
    </row>
    <row r="561" spans="5:6" ht="12.75" customHeight="1" x14ac:dyDescent="0.25">
      <c r="E561" s="3"/>
      <c r="F561" s="3"/>
    </row>
    <row r="562" spans="5:6" ht="12.75" customHeight="1" x14ac:dyDescent="0.25">
      <c r="E562" s="3"/>
      <c r="F562" s="3"/>
    </row>
    <row r="563" spans="5:6" ht="12.75" customHeight="1" x14ac:dyDescent="0.25">
      <c r="E563" s="3"/>
      <c r="F563" s="3"/>
    </row>
    <row r="564" spans="5:6" ht="12.75" customHeight="1" x14ac:dyDescent="0.25">
      <c r="E564" s="3"/>
      <c r="F564" s="3"/>
    </row>
    <row r="565" spans="5:6" ht="12.75" customHeight="1" x14ac:dyDescent="0.25">
      <c r="E565" s="3"/>
      <c r="F565" s="3"/>
    </row>
    <row r="566" spans="5:6" ht="12.75" customHeight="1" x14ac:dyDescent="0.25">
      <c r="E566" s="3"/>
      <c r="F566" s="3"/>
    </row>
    <row r="567" spans="5:6" ht="12.75" customHeight="1" x14ac:dyDescent="0.25">
      <c r="E567" s="3"/>
      <c r="F567" s="3"/>
    </row>
    <row r="568" spans="5:6" ht="12.75" customHeight="1" x14ac:dyDescent="0.25">
      <c r="E568" s="3"/>
      <c r="F568" s="3"/>
    </row>
    <row r="569" spans="5:6" ht="12.75" customHeight="1" x14ac:dyDescent="0.25">
      <c r="E569" s="3"/>
      <c r="F569" s="3"/>
    </row>
    <row r="570" spans="5:6" ht="12.75" customHeight="1" x14ac:dyDescent="0.25">
      <c r="E570" s="3"/>
      <c r="F570" s="3"/>
    </row>
    <row r="571" spans="5:6" ht="12.75" customHeight="1" x14ac:dyDescent="0.25">
      <c r="E571" s="3"/>
      <c r="F571" s="3"/>
    </row>
    <row r="572" spans="5:6" ht="12.75" customHeight="1" x14ac:dyDescent="0.25">
      <c r="E572" s="3"/>
      <c r="F572" s="3"/>
    </row>
    <row r="573" spans="5:6" ht="12.75" customHeight="1" x14ac:dyDescent="0.25">
      <c r="E573" s="3"/>
      <c r="F573" s="3"/>
    </row>
    <row r="574" spans="5:6" ht="12.75" customHeight="1" x14ac:dyDescent="0.25">
      <c r="E574" s="3"/>
      <c r="F574" s="3"/>
    </row>
    <row r="575" spans="5:6" ht="12.75" customHeight="1" x14ac:dyDescent="0.25">
      <c r="E575" s="3"/>
      <c r="F575" s="3"/>
    </row>
    <row r="576" spans="5:6" ht="12.75" customHeight="1" x14ac:dyDescent="0.25">
      <c r="E576" s="3"/>
      <c r="F576" s="3"/>
    </row>
    <row r="577" spans="5:6" ht="12.75" customHeight="1" x14ac:dyDescent="0.25">
      <c r="E577" s="3"/>
      <c r="F577" s="3"/>
    </row>
    <row r="578" spans="5:6" ht="12.75" customHeight="1" x14ac:dyDescent="0.25">
      <c r="E578" s="3"/>
      <c r="F578" s="3"/>
    </row>
    <row r="579" spans="5:6" ht="12.75" customHeight="1" x14ac:dyDescent="0.25">
      <c r="E579" s="3"/>
      <c r="F579" s="3"/>
    </row>
    <row r="580" spans="5:6" ht="12.75" customHeight="1" x14ac:dyDescent="0.25">
      <c r="E580" s="3"/>
      <c r="F580" s="3"/>
    </row>
    <row r="581" spans="5:6" ht="12.75" customHeight="1" x14ac:dyDescent="0.25">
      <c r="E581" s="3"/>
      <c r="F581" s="3"/>
    </row>
    <row r="582" spans="5:6" ht="12.75" customHeight="1" x14ac:dyDescent="0.25">
      <c r="E582" s="3"/>
      <c r="F582" s="3"/>
    </row>
    <row r="583" spans="5:6" ht="12.75" customHeight="1" x14ac:dyDescent="0.25">
      <c r="E583" s="3"/>
      <c r="F583" s="3"/>
    </row>
    <row r="584" spans="5:6" ht="12.75" customHeight="1" x14ac:dyDescent="0.25">
      <c r="E584" s="3"/>
      <c r="F584" s="3"/>
    </row>
    <row r="585" spans="5:6" ht="12.75" customHeight="1" x14ac:dyDescent="0.25">
      <c r="E585" s="3"/>
      <c r="F585" s="3"/>
    </row>
    <row r="586" spans="5:6" ht="12.75" customHeight="1" x14ac:dyDescent="0.25">
      <c r="E586" s="3"/>
      <c r="F586" s="3"/>
    </row>
    <row r="587" spans="5:6" ht="12.75" customHeight="1" x14ac:dyDescent="0.25">
      <c r="E587" s="3"/>
      <c r="F587" s="3"/>
    </row>
    <row r="588" spans="5:6" ht="12.75" customHeight="1" x14ac:dyDescent="0.25">
      <c r="E588" s="3"/>
      <c r="F588" s="3"/>
    </row>
    <row r="589" spans="5:6" ht="12.75" customHeight="1" x14ac:dyDescent="0.25">
      <c r="E589" s="3"/>
      <c r="F589" s="3"/>
    </row>
    <row r="590" spans="5:6" ht="12.75" customHeight="1" x14ac:dyDescent="0.25">
      <c r="E590" s="3"/>
      <c r="F590" s="3"/>
    </row>
    <row r="591" spans="5:6" ht="12.75" customHeight="1" x14ac:dyDescent="0.25">
      <c r="E591" s="3"/>
      <c r="F591" s="3"/>
    </row>
    <row r="592" spans="5:6" ht="12.75" customHeight="1" x14ac:dyDescent="0.25">
      <c r="E592" s="3"/>
      <c r="F592" s="3"/>
    </row>
    <row r="593" spans="5:6" ht="12.75" customHeight="1" x14ac:dyDescent="0.25">
      <c r="E593" s="3"/>
      <c r="F593" s="3"/>
    </row>
    <row r="594" spans="5:6" ht="12.75" customHeight="1" x14ac:dyDescent="0.25">
      <c r="E594" s="3"/>
      <c r="F594" s="3"/>
    </row>
    <row r="595" spans="5:6" ht="12.75" customHeight="1" x14ac:dyDescent="0.25">
      <c r="E595" s="3"/>
      <c r="F595" s="3"/>
    </row>
    <row r="596" spans="5:6" ht="12.75" customHeight="1" x14ac:dyDescent="0.25">
      <c r="E596" s="3"/>
      <c r="F596" s="3"/>
    </row>
    <row r="597" spans="5:6" ht="12.75" customHeight="1" x14ac:dyDescent="0.25">
      <c r="E597" s="3"/>
      <c r="F597" s="3"/>
    </row>
    <row r="598" spans="5:6" ht="12.75" customHeight="1" x14ac:dyDescent="0.25">
      <c r="E598" s="3"/>
      <c r="F598" s="3"/>
    </row>
    <row r="599" spans="5:6" ht="12.75" customHeight="1" x14ac:dyDescent="0.25">
      <c r="E599" s="3"/>
      <c r="F599" s="3"/>
    </row>
    <row r="600" spans="5:6" ht="12.75" customHeight="1" x14ac:dyDescent="0.25">
      <c r="E600" s="3"/>
      <c r="F600" s="3"/>
    </row>
    <row r="601" spans="5:6" ht="12.75" customHeight="1" x14ac:dyDescent="0.25">
      <c r="E601" s="3"/>
      <c r="F601" s="3"/>
    </row>
    <row r="602" spans="5:6" ht="12.75" customHeight="1" x14ac:dyDescent="0.25">
      <c r="E602" s="3"/>
      <c r="F602" s="3"/>
    </row>
    <row r="603" spans="5:6" ht="12.75" customHeight="1" x14ac:dyDescent="0.25">
      <c r="E603" s="3"/>
      <c r="F603" s="3"/>
    </row>
    <row r="604" spans="5:6" ht="12.75" customHeight="1" x14ac:dyDescent="0.25">
      <c r="E604" s="3"/>
      <c r="F604" s="3"/>
    </row>
    <row r="605" spans="5:6" ht="12.75" customHeight="1" x14ac:dyDescent="0.25">
      <c r="E605" s="3"/>
      <c r="F605" s="3"/>
    </row>
    <row r="606" spans="5:6" ht="12.75" customHeight="1" x14ac:dyDescent="0.25">
      <c r="E606" s="3"/>
      <c r="F606" s="3"/>
    </row>
    <row r="607" spans="5:6" ht="12.75" customHeight="1" x14ac:dyDescent="0.25">
      <c r="E607" s="3"/>
      <c r="F607" s="3"/>
    </row>
    <row r="608" spans="5:6" ht="12.75" customHeight="1" x14ac:dyDescent="0.25">
      <c r="E608" s="3"/>
      <c r="F608" s="3"/>
    </row>
    <row r="609" spans="5:6" ht="12.75" customHeight="1" x14ac:dyDescent="0.25">
      <c r="E609" s="3"/>
      <c r="F609" s="3"/>
    </row>
    <row r="610" spans="5:6" ht="12.75" customHeight="1" x14ac:dyDescent="0.25">
      <c r="E610" s="3"/>
      <c r="F610" s="3"/>
    </row>
    <row r="611" spans="5:6" ht="12.75" customHeight="1" x14ac:dyDescent="0.25">
      <c r="E611" s="3"/>
      <c r="F611" s="3"/>
    </row>
    <row r="612" spans="5:6" ht="12.75" customHeight="1" x14ac:dyDescent="0.25">
      <c r="E612" s="3"/>
      <c r="F612" s="3"/>
    </row>
    <row r="613" spans="5:6" ht="12.75" customHeight="1" x14ac:dyDescent="0.25">
      <c r="E613" s="3"/>
      <c r="F613" s="3"/>
    </row>
    <row r="614" spans="5:6" ht="12.75" customHeight="1" x14ac:dyDescent="0.25">
      <c r="E614" s="3"/>
      <c r="F614" s="3"/>
    </row>
    <row r="615" spans="5:6" ht="12.75" customHeight="1" x14ac:dyDescent="0.25">
      <c r="E615" s="3"/>
      <c r="F615" s="3"/>
    </row>
    <row r="616" spans="5:6" ht="12.75" customHeight="1" x14ac:dyDescent="0.25">
      <c r="E616" s="3"/>
      <c r="F616" s="3"/>
    </row>
    <row r="617" spans="5:6" ht="12.75" customHeight="1" x14ac:dyDescent="0.25">
      <c r="E617" s="3"/>
      <c r="F617" s="3"/>
    </row>
    <row r="618" spans="5:6" ht="12.75" customHeight="1" x14ac:dyDescent="0.25">
      <c r="E618" s="3"/>
      <c r="F618" s="3"/>
    </row>
    <row r="619" spans="5:6" ht="12.75" customHeight="1" x14ac:dyDescent="0.25">
      <c r="E619" s="3"/>
      <c r="F619" s="3"/>
    </row>
    <row r="620" spans="5:6" ht="12.75" customHeight="1" x14ac:dyDescent="0.25">
      <c r="E620" s="3"/>
      <c r="F620" s="3"/>
    </row>
    <row r="621" spans="5:6" ht="12.75" customHeight="1" x14ac:dyDescent="0.25">
      <c r="E621" s="3"/>
      <c r="F621" s="3"/>
    </row>
    <row r="622" spans="5:6" ht="12.75" customHeight="1" x14ac:dyDescent="0.25">
      <c r="E622" s="3"/>
      <c r="F622" s="3"/>
    </row>
    <row r="623" spans="5:6" ht="12.75" customHeight="1" x14ac:dyDescent="0.25">
      <c r="E623" s="3"/>
      <c r="F623" s="3"/>
    </row>
    <row r="624" spans="5:6" ht="12.75" customHeight="1" x14ac:dyDescent="0.25">
      <c r="E624" s="3"/>
      <c r="F624" s="3"/>
    </row>
    <row r="625" spans="5:6" ht="12.75" customHeight="1" x14ac:dyDescent="0.25">
      <c r="E625" s="3"/>
      <c r="F625" s="3"/>
    </row>
    <row r="626" spans="5:6" ht="12.75" customHeight="1" x14ac:dyDescent="0.25">
      <c r="E626" s="3"/>
      <c r="F626" s="3"/>
    </row>
    <row r="627" spans="5:6" ht="12.75" customHeight="1" x14ac:dyDescent="0.25">
      <c r="E627" s="3"/>
      <c r="F627" s="3"/>
    </row>
    <row r="628" spans="5:6" ht="12.75" customHeight="1" x14ac:dyDescent="0.25">
      <c r="E628" s="3"/>
      <c r="F628" s="3"/>
    </row>
    <row r="629" spans="5:6" ht="12.75" customHeight="1" x14ac:dyDescent="0.25">
      <c r="E629" s="3"/>
      <c r="F629" s="3"/>
    </row>
    <row r="630" spans="5:6" ht="12.75" customHeight="1" x14ac:dyDescent="0.25">
      <c r="E630" s="3"/>
      <c r="F630" s="3"/>
    </row>
    <row r="631" spans="5:6" ht="12.75" customHeight="1" x14ac:dyDescent="0.25">
      <c r="E631" s="3"/>
      <c r="F631" s="3"/>
    </row>
    <row r="632" spans="5:6" ht="12.75" customHeight="1" x14ac:dyDescent="0.25">
      <c r="E632" s="3"/>
      <c r="F632" s="3"/>
    </row>
    <row r="633" spans="5:6" ht="12.75" customHeight="1" x14ac:dyDescent="0.25">
      <c r="E633" s="3"/>
      <c r="F633" s="3"/>
    </row>
    <row r="634" spans="5:6" ht="12.75" customHeight="1" x14ac:dyDescent="0.25">
      <c r="E634" s="3"/>
      <c r="F634" s="3"/>
    </row>
    <row r="635" spans="5:6" ht="12.75" customHeight="1" x14ac:dyDescent="0.25">
      <c r="E635" s="3"/>
      <c r="F635" s="3"/>
    </row>
    <row r="636" spans="5:6" ht="12.75" customHeight="1" x14ac:dyDescent="0.25">
      <c r="E636" s="3"/>
      <c r="F636" s="3"/>
    </row>
    <row r="637" spans="5:6" ht="12.75" customHeight="1" x14ac:dyDescent="0.25">
      <c r="E637" s="3"/>
      <c r="F637" s="3"/>
    </row>
    <row r="638" spans="5:6" ht="12.75" customHeight="1" x14ac:dyDescent="0.25">
      <c r="E638" s="3"/>
      <c r="F638" s="3"/>
    </row>
    <row r="639" spans="5:6" ht="12.75" customHeight="1" x14ac:dyDescent="0.25">
      <c r="E639" s="3"/>
      <c r="F639" s="3"/>
    </row>
    <row r="640" spans="5:6" ht="12.75" customHeight="1" x14ac:dyDescent="0.25">
      <c r="E640" s="3"/>
      <c r="F640" s="3"/>
    </row>
    <row r="641" spans="5:6" ht="12.75" customHeight="1" x14ac:dyDescent="0.25">
      <c r="E641" s="3"/>
      <c r="F641" s="3"/>
    </row>
    <row r="642" spans="5:6" ht="12.75" customHeight="1" x14ac:dyDescent="0.25">
      <c r="E642" s="3"/>
      <c r="F642" s="3"/>
    </row>
    <row r="643" spans="5:6" ht="12.75" customHeight="1" x14ac:dyDescent="0.25">
      <c r="E643" s="3"/>
      <c r="F643" s="3"/>
    </row>
    <row r="644" spans="5:6" ht="12.75" customHeight="1" x14ac:dyDescent="0.25">
      <c r="E644" s="3"/>
      <c r="F644" s="3"/>
    </row>
    <row r="645" spans="5:6" ht="12.75" customHeight="1" x14ac:dyDescent="0.25">
      <c r="E645" s="3"/>
      <c r="F645" s="3"/>
    </row>
    <row r="646" spans="5:6" ht="12.75" customHeight="1" x14ac:dyDescent="0.25">
      <c r="E646" s="3"/>
      <c r="F646" s="3"/>
    </row>
    <row r="647" spans="5:6" ht="12.75" customHeight="1" x14ac:dyDescent="0.25">
      <c r="E647" s="3"/>
      <c r="F647" s="3"/>
    </row>
    <row r="648" spans="5:6" ht="12.75" customHeight="1" x14ac:dyDescent="0.25">
      <c r="E648" s="3"/>
      <c r="F648" s="3"/>
    </row>
    <row r="649" spans="5:6" ht="12.75" customHeight="1" x14ac:dyDescent="0.25">
      <c r="E649" s="3"/>
      <c r="F649" s="3"/>
    </row>
    <row r="650" spans="5:6" ht="12.75" customHeight="1" x14ac:dyDescent="0.25">
      <c r="E650" s="3"/>
      <c r="F650" s="3"/>
    </row>
    <row r="651" spans="5:6" ht="12.75" customHeight="1" x14ac:dyDescent="0.25">
      <c r="E651" s="3"/>
      <c r="F651" s="3"/>
    </row>
    <row r="652" spans="5:6" ht="12.75" customHeight="1" x14ac:dyDescent="0.25">
      <c r="E652" s="3"/>
      <c r="F652" s="3"/>
    </row>
    <row r="653" spans="5:6" ht="12.75" customHeight="1" x14ac:dyDescent="0.25">
      <c r="E653" s="3"/>
      <c r="F653" s="3"/>
    </row>
    <row r="654" spans="5:6" ht="12.75" customHeight="1" x14ac:dyDescent="0.25">
      <c r="E654" s="3"/>
      <c r="F654" s="3"/>
    </row>
    <row r="655" spans="5:6" ht="12.75" customHeight="1" x14ac:dyDescent="0.25">
      <c r="E655" s="3"/>
      <c r="F655" s="3"/>
    </row>
    <row r="656" spans="5:6" ht="12.75" customHeight="1" x14ac:dyDescent="0.25">
      <c r="E656" s="3"/>
      <c r="F656" s="3"/>
    </row>
    <row r="657" spans="5:6" ht="12.75" customHeight="1" x14ac:dyDescent="0.25">
      <c r="E657" s="3"/>
      <c r="F657" s="3"/>
    </row>
    <row r="658" spans="5:6" ht="12.75" customHeight="1" x14ac:dyDescent="0.25">
      <c r="E658" s="3"/>
      <c r="F658" s="3"/>
    </row>
    <row r="659" spans="5:6" ht="12.75" customHeight="1" x14ac:dyDescent="0.25">
      <c r="E659" s="3"/>
      <c r="F659" s="3"/>
    </row>
    <row r="660" spans="5:6" ht="12.75" customHeight="1" x14ac:dyDescent="0.25">
      <c r="E660" s="3"/>
      <c r="F660" s="3"/>
    </row>
    <row r="661" spans="5:6" ht="12.75" customHeight="1" x14ac:dyDescent="0.25">
      <c r="E661" s="3"/>
      <c r="F661" s="3"/>
    </row>
    <row r="662" spans="5:6" ht="12.75" customHeight="1" x14ac:dyDescent="0.25">
      <c r="E662" s="3"/>
      <c r="F662" s="3"/>
    </row>
    <row r="663" spans="5:6" ht="12.75" customHeight="1" x14ac:dyDescent="0.25">
      <c r="E663" s="3"/>
      <c r="F663" s="3"/>
    </row>
    <row r="664" spans="5:6" ht="12.75" customHeight="1" x14ac:dyDescent="0.25">
      <c r="E664" s="3"/>
      <c r="F664" s="3"/>
    </row>
    <row r="665" spans="5:6" ht="12.75" customHeight="1" x14ac:dyDescent="0.25">
      <c r="E665" s="3"/>
      <c r="F665" s="3"/>
    </row>
    <row r="666" spans="5:6" ht="12.75" customHeight="1" x14ac:dyDescent="0.25">
      <c r="E666" s="3"/>
      <c r="F666" s="3"/>
    </row>
    <row r="667" spans="5:6" ht="12.75" customHeight="1" x14ac:dyDescent="0.25">
      <c r="E667" s="3"/>
      <c r="F667" s="3"/>
    </row>
    <row r="668" spans="5:6" ht="12.75" customHeight="1" x14ac:dyDescent="0.25">
      <c r="E668" s="3"/>
      <c r="F668" s="3"/>
    </row>
    <row r="669" spans="5:6" ht="12.75" customHeight="1" x14ac:dyDescent="0.25">
      <c r="E669" s="3"/>
      <c r="F669" s="3"/>
    </row>
    <row r="670" spans="5:6" ht="12.75" customHeight="1" x14ac:dyDescent="0.25">
      <c r="E670" s="3"/>
      <c r="F670" s="3"/>
    </row>
    <row r="671" spans="5:6" ht="12.75" customHeight="1" x14ac:dyDescent="0.25">
      <c r="E671" s="3"/>
      <c r="F671" s="3"/>
    </row>
    <row r="672" spans="5:6" ht="12.75" customHeight="1" x14ac:dyDescent="0.25">
      <c r="E672" s="3"/>
      <c r="F672" s="3"/>
    </row>
    <row r="673" spans="5:6" ht="12.75" customHeight="1" x14ac:dyDescent="0.25">
      <c r="E673" s="3"/>
      <c r="F673" s="3"/>
    </row>
    <row r="674" spans="5:6" ht="12.75" customHeight="1" x14ac:dyDescent="0.25">
      <c r="E674" s="3"/>
      <c r="F674" s="3"/>
    </row>
    <row r="675" spans="5:6" ht="12.75" customHeight="1" x14ac:dyDescent="0.25">
      <c r="E675" s="3"/>
      <c r="F675" s="3"/>
    </row>
    <row r="676" spans="5:6" ht="12.75" customHeight="1" x14ac:dyDescent="0.25">
      <c r="E676" s="3"/>
      <c r="F676" s="3"/>
    </row>
    <row r="677" spans="5:6" ht="12.75" customHeight="1" x14ac:dyDescent="0.25">
      <c r="E677" s="3"/>
      <c r="F677" s="3"/>
    </row>
    <row r="678" spans="5:6" ht="12.75" customHeight="1" x14ac:dyDescent="0.25">
      <c r="E678" s="3"/>
      <c r="F678" s="3"/>
    </row>
    <row r="679" spans="5:6" ht="12.75" customHeight="1" x14ac:dyDescent="0.25">
      <c r="E679" s="3"/>
      <c r="F679" s="3"/>
    </row>
    <row r="680" spans="5:6" ht="12.75" customHeight="1" x14ac:dyDescent="0.25">
      <c r="E680" s="3"/>
      <c r="F680" s="3"/>
    </row>
    <row r="681" spans="5:6" ht="12.75" customHeight="1" x14ac:dyDescent="0.25">
      <c r="E681" s="3"/>
      <c r="F681" s="3"/>
    </row>
    <row r="682" spans="5:6" ht="12.75" customHeight="1" x14ac:dyDescent="0.25">
      <c r="E682" s="3"/>
      <c r="F682" s="3"/>
    </row>
    <row r="683" spans="5:6" ht="12.75" customHeight="1" x14ac:dyDescent="0.25">
      <c r="E683" s="3"/>
      <c r="F683" s="3"/>
    </row>
    <row r="684" spans="5:6" ht="12.75" customHeight="1" x14ac:dyDescent="0.25">
      <c r="E684" s="3"/>
      <c r="F684" s="3"/>
    </row>
    <row r="685" spans="5:6" ht="12.75" customHeight="1" x14ac:dyDescent="0.25">
      <c r="E685" s="3"/>
      <c r="F685" s="3"/>
    </row>
    <row r="686" spans="5:6" ht="12.75" customHeight="1" x14ac:dyDescent="0.25">
      <c r="E686" s="3"/>
      <c r="F686" s="3"/>
    </row>
    <row r="687" spans="5:6" ht="12.75" customHeight="1" x14ac:dyDescent="0.25">
      <c r="E687" s="3"/>
      <c r="F687" s="3"/>
    </row>
    <row r="688" spans="5:6" ht="12.75" customHeight="1" x14ac:dyDescent="0.25">
      <c r="E688" s="3"/>
      <c r="F688" s="3"/>
    </row>
    <row r="689" spans="5:6" ht="12.75" customHeight="1" x14ac:dyDescent="0.25">
      <c r="E689" s="3"/>
      <c r="F689" s="3"/>
    </row>
    <row r="690" spans="5:6" ht="12.75" customHeight="1" x14ac:dyDescent="0.25">
      <c r="E690" s="3"/>
      <c r="F690" s="3"/>
    </row>
    <row r="691" spans="5:6" ht="12.75" customHeight="1" x14ac:dyDescent="0.25">
      <c r="E691" s="3"/>
      <c r="F691" s="3"/>
    </row>
    <row r="692" spans="5:6" ht="12.75" customHeight="1" x14ac:dyDescent="0.25">
      <c r="E692" s="3"/>
      <c r="F692" s="3"/>
    </row>
    <row r="693" spans="5:6" ht="12.75" customHeight="1" x14ac:dyDescent="0.25">
      <c r="E693" s="3"/>
      <c r="F693" s="3"/>
    </row>
    <row r="694" spans="5:6" ht="12.75" customHeight="1" x14ac:dyDescent="0.25">
      <c r="E694" s="3"/>
      <c r="F694" s="3"/>
    </row>
    <row r="695" spans="5:6" ht="12.75" customHeight="1" x14ac:dyDescent="0.25">
      <c r="E695" s="3"/>
      <c r="F695" s="3"/>
    </row>
    <row r="696" spans="5:6" ht="12.75" customHeight="1" x14ac:dyDescent="0.25">
      <c r="E696" s="3"/>
      <c r="F696" s="3"/>
    </row>
    <row r="697" spans="5:6" ht="12.75" customHeight="1" x14ac:dyDescent="0.25">
      <c r="E697" s="3"/>
      <c r="F697" s="3"/>
    </row>
    <row r="698" spans="5:6" ht="12.75" customHeight="1" x14ac:dyDescent="0.25">
      <c r="E698" s="3"/>
      <c r="F698" s="3"/>
    </row>
    <row r="699" spans="5:6" ht="12.75" customHeight="1" x14ac:dyDescent="0.25">
      <c r="E699" s="3"/>
      <c r="F699" s="3"/>
    </row>
    <row r="700" spans="5:6" ht="12.75" customHeight="1" x14ac:dyDescent="0.25">
      <c r="E700" s="3"/>
      <c r="F700" s="3"/>
    </row>
    <row r="701" spans="5:6" ht="12.75" customHeight="1" x14ac:dyDescent="0.25">
      <c r="E701" s="3"/>
      <c r="F701" s="3"/>
    </row>
    <row r="702" spans="5:6" ht="12.75" customHeight="1" x14ac:dyDescent="0.25">
      <c r="E702" s="3"/>
      <c r="F702" s="3"/>
    </row>
    <row r="703" spans="5:6" ht="12.75" customHeight="1" x14ac:dyDescent="0.25">
      <c r="E703" s="3"/>
      <c r="F703" s="3"/>
    </row>
    <row r="704" spans="5:6" ht="12.75" customHeight="1" x14ac:dyDescent="0.25">
      <c r="E704" s="3"/>
      <c r="F704" s="3"/>
    </row>
    <row r="705" spans="5:6" ht="12.75" customHeight="1" x14ac:dyDescent="0.25">
      <c r="E705" s="3"/>
      <c r="F705" s="3"/>
    </row>
    <row r="706" spans="5:6" ht="12.75" customHeight="1" x14ac:dyDescent="0.25">
      <c r="E706" s="3"/>
      <c r="F706" s="3"/>
    </row>
    <row r="707" spans="5:6" ht="12.75" customHeight="1" x14ac:dyDescent="0.25">
      <c r="E707" s="3"/>
      <c r="F707" s="3"/>
    </row>
    <row r="708" spans="5:6" ht="12.75" customHeight="1" x14ac:dyDescent="0.25">
      <c r="E708" s="3"/>
      <c r="F708" s="3"/>
    </row>
    <row r="709" spans="5:6" ht="12.75" customHeight="1" x14ac:dyDescent="0.25">
      <c r="E709" s="3"/>
      <c r="F709" s="3"/>
    </row>
    <row r="710" spans="5:6" ht="12.75" customHeight="1" x14ac:dyDescent="0.25">
      <c r="E710" s="3"/>
      <c r="F710" s="3"/>
    </row>
    <row r="711" spans="5:6" ht="12.75" customHeight="1" x14ac:dyDescent="0.25">
      <c r="E711" s="3"/>
      <c r="F711" s="3"/>
    </row>
    <row r="712" spans="5:6" ht="12.75" customHeight="1" x14ac:dyDescent="0.25">
      <c r="E712" s="3"/>
      <c r="F712" s="3"/>
    </row>
    <row r="713" spans="5:6" ht="12.75" customHeight="1" x14ac:dyDescent="0.25">
      <c r="E713" s="3"/>
      <c r="F713" s="3"/>
    </row>
    <row r="714" spans="5:6" ht="12.75" customHeight="1" x14ac:dyDescent="0.25">
      <c r="E714" s="3"/>
      <c r="F714" s="3"/>
    </row>
    <row r="715" spans="5:6" ht="12.75" customHeight="1" x14ac:dyDescent="0.25">
      <c r="E715" s="3"/>
      <c r="F715" s="3"/>
    </row>
    <row r="716" spans="5:6" ht="12.75" customHeight="1" x14ac:dyDescent="0.25">
      <c r="E716" s="3"/>
      <c r="F716" s="3"/>
    </row>
    <row r="717" spans="5:6" ht="12.75" customHeight="1" x14ac:dyDescent="0.25">
      <c r="E717" s="3"/>
      <c r="F717" s="3"/>
    </row>
    <row r="718" spans="5:6" ht="12.75" customHeight="1" x14ac:dyDescent="0.25">
      <c r="E718" s="3"/>
      <c r="F718" s="3"/>
    </row>
    <row r="719" spans="5:6" ht="12.75" customHeight="1" x14ac:dyDescent="0.25">
      <c r="E719" s="3"/>
      <c r="F719" s="3"/>
    </row>
    <row r="720" spans="5:6" ht="12.75" customHeight="1" x14ac:dyDescent="0.25">
      <c r="E720" s="3"/>
      <c r="F720" s="3"/>
    </row>
    <row r="721" spans="5:6" ht="12.75" customHeight="1" x14ac:dyDescent="0.25">
      <c r="E721" s="3"/>
      <c r="F721" s="3"/>
    </row>
    <row r="722" spans="5:6" ht="12.75" customHeight="1" x14ac:dyDescent="0.25">
      <c r="E722" s="3"/>
      <c r="F722" s="3"/>
    </row>
    <row r="723" spans="5:6" ht="12.75" customHeight="1" x14ac:dyDescent="0.25">
      <c r="E723" s="3"/>
      <c r="F723" s="3"/>
    </row>
    <row r="724" spans="5:6" ht="12.75" customHeight="1" x14ac:dyDescent="0.25">
      <c r="E724" s="3"/>
      <c r="F724" s="3"/>
    </row>
    <row r="725" spans="5:6" ht="12.75" customHeight="1" x14ac:dyDescent="0.25">
      <c r="E725" s="3"/>
      <c r="F725" s="3"/>
    </row>
    <row r="726" spans="5:6" ht="12.75" customHeight="1" x14ac:dyDescent="0.25">
      <c r="E726" s="3"/>
      <c r="F726" s="3"/>
    </row>
    <row r="727" spans="5:6" ht="12.75" customHeight="1" x14ac:dyDescent="0.25">
      <c r="E727" s="3"/>
      <c r="F727" s="3"/>
    </row>
    <row r="728" spans="5:6" ht="12.75" customHeight="1" x14ac:dyDescent="0.25">
      <c r="E728" s="3"/>
      <c r="F728" s="3"/>
    </row>
    <row r="729" spans="5:6" ht="12.75" customHeight="1" x14ac:dyDescent="0.25">
      <c r="E729" s="3"/>
      <c r="F729" s="3"/>
    </row>
    <row r="730" spans="5:6" ht="12.75" customHeight="1" x14ac:dyDescent="0.25">
      <c r="E730" s="3"/>
      <c r="F730" s="3"/>
    </row>
    <row r="731" spans="5:6" ht="12.75" customHeight="1" x14ac:dyDescent="0.25">
      <c r="E731" s="3"/>
      <c r="F731" s="3"/>
    </row>
    <row r="732" spans="5:6" ht="12.75" customHeight="1" x14ac:dyDescent="0.25">
      <c r="E732" s="3"/>
      <c r="F732" s="3"/>
    </row>
    <row r="733" spans="5:6" ht="12.75" customHeight="1" x14ac:dyDescent="0.25">
      <c r="E733" s="3"/>
      <c r="F733" s="3"/>
    </row>
    <row r="734" spans="5:6" ht="12.75" customHeight="1" x14ac:dyDescent="0.25">
      <c r="E734" s="3"/>
      <c r="F734" s="3"/>
    </row>
    <row r="735" spans="5:6" ht="12.75" customHeight="1" x14ac:dyDescent="0.25">
      <c r="E735" s="3"/>
      <c r="F735" s="3"/>
    </row>
    <row r="736" spans="5:6" ht="12.75" customHeight="1" x14ac:dyDescent="0.25">
      <c r="E736" s="3"/>
      <c r="F736" s="3"/>
    </row>
    <row r="737" spans="5:6" ht="12.75" customHeight="1" x14ac:dyDescent="0.25">
      <c r="E737" s="3"/>
      <c r="F737" s="3"/>
    </row>
    <row r="738" spans="5:6" ht="12.75" customHeight="1" x14ac:dyDescent="0.25">
      <c r="E738" s="3"/>
      <c r="F738" s="3"/>
    </row>
    <row r="739" spans="5:6" ht="12.75" customHeight="1" x14ac:dyDescent="0.25">
      <c r="E739" s="3"/>
      <c r="F739" s="3"/>
    </row>
    <row r="740" spans="5:6" ht="12.75" customHeight="1" x14ac:dyDescent="0.25">
      <c r="E740" s="3"/>
      <c r="F740" s="3"/>
    </row>
    <row r="741" spans="5:6" ht="12.75" customHeight="1" x14ac:dyDescent="0.25">
      <c r="E741" s="3"/>
      <c r="F741" s="3"/>
    </row>
    <row r="742" spans="5:6" ht="12.75" customHeight="1" x14ac:dyDescent="0.25">
      <c r="E742" s="3"/>
      <c r="F742" s="3"/>
    </row>
    <row r="743" spans="5:6" ht="12.75" customHeight="1" x14ac:dyDescent="0.25">
      <c r="E743" s="3"/>
      <c r="F743" s="3"/>
    </row>
    <row r="744" spans="5:6" ht="12.75" customHeight="1" x14ac:dyDescent="0.25">
      <c r="E744" s="3"/>
      <c r="F744" s="3"/>
    </row>
    <row r="745" spans="5:6" ht="12.75" customHeight="1" x14ac:dyDescent="0.25">
      <c r="E745" s="3"/>
      <c r="F745" s="3"/>
    </row>
    <row r="746" spans="5:6" ht="12.75" customHeight="1" x14ac:dyDescent="0.25">
      <c r="E746" s="3"/>
      <c r="F746" s="3"/>
    </row>
    <row r="747" spans="5:6" ht="12.75" customHeight="1" x14ac:dyDescent="0.25">
      <c r="E747" s="3"/>
      <c r="F747" s="3"/>
    </row>
    <row r="748" spans="5:6" ht="12.75" customHeight="1" x14ac:dyDescent="0.25">
      <c r="E748" s="3"/>
      <c r="F748" s="3"/>
    </row>
    <row r="749" spans="5:6" ht="12.75" customHeight="1" x14ac:dyDescent="0.25">
      <c r="E749" s="3"/>
      <c r="F749" s="3"/>
    </row>
    <row r="750" spans="5:6" ht="12.75" customHeight="1" x14ac:dyDescent="0.25">
      <c r="E750" s="3"/>
      <c r="F750" s="3"/>
    </row>
    <row r="751" spans="5:6" ht="12.75" customHeight="1" x14ac:dyDescent="0.25">
      <c r="E751" s="3"/>
      <c r="F751" s="3"/>
    </row>
    <row r="752" spans="5:6" ht="12.75" customHeight="1" x14ac:dyDescent="0.25">
      <c r="E752" s="3"/>
      <c r="F752" s="3"/>
    </row>
    <row r="753" spans="5:6" ht="12.75" customHeight="1" x14ac:dyDescent="0.25">
      <c r="E753" s="3"/>
      <c r="F753" s="3"/>
    </row>
    <row r="754" spans="5:6" ht="12.75" customHeight="1" x14ac:dyDescent="0.25">
      <c r="E754" s="3"/>
      <c r="F754" s="3"/>
    </row>
    <row r="755" spans="5:6" ht="12.75" customHeight="1" x14ac:dyDescent="0.25">
      <c r="E755" s="3"/>
      <c r="F755" s="3"/>
    </row>
    <row r="756" spans="5:6" ht="12.75" customHeight="1" x14ac:dyDescent="0.25">
      <c r="E756" s="3"/>
      <c r="F756" s="3"/>
    </row>
    <row r="757" spans="5:6" ht="12.75" customHeight="1" x14ac:dyDescent="0.25">
      <c r="E757" s="3"/>
      <c r="F757" s="3"/>
    </row>
    <row r="758" spans="5:6" ht="12.75" customHeight="1" x14ac:dyDescent="0.25">
      <c r="E758" s="3"/>
      <c r="F758" s="3"/>
    </row>
    <row r="759" spans="5:6" ht="12.75" customHeight="1" x14ac:dyDescent="0.25">
      <c r="E759" s="3"/>
      <c r="F759" s="3"/>
    </row>
    <row r="760" spans="5:6" ht="12.75" customHeight="1" x14ac:dyDescent="0.25">
      <c r="E760" s="3"/>
      <c r="F760" s="3"/>
    </row>
    <row r="761" spans="5:6" ht="12.75" customHeight="1" x14ac:dyDescent="0.25">
      <c r="E761" s="3"/>
      <c r="F761" s="3"/>
    </row>
    <row r="762" spans="5:6" ht="12.75" customHeight="1" x14ac:dyDescent="0.25">
      <c r="E762" s="3"/>
      <c r="F762" s="3"/>
    </row>
    <row r="763" spans="5:6" ht="12.75" customHeight="1" x14ac:dyDescent="0.25">
      <c r="E763" s="3"/>
      <c r="F763" s="3"/>
    </row>
    <row r="764" spans="5:6" ht="12.75" customHeight="1" x14ac:dyDescent="0.25">
      <c r="E764" s="3"/>
      <c r="F764" s="3"/>
    </row>
    <row r="765" spans="5:6" ht="12.75" customHeight="1" x14ac:dyDescent="0.25">
      <c r="E765" s="3"/>
      <c r="F765" s="3"/>
    </row>
    <row r="766" spans="5:6" ht="12.75" customHeight="1" x14ac:dyDescent="0.25">
      <c r="E766" s="3"/>
      <c r="F766" s="3"/>
    </row>
    <row r="767" spans="5:6" ht="12.75" customHeight="1" x14ac:dyDescent="0.25">
      <c r="E767" s="3"/>
      <c r="F767" s="3"/>
    </row>
    <row r="768" spans="5:6" ht="12.75" customHeight="1" x14ac:dyDescent="0.25">
      <c r="E768" s="3"/>
      <c r="F768" s="3"/>
    </row>
    <row r="769" spans="5:6" ht="12.75" customHeight="1" x14ac:dyDescent="0.25">
      <c r="E769" s="3"/>
      <c r="F769" s="3"/>
    </row>
    <row r="770" spans="5:6" ht="12.75" customHeight="1" x14ac:dyDescent="0.25">
      <c r="E770" s="3"/>
      <c r="F770" s="3"/>
    </row>
    <row r="771" spans="5:6" ht="12.75" customHeight="1" x14ac:dyDescent="0.25">
      <c r="E771" s="3"/>
      <c r="F771" s="3"/>
    </row>
    <row r="772" spans="5:6" ht="12.75" customHeight="1" x14ac:dyDescent="0.25">
      <c r="E772" s="3"/>
      <c r="F772" s="3"/>
    </row>
    <row r="773" spans="5:6" ht="12.75" customHeight="1" x14ac:dyDescent="0.25">
      <c r="E773" s="3"/>
      <c r="F773" s="3"/>
    </row>
    <row r="774" spans="5:6" ht="12.75" customHeight="1" x14ac:dyDescent="0.25">
      <c r="E774" s="3"/>
      <c r="F774" s="3"/>
    </row>
    <row r="775" spans="5:6" ht="12.75" customHeight="1" x14ac:dyDescent="0.25">
      <c r="E775" s="3"/>
      <c r="F775" s="3"/>
    </row>
    <row r="776" spans="5:6" ht="12.75" customHeight="1" x14ac:dyDescent="0.25">
      <c r="E776" s="3"/>
      <c r="F776" s="3"/>
    </row>
    <row r="777" spans="5:6" ht="12.75" customHeight="1" x14ac:dyDescent="0.25">
      <c r="E777" s="3"/>
      <c r="F777" s="3"/>
    </row>
    <row r="778" spans="5:6" ht="12.75" customHeight="1" x14ac:dyDescent="0.25">
      <c r="E778" s="3"/>
      <c r="F778" s="3"/>
    </row>
    <row r="779" spans="5:6" ht="12.75" customHeight="1" x14ac:dyDescent="0.25">
      <c r="E779" s="3"/>
      <c r="F779" s="3"/>
    </row>
    <row r="780" spans="5:6" ht="12.75" customHeight="1" x14ac:dyDescent="0.25">
      <c r="E780" s="3"/>
      <c r="F780" s="3"/>
    </row>
    <row r="781" spans="5:6" ht="12.75" customHeight="1" x14ac:dyDescent="0.25">
      <c r="E781" s="3"/>
      <c r="F781" s="3"/>
    </row>
    <row r="782" spans="5:6" ht="12.75" customHeight="1" x14ac:dyDescent="0.25">
      <c r="E782" s="3"/>
      <c r="F782" s="3"/>
    </row>
    <row r="783" spans="5:6" ht="12.75" customHeight="1" x14ac:dyDescent="0.25">
      <c r="E783" s="3"/>
      <c r="F783" s="3"/>
    </row>
    <row r="784" spans="5:6" ht="12.75" customHeight="1" x14ac:dyDescent="0.25">
      <c r="E784" s="3"/>
      <c r="F784" s="3"/>
    </row>
    <row r="785" spans="5:6" ht="12.75" customHeight="1" x14ac:dyDescent="0.25">
      <c r="E785" s="3"/>
      <c r="F785" s="3"/>
    </row>
    <row r="786" spans="5:6" ht="12.75" customHeight="1" x14ac:dyDescent="0.25">
      <c r="E786" s="3"/>
      <c r="F786" s="3"/>
    </row>
    <row r="787" spans="5:6" ht="12.75" customHeight="1" x14ac:dyDescent="0.25">
      <c r="E787" s="3"/>
      <c r="F787" s="3"/>
    </row>
    <row r="788" spans="5:6" ht="12.75" customHeight="1" x14ac:dyDescent="0.25">
      <c r="E788" s="3"/>
      <c r="F788" s="3"/>
    </row>
    <row r="789" spans="5:6" ht="12.75" customHeight="1" x14ac:dyDescent="0.25">
      <c r="E789" s="3"/>
      <c r="F789" s="3"/>
    </row>
    <row r="790" spans="5:6" ht="12.75" customHeight="1" x14ac:dyDescent="0.25">
      <c r="E790" s="3"/>
      <c r="F790" s="3"/>
    </row>
    <row r="791" spans="5:6" ht="12.75" customHeight="1" x14ac:dyDescent="0.25">
      <c r="E791" s="3"/>
      <c r="F791" s="3"/>
    </row>
    <row r="792" spans="5:6" ht="12.75" customHeight="1" x14ac:dyDescent="0.25">
      <c r="E792" s="3"/>
      <c r="F792" s="3"/>
    </row>
    <row r="793" spans="5:6" ht="12.75" customHeight="1" x14ac:dyDescent="0.25">
      <c r="E793" s="3"/>
      <c r="F793" s="3"/>
    </row>
    <row r="794" spans="5:6" ht="12.75" customHeight="1" x14ac:dyDescent="0.25">
      <c r="E794" s="3"/>
      <c r="F794" s="3"/>
    </row>
    <row r="795" spans="5:6" ht="12.75" customHeight="1" x14ac:dyDescent="0.25">
      <c r="E795" s="3"/>
      <c r="F795" s="3"/>
    </row>
    <row r="796" spans="5:6" ht="12.75" customHeight="1" x14ac:dyDescent="0.25">
      <c r="E796" s="3"/>
      <c r="F796" s="3"/>
    </row>
    <row r="797" spans="5:6" ht="12.75" customHeight="1" x14ac:dyDescent="0.25">
      <c r="E797" s="3"/>
      <c r="F797" s="3"/>
    </row>
    <row r="798" spans="5:6" ht="12.75" customHeight="1" x14ac:dyDescent="0.25">
      <c r="E798" s="3"/>
      <c r="F798" s="3"/>
    </row>
    <row r="799" spans="5:6" ht="12.75" customHeight="1" x14ac:dyDescent="0.25">
      <c r="E799" s="3"/>
      <c r="F799" s="3"/>
    </row>
    <row r="800" spans="5:6" ht="12.75" customHeight="1" x14ac:dyDescent="0.25">
      <c r="E800" s="3"/>
      <c r="F800" s="3"/>
    </row>
    <row r="801" spans="5:6" ht="12.75" customHeight="1" x14ac:dyDescent="0.25">
      <c r="E801" s="3"/>
      <c r="F801" s="3"/>
    </row>
    <row r="802" spans="5:6" ht="12.75" customHeight="1" x14ac:dyDescent="0.25">
      <c r="E802" s="3"/>
      <c r="F802" s="3"/>
    </row>
    <row r="803" spans="5:6" ht="12.75" customHeight="1" x14ac:dyDescent="0.25">
      <c r="E803" s="3"/>
      <c r="F803" s="3"/>
    </row>
    <row r="804" spans="5:6" ht="12.75" customHeight="1" x14ac:dyDescent="0.25">
      <c r="E804" s="3"/>
      <c r="F804" s="3"/>
    </row>
    <row r="805" spans="5:6" ht="12.75" customHeight="1" x14ac:dyDescent="0.25">
      <c r="E805" s="3"/>
      <c r="F805" s="3"/>
    </row>
    <row r="806" spans="5:6" ht="12.75" customHeight="1" x14ac:dyDescent="0.25">
      <c r="E806" s="3"/>
      <c r="F806" s="3"/>
    </row>
    <row r="807" spans="5:6" ht="12.75" customHeight="1" x14ac:dyDescent="0.25">
      <c r="E807" s="3"/>
      <c r="F807" s="3"/>
    </row>
    <row r="808" spans="5:6" ht="12.75" customHeight="1" x14ac:dyDescent="0.25">
      <c r="E808" s="3"/>
      <c r="F808" s="3"/>
    </row>
    <row r="809" spans="5:6" ht="12.75" customHeight="1" x14ac:dyDescent="0.25">
      <c r="E809" s="3"/>
      <c r="F809" s="3"/>
    </row>
    <row r="810" spans="5:6" ht="12.75" customHeight="1" x14ac:dyDescent="0.25">
      <c r="E810" s="3"/>
      <c r="F810" s="3"/>
    </row>
    <row r="811" spans="5:6" ht="12.75" customHeight="1" x14ac:dyDescent="0.25">
      <c r="E811" s="3"/>
      <c r="F811" s="3"/>
    </row>
    <row r="812" spans="5:6" ht="12.75" customHeight="1" x14ac:dyDescent="0.25">
      <c r="E812" s="3"/>
      <c r="F812" s="3"/>
    </row>
    <row r="813" spans="5:6" ht="12.75" customHeight="1" x14ac:dyDescent="0.25">
      <c r="E813" s="3"/>
      <c r="F813" s="3"/>
    </row>
    <row r="814" spans="5:6" ht="12.75" customHeight="1" x14ac:dyDescent="0.25">
      <c r="E814" s="3"/>
      <c r="F814" s="3"/>
    </row>
    <row r="815" spans="5:6" ht="12.75" customHeight="1" x14ac:dyDescent="0.25">
      <c r="E815" s="3"/>
      <c r="F815" s="3"/>
    </row>
    <row r="816" spans="5:6" ht="12.75" customHeight="1" x14ac:dyDescent="0.25">
      <c r="E816" s="3"/>
      <c r="F816" s="3"/>
    </row>
    <row r="817" spans="5:6" ht="12.75" customHeight="1" x14ac:dyDescent="0.25">
      <c r="E817" s="3"/>
      <c r="F817" s="3"/>
    </row>
    <row r="818" spans="5:6" ht="12.75" customHeight="1" x14ac:dyDescent="0.25">
      <c r="E818" s="3"/>
      <c r="F818" s="3"/>
    </row>
    <row r="819" spans="5:6" ht="12.75" customHeight="1" x14ac:dyDescent="0.25">
      <c r="E819" s="3"/>
      <c r="F819" s="3"/>
    </row>
    <row r="820" spans="5:6" ht="12.75" customHeight="1" x14ac:dyDescent="0.25">
      <c r="E820" s="3"/>
      <c r="F820" s="3"/>
    </row>
    <row r="821" spans="5:6" ht="12.75" customHeight="1" x14ac:dyDescent="0.25">
      <c r="E821" s="3"/>
      <c r="F821" s="3"/>
    </row>
    <row r="822" spans="5:6" ht="12.75" customHeight="1" x14ac:dyDescent="0.25">
      <c r="E822" s="3"/>
      <c r="F822" s="3"/>
    </row>
    <row r="823" spans="5:6" ht="12.75" customHeight="1" x14ac:dyDescent="0.25">
      <c r="E823" s="3"/>
      <c r="F823" s="3"/>
    </row>
    <row r="824" spans="5:6" ht="12.75" customHeight="1" x14ac:dyDescent="0.25">
      <c r="E824" s="3"/>
      <c r="F824" s="3"/>
    </row>
    <row r="825" spans="5:6" ht="12.75" customHeight="1" x14ac:dyDescent="0.25">
      <c r="E825" s="3"/>
      <c r="F825" s="3"/>
    </row>
    <row r="826" spans="5:6" ht="12.75" customHeight="1" x14ac:dyDescent="0.25">
      <c r="E826" s="3"/>
      <c r="F826" s="3"/>
    </row>
    <row r="827" spans="5:6" ht="12.75" customHeight="1" x14ac:dyDescent="0.25">
      <c r="E827" s="3"/>
      <c r="F827" s="3"/>
    </row>
    <row r="828" spans="5:6" ht="12.75" customHeight="1" x14ac:dyDescent="0.25">
      <c r="E828" s="3"/>
      <c r="F828" s="3"/>
    </row>
    <row r="829" spans="5:6" ht="12.75" customHeight="1" x14ac:dyDescent="0.25">
      <c r="E829" s="3"/>
      <c r="F829" s="3"/>
    </row>
    <row r="830" spans="5:6" ht="12.75" customHeight="1" x14ac:dyDescent="0.25">
      <c r="E830" s="3"/>
      <c r="F830" s="3"/>
    </row>
    <row r="831" spans="5:6" ht="12.75" customHeight="1" x14ac:dyDescent="0.25">
      <c r="E831" s="3"/>
      <c r="F831" s="3"/>
    </row>
    <row r="832" spans="5:6" ht="12.75" customHeight="1" x14ac:dyDescent="0.25">
      <c r="E832" s="3"/>
      <c r="F832" s="3"/>
    </row>
    <row r="833" spans="5:6" ht="12.75" customHeight="1" x14ac:dyDescent="0.25">
      <c r="E833" s="3"/>
      <c r="F833" s="3"/>
    </row>
    <row r="834" spans="5:6" ht="12.75" customHeight="1" x14ac:dyDescent="0.25">
      <c r="E834" s="3"/>
      <c r="F834" s="3"/>
    </row>
    <row r="835" spans="5:6" ht="12.75" customHeight="1" x14ac:dyDescent="0.25">
      <c r="E835" s="3"/>
      <c r="F835" s="3"/>
    </row>
    <row r="836" spans="5:6" ht="12.75" customHeight="1" x14ac:dyDescent="0.25">
      <c r="E836" s="3"/>
      <c r="F836" s="3"/>
    </row>
    <row r="837" spans="5:6" ht="12.75" customHeight="1" x14ac:dyDescent="0.25">
      <c r="E837" s="3"/>
      <c r="F837" s="3"/>
    </row>
    <row r="838" spans="5:6" ht="12.75" customHeight="1" x14ac:dyDescent="0.25">
      <c r="E838" s="3"/>
      <c r="F838" s="3"/>
    </row>
    <row r="839" spans="5:6" ht="12.75" customHeight="1" x14ac:dyDescent="0.25">
      <c r="E839" s="3"/>
      <c r="F839" s="3"/>
    </row>
    <row r="840" spans="5:6" ht="12.75" customHeight="1" x14ac:dyDescent="0.25">
      <c r="E840" s="3"/>
      <c r="F840" s="3"/>
    </row>
    <row r="841" spans="5:6" ht="12.75" customHeight="1" x14ac:dyDescent="0.25">
      <c r="E841" s="3"/>
      <c r="F841" s="3"/>
    </row>
    <row r="842" spans="5:6" ht="12.75" customHeight="1" x14ac:dyDescent="0.25">
      <c r="E842" s="3"/>
      <c r="F842" s="3"/>
    </row>
    <row r="843" spans="5:6" ht="12.75" customHeight="1" x14ac:dyDescent="0.25">
      <c r="E843" s="3"/>
      <c r="F843" s="3"/>
    </row>
    <row r="844" spans="5:6" ht="12.75" customHeight="1" x14ac:dyDescent="0.25">
      <c r="E844" s="3"/>
      <c r="F844" s="3"/>
    </row>
    <row r="845" spans="5:6" ht="12.75" customHeight="1" x14ac:dyDescent="0.25">
      <c r="E845" s="3"/>
      <c r="F845" s="3"/>
    </row>
    <row r="846" spans="5:6" ht="12.75" customHeight="1" x14ac:dyDescent="0.25">
      <c r="E846" s="3"/>
      <c r="F846" s="3"/>
    </row>
    <row r="847" spans="5:6" ht="12.75" customHeight="1" x14ac:dyDescent="0.25">
      <c r="E847" s="3"/>
      <c r="F847" s="3"/>
    </row>
    <row r="848" spans="5:6" ht="12.75" customHeight="1" x14ac:dyDescent="0.25">
      <c r="E848" s="3"/>
      <c r="F848" s="3"/>
    </row>
    <row r="849" spans="5:6" ht="12.75" customHeight="1" x14ac:dyDescent="0.25">
      <c r="E849" s="3"/>
      <c r="F849" s="3"/>
    </row>
    <row r="850" spans="5:6" ht="12.75" customHeight="1" x14ac:dyDescent="0.25">
      <c r="E850" s="3"/>
      <c r="F850" s="3"/>
    </row>
    <row r="851" spans="5:6" ht="12.75" customHeight="1" x14ac:dyDescent="0.25">
      <c r="E851" s="3"/>
      <c r="F851" s="3"/>
    </row>
    <row r="852" spans="5:6" ht="12.75" customHeight="1" x14ac:dyDescent="0.25">
      <c r="E852" s="3"/>
      <c r="F852" s="3"/>
    </row>
    <row r="853" spans="5:6" ht="12.75" customHeight="1" x14ac:dyDescent="0.25">
      <c r="E853" s="3"/>
      <c r="F853" s="3"/>
    </row>
    <row r="854" spans="5:6" ht="12.75" customHeight="1" x14ac:dyDescent="0.25">
      <c r="E854" s="3"/>
      <c r="F854" s="3"/>
    </row>
    <row r="855" spans="5:6" ht="12.75" customHeight="1" x14ac:dyDescent="0.25">
      <c r="E855" s="3"/>
      <c r="F855" s="3"/>
    </row>
    <row r="856" spans="5:6" ht="12.75" customHeight="1" x14ac:dyDescent="0.25">
      <c r="E856" s="3"/>
      <c r="F856" s="3"/>
    </row>
    <row r="857" spans="5:6" ht="12.75" customHeight="1" x14ac:dyDescent="0.25">
      <c r="E857" s="3"/>
      <c r="F857" s="3"/>
    </row>
    <row r="858" spans="5:6" ht="12.75" customHeight="1" x14ac:dyDescent="0.25">
      <c r="E858" s="3"/>
      <c r="F858" s="3"/>
    </row>
    <row r="859" spans="5:6" ht="12.75" customHeight="1" x14ac:dyDescent="0.25">
      <c r="E859" s="3"/>
      <c r="F859" s="3"/>
    </row>
    <row r="860" spans="5:6" ht="12.75" customHeight="1" x14ac:dyDescent="0.25">
      <c r="E860" s="3"/>
      <c r="F860" s="3"/>
    </row>
    <row r="861" spans="5:6" ht="12.75" customHeight="1" x14ac:dyDescent="0.25">
      <c r="E861" s="3"/>
      <c r="F861" s="3"/>
    </row>
    <row r="862" spans="5:6" ht="12.75" customHeight="1" x14ac:dyDescent="0.25">
      <c r="E862" s="3"/>
      <c r="F862" s="3"/>
    </row>
    <row r="863" spans="5:6" ht="12.75" customHeight="1" x14ac:dyDescent="0.25">
      <c r="E863" s="3"/>
      <c r="F863" s="3"/>
    </row>
    <row r="864" spans="5:6" ht="12.75" customHeight="1" x14ac:dyDescent="0.25">
      <c r="E864" s="3"/>
      <c r="F864" s="3"/>
    </row>
    <row r="865" spans="5:6" ht="12.75" customHeight="1" x14ac:dyDescent="0.25">
      <c r="E865" s="3"/>
      <c r="F865" s="3"/>
    </row>
    <row r="866" spans="5:6" ht="12.75" customHeight="1" x14ac:dyDescent="0.25">
      <c r="E866" s="3"/>
      <c r="F866" s="3"/>
    </row>
    <row r="867" spans="5:6" ht="12.75" customHeight="1" x14ac:dyDescent="0.25">
      <c r="E867" s="3"/>
      <c r="F867" s="3"/>
    </row>
    <row r="868" spans="5:6" ht="12.75" customHeight="1" x14ac:dyDescent="0.25">
      <c r="E868" s="3"/>
      <c r="F868" s="3"/>
    </row>
    <row r="869" spans="5:6" ht="12.75" customHeight="1" x14ac:dyDescent="0.25">
      <c r="E869" s="3"/>
      <c r="F869" s="3"/>
    </row>
    <row r="870" spans="5:6" ht="12.75" customHeight="1" x14ac:dyDescent="0.25">
      <c r="E870" s="3"/>
      <c r="F870" s="3"/>
    </row>
    <row r="871" spans="5:6" ht="12.75" customHeight="1" x14ac:dyDescent="0.25">
      <c r="E871" s="3"/>
      <c r="F871" s="3"/>
    </row>
    <row r="872" spans="5:6" ht="12.75" customHeight="1" x14ac:dyDescent="0.25">
      <c r="E872" s="3"/>
      <c r="F872" s="3"/>
    </row>
    <row r="873" spans="5:6" ht="12.75" customHeight="1" x14ac:dyDescent="0.25">
      <c r="E873" s="3"/>
      <c r="F873" s="3"/>
    </row>
    <row r="874" spans="5:6" ht="12.75" customHeight="1" x14ac:dyDescent="0.25">
      <c r="E874" s="3"/>
      <c r="F874" s="3"/>
    </row>
    <row r="875" spans="5:6" ht="12.75" customHeight="1" x14ac:dyDescent="0.25">
      <c r="E875" s="3"/>
      <c r="F875" s="3"/>
    </row>
    <row r="876" spans="5:6" ht="12.75" customHeight="1" x14ac:dyDescent="0.25">
      <c r="E876" s="3"/>
      <c r="F876" s="3"/>
    </row>
    <row r="877" spans="5:6" ht="12.75" customHeight="1" x14ac:dyDescent="0.25">
      <c r="E877" s="3"/>
      <c r="F877" s="3"/>
    </row>
    <row r="878" spans="5:6" ht="12.75" customHeight="1" x14ac:dyDescent="0.25">
      <c r="E878" s="3"/>
      <c r="F878" s="3"/>
    </row>
    <row r="879" spans="5:6" ht="12.75" customHeight="1" x14ac:dyDescent="0.25">
      <c r="E879" s="3"/>
      <c r="F879" s="3"/>
    </row>
    <row r="880" spans="5:6" ht="12.75" customHeight="1" x14ac:dyDescent="0.25">
      <c r="E880" s="3"/>
      <c r="F880" s="3"/>
    </row>
    <row r="881" spans="5:6" ht="12.75" customHeight="1" x14ac:dyDescent="0.25">
      <c r="E881" s="3"/>
      <c r="F881" s="3"/>
    </row>
    <row r="882" spans="5:6" ht="12.75" customHeight="1" x14ac:dyDescent="0.25">
      <c r="E882" s="3"/>
      <c r="F882" s="3"/>
    </row>
    <row r="883" spans="5:6" ht="12.75" customHeight="1" x14ac:dyDescent="0.25">
      <c r="E883" s="3"/>
      <c r="F883" s="3"/>
    </row>
    <row r="884" spans="5:6" ht="12.75" customHeight="1" x14ac:dyDescent="0.25">
      <c r="E884" s="3"/>
      <c r="F884" s="3"/>
    </row>
    <row r="885" spans="5:6" ht="12.75" customHeight="1" x14ac:dyDescent="0.25">
      <c r="E885" s="3"/>
      <c r="F885" s="3"/>
    </row>
    <row r="886" spans="5:6" ht="12.75" customHeight="1" x14ac:dyDescent="0.25">
      <c r="E886" s="3"/>
      <c r="F886" s="3"/>
    </row>
    <row r="887" spans="5:6" ht="12.75" customHeight="1" x14ac:dyDescent="0.25">
      <c r="E887" s="3"/>
      <c r="F887" s="3"/>
    </row>
    <row r="888" spans="5:6" ht="12.75" customHeight="1" x14ac:dyDescent="0.25">
      <c r="E888" s="3"/>
      <c r="F888" s="3"/>
    </row>
    <row r="889" spans="5:6" ht="12.75" customHeight="1" x14ac:dyDescent="0.25">
      <c r="E889" s="3"/>
      <c r="F889" s="3"/>
    </row>
    <row r="890" spans="5:6" ht="12.75" customHeight="1" x14ac:dyDescent="0.25">
      <c r="E890" s="3"/>
      <c r="F890" s="3"/>
    </row>
    <row r="891" spans="5:6" ht="12.75" customHeight="1" x14ac:dyDescent="0.25">
      <c r="E891" s="3"/>
      <c r="F891" s="3"/>
    </row>
    <row r="892" spans="5:6" ht="12.75" customHeight="1" x14ac:dyDescent="0.25">
      <c r="E892" s="3"/>
      <c r="F892" s="3"/>
    </row>
    <row r="893" spans="5:6" ht="12.75" customHeight="1" x14ac:dyDescent="0.25">
      <c r="E893" s="3"/>
      <c r="F893" s="3"/>
    </row>
    <row r="894" spans="5:6" ht="12.75" customHeight="1" x14ac:dyDescent="0.25">
      <c r="E894" s="3"/>
      <c r="F894" s="3"/>
    </row>
    <row r="895" spans="5:6" ht="12.75" customHeight="1" x14ac:dyDescent="0.25">
      <c r="E895" s="3"/>
      <c r="F895" s="3"/>
    </row>
    <row r="896" spans="5:6" ht="12.75" customHeight="1" x14ac:dyDescent="0.25">
      <c r="E896" s="3"/>
      <c r="F896" s="3"/>
    </row>
    <row r="897" spans="5:6" ht="12.75" customHeight="1" x14ac:dyDescent="0.25">
      <c r="E897" s="3"/>
      <c r="F897" s="3"/>
    </row>
    <row r="898" spans="5:6" ht="12.75" customHeight="1" x14ac:dyDescent="0.25">
      <c r="E898" s="3"/>
      <c r="F898" s="3"/>
    </row>
    <row r="899" spans="5:6" ht="12.75" customHeight="1" x14ac:dyDescent="0.25">
      <c r="E899" s="3"/>
      <c r="F899" s="3"/>
    </row>
    <row r="900" spans="5:6" ht="12.75" customHeight="1" x14ac:dyDescent="0.25">
      <c r="E900" s="3"/>
      <c r="F900" s="3"/>
    </row>
    <row r="901" spans="5:6" ht="12.75" customHeight="1" x14ac:dyDescent="0.25">
      <c r="E901" s="3"/>
      <c r="F901" s="3"/>
    </row>
    <row r="902" spans="5:6" ht="12.75" customHeight="1" x14ac:dyDescent="0.25">
      <c r="E902" s="3"/>
      <c r="F902" s="3"/>
    </row>
    <row r="903" spans="5:6" ht="12.75" customHeight="1" x14ac:dyDescent="0.25">
      <c r="E903" s="3"/>
      <c r="F903" s="3"/>
    </row>
    <row r="904" spans="5:6" ht="12.75" customHeight="1" x14ac:dyDescent="0.25">
      <c r="E904" s="3"/>
      <c r="F904" s="3"/>
    </row>
    <row r="905" spans="5:6" ht="12.75" customHeight="1" x14ac:dyDescent="0.25">
      <c r="E905" s="3"/>
      <c r="F905" s="3"/>
    </row>
    <row r="906" spans="5:6" ht="12.75" customHeight="1" x14ac:dyDescent="0.25">
      <c r="E906" s="3"/>
      <c r="F906" s="3"/>
    </row>
    <row r="907" spans="5:6" ht="12.75" customHeight="1" x14ac:dyDescent="0.25">
      <c r="E907" s="3"/>
      <c r="F907" s="3"/>
    </row>
    <row r="908" spans="5:6" ht="12.75" customHeight="1" x14ac:dyDescent="0.25">
      <c r="E908" s="3"/>
      <c r="F908" s="3"/>
    </row>
    <row r="909" spans="5:6" ht="12.75" customHeight="1" x14ac:dyDescent="0.25">
      <c r="E909" s="3"/>
      <c r="F909" s="3"/>
    </row>
    <row r="910" spans="5:6" ht="12.75" customHeight="1" x14ac:dyDescent="0.25">
      <c r="E910" s="3"/>
      <c r="F910" s="3"/>
    </row>
    <row r="911" spans="5:6" ht="12.75" customHeight="1" x14ac:dyDescent="0.25">
      <c r="E911" s="3"/>
      <c r="F911" s="3"/>
    </row>
    <row r="912" spans="5:6" ht="12.75" customHeight="1" x14ac:dyDescent="0.25">
      <c r="E912" s="3"/>
      <c r="F912" s="3"/>
    </row>
    <row r="913" spans="5:6" ht="12.75" customHeight="1" x14ac:dyDescent="0.25">
      <c r="E913" s="3"/>
      <c r="F913" s="3"/>
    </row>
    <row r="914" spans="5:6" ht="12.75" customHeight="1" x14ac:dyDescent="0.25">
      <c r="E914" s="3"/>
      <c r="F914" s="3"/>
    </row>
    <row r="915" spans="5:6" ht="12.75" customHeight="1" x14ac:dyDescent="0.25">
      <c r="E915" s="3"/>
      <c r="F915" s="3"/>
    </row>
    <row r="916" spans="5:6" ht="12.75" customHeight="1" x14ac:dyDescent="0.25">
      <c r="E916" s="3"/>
      <c r="F916" s="3"/>
    </row>
    <row r="917" spans="5:6" ht="12.75" customHeight="1" x14ac:dyDescent="0.25">
      <c r="E917" s="3"/>
      <c r="F917" s="3"/>
    </row>
    <row r="918" spans="5:6" ht="12.75" customHeight="1" x14ac:dyDescent="0.25">
      <c r="E918" s="3"/>
      <c r="F918" s="3"/>
    </row>
    <row r="919" spans="5:6" ht="12.75" customHeight="1" x14ac:dyDescent="0.25">
      <c r="E919" s="3"/>
      <c r="F919" s="3"/>
    </row>
    <row r="920" spans="5:6" ht="12.75" customHeight="1" x14ac:dyDescent="0.25">
      <c r="E920" s="3"/>
      <c r="F920" s="3"/>
    </row>
    <row r="921" spans="5:6" ht="12.75" customHeight="1" x14ac:dyDescent="0.25">
      <c r="E921" s="3"/>
      <c r="F921" s="3"/>
    </row>
    <row r="922" spans="5:6" ht="12.75" customHeight="1" x14ac:dyDescent="0.25">
      <c r="E922" s="3"/>
      <c r="F922" s="3"/>
    </row>
    <row r="923" spans="5:6" ht="12.75" customHeight="1" x14ac:dyDescent="0.25">
      <c r="E923" s="3"/>
      <c r="F923" s="3"/>
    </row>
    <row r="924" spans="5:6" ht="12.75" customHeight="1" x14ac:dyDescent="0.25">
      <c r="E924" s="3"/>
      <c r="F924" s="3"/>
    </row>
    <row r="925" spans="5:6" ht="12.75" customHeight="1" x14ac:dyDescent="0.25">
      <c r="E925" s="3"/>
      <c r="F925" s="3"/>
    </row>
    <row r="926" spans="5:6" ht="12.75" customHeight="1" x14ac:dyDescent="0.25">
      <c r="E926" s="3"/>
      <c r="F926" s="3"/>
    </row>
    <row r="927" spans="5:6" ht="12.75" customHeight="1" x14ac:dyDescent="0.25">
      <c r="E927" s="3"/>
      <c r="F927" s="3"/>
    </row>
    <row r="928" spans="5:6" ht="12.75" customHeight="1" x14ac:dyDescent="0.25">
      <c r="E928" s="3"/>
      <c r="F928" s="3"/>
    </row>
    <row r="929" spans="5:6" ht="12.75" customHeight="1" x14ac:dyDescent="0.25">
      <c r="E929" s="3"/>
      <c r="F929" s="3"/>
    </row>
    <row r="930" spans="5:6" ht="12.75" customHeight="1" x14ac:dyDescent="0.25">
      <c r="E930" s="3"/>
      <c r="F930" s="3"/>
    </row>
    <row r="931" spans="5:6" ht="12.75" customHeight="1" x14ac:dyDescent="0.25">
      <c r="E931" s="3"/>
      <c r="F931" s="3"/>
    </row>
    <row r="932" spans="5:6" ht="12.75" customHeight="1" x14ac:dyDescent="0.25">
      <c r="E932" s="3"/>
      <c r="F932" s="3"/>
    </row>
    <row r="933" spans="5:6" ht="12.75" customHeight="1" x14ac:dyDescent="0.25">
      <c r="E933" s="3"/>
      <c r="F933" s="3"/>
    </row>
    <row r="934" spans="5:6" ht="12.75" customHeight="1" x14ac:dyDescent="0.25">
      <c r="E934" s="3"/>
      <c r="F934" s="3"/>
    </row>
    <row r="935" spans="5:6" ht="12.75" customHeight="1" x14ac:dyDescent="0.25">
      <c r="E935" s="3"/>
      <c r="F935" s="3"/>
    </row>
    <row r="936" spans="5:6" ht="12.75" customHeight="1" x14ac:dyDescent="0.25">
      <c r="E936" s="3"/>
      <c r="F936" s="3"/>
    </row>
    <row r="937" spans="5:6" ht="12.75" customHeight="1" x14ac:dyDescent="0.25">
      <c r="E937" s="3"/>
      <c r="F937" s="3"/>
    </row>
    <row r="938" spans="5:6" ht="12.75" customHeight="1" x14ac:dyDescent="0.25">
      <c r="E938" s="3"/>
      <c r="F938" s="3"/>
    </row>
    <row r="939" spans="5:6" ht="12.75" customHeight="1" x14ac:dyDescent="0.25">
      <c r="E939" s="3"/>
      <c r="F939" s="3"/>
    </row>
    <row r="940" spans="5:6" ht="12.75" customHeight="1" x14ac:dyDescent="0.25">
      <c r="E940" s="3"/>
      <c r="F940" s="3"/>
    </row>
    <row r="941" spans="5:6" ht="12.75" customHeight="1" x14ac:dyDescent="0.25">
      <c r="E941" s="3"/>
      <c r="F941" s="3"/>
    </row>
    <row r="942" spans="5:6" ht="12.75" customHeight="1" x14ac:dyDescent="0.25">
      <c r="E942" s="3"/>
      <c r="F942" s="3"/>
    </row>
    <row r="943" spans="5:6" ht="12.75" customHeight="1" x14ac:dyDescent="0.25">
      <c r="E943" s="3"/>
      <c r="F943" s="3"/>
    </row>
    <row r="944" spans="5:6" ht="12.75" customHeight="1" x14ac:dyDescent="0.25">
      <c r="E944" s="3"/>
      <c r="F944" s="3"/>
    </row>
    <row r="945" spans="5:6" ht="12.75" customHeight="1" x14ac:dyDescent="0.25">
      <c r="E945" s="3"/>
      <c r="F945" s="3"/>
    </row>
    <row r="946" spans="5:6" ht="12.75" customHeight="1" x14ac:dyDescent="0.25">
      <c r="E946" s="3"/>
      <c r="F946" s="3"/>
    </row>
    <row r="947" spans="5:6" ht="12.75" customHeight="1" x14ac:dyDescent="0.25">
      <c r="E947" s="3"/>
      <c r="F947" s="3"/>
    </row>
    <row r="948" spans="5:6" ht="12.75" customHeight="1" x14ac:dyDescent="0.25">
      <c r="E948" s="3"/>
      <c r="F948" s="3"/>
    </row>
    <row r="949" spans="5:6" ht="12.75" customHeight="1" x14ac:dyDescent="0.25">
      <c r="E949" s="3"/>
      <c r="F949" s="3"/>
    </row>
    <row r="950" spans="5:6" ht="12.75" customHeight="1" x14ac:dyDescent="0.25">
      <c r="E950" s="3"/>
      <c r="F950" s="3"/>
    </row>
    <row r="951" spans="5:6" ht="12.75" customHeight="1" x14ac:dyDescent="0.25">
      <c r="E951" s="3"/>
      <c r="F951" s="3"/>
    </row>
    <row r="952" spans="5:6" ht="12.75" customHeight="1" x14ac:dyDescent="0.25">
      <c r="E952" s="3"/>
      <c r="F952" s="3"/>
    </row>
    <row r="953" spans="5:6" ht="12.75" customHeight="1" x14ac:dyDescent="0.25">
      <c r="E953" s="3"/>
      <c r="F953" s="3"/>
    </row>
    <row r="954" spans="5:6" ht="12.75" customHeight="1" x14ac:dyDescent="0.25">
      <c r="E954" s="3"/>
      <c r="F954" s="3"/>
    </row>
    <row r="955" spans="5:6" ht="12.75" customHeight="1" x14ac:dyDescent="0.25">
      <c r="E955" s="3"/>
      <c r="F955" s="3"/>
    </row>
    <row r="956" spans="5:6" ht="12.75" customHeight="1" x14ac:dyDescent="0.25">
      <c r="E956" s="3"/>
      <c r="F956" s="3"/>
    </row>
    <row r="957" spans="5:6" ht="12.75" customHeight="1" x14ac:dyDescent="0.25">
      <c r="E957" s="3"/>
      <c r="F957" s="3"/>
    </row>
    <row r="958" spans="5:6" ht="12.75" customHeight="1" x14ac:dyDescent="0.25">
      <c r="E958" s="3"/>
      <c r="F958" s="3"/>
    </row>
    <row r="959" spans="5:6" ht="12.75" customHeight="1" x14ac:dyDescent="0.25">
      <c r="E959" s="3"/>
      <c r="F959" s="3"/>
    </row>
    <row r="960" spans="5:6" ht="12.75" customHeight="1" x14ac:dyDescent="0.25">
      <c r="E960" s="3"/>
      <c r="F960" s="3"/>
    </row>
    <row r="961" spans="5:6" ht="12.75" customHeight="1" x14ac:dyDescent="0.25">
      <c r="E961" s="3"/>
      <c r="F961" s="3"/>
    </row>
    <row r="962" spans="5:6" ht="12.75" customHeight="1" x14ac:dyDescent="0.25">
      <c r="E962" s="3"/>
      <c r="F962" s="3"/>
    </row>
    <row r="963" spans="5:6" ht="12.75" customHeight="1" x14ac:dyDescent="0.25">
      <c r="E963" s="3"/>
      <c r="F963" s="3"/>
    </row>
    <row r="964" spans="5:6" ht="12.75" customHeight="1" x14ac:dyDescent="0.25">
      <c r="E964" s="3"/>
      <c r="F964" s="3"/>
    </row>
    <row r="965" spans="5:6" ht="12.75" customHeight="1" x14ac:dyDescent="0.25">
      <c r="E965" s="3"/>
      <c r="F965" s="3"/>
    </row>
    <row r="966" spans="5:6" ht="12.75" customHeight="1" x14ac:dyDescent="0.25">
      <c r="E966" s="3"/>
      <c r="F966" s="3"/>
    </row>
    <row r="967" spans="5:6" ht="12.75" customHeight="1" x14ac:dyDescent="0.25">
      <c r="E967" s="3"/>
      <c r="F967" s="3"/>
    </row>
    <row r="968" spans="5:6" ht="12.75" customHeight="1" x14ac:dyDescent="0.25">
      <c r="E968" s="3"/>
      <c r="F968" s="3"/>
    </row>
    <row r="969" spans="5:6" ht="12.75" customHeight="1" x14ac:dyDescent="0.25">
      <c r="E969" s="3"/>
      <c r="F969" s="3"/>
    </row>
    <row r="970" spans="5:6" ht="12.75" customHeight="1" x14ac:dyDescent="0.25">
      <c r="E970" s="3"/>
      <c r="F970" s="3"/>
    </row>
    <row r="971" spans="5:6" ht="12.75" customHeight="1" x14ac:dyDescent="0.25">
      <c r="E971" s="3"/>
      <c r="F971" s="3"/>
    </row>
    <row r="972" spans="5:6" ht="12.75" customHeight="1" x14ac:dyDescent="0.25">
      <c r="E972" s="3"/>
      <c r="F972" s="3"/>
    </row>
    <row r="973" spans="5:6" ht="12.75" customHeight="1" x14ac:dyDescent="0.25">
      <c r="E973" s="3"/>
      <c r="F973" s="3"/>
    </row>
    <row r="974" spans="5:6" ht="12.75" customHeight="1" x14ac:dyDescent="0.25">
      <c r="E974" s="3"/>
      <c r="F974" s="3"/>
    </row>
    <row r="975" spans="5:6" ht="12.75" customHeight="1" x14ac:dyDescent="0.25">
      <c r="E975" s="3"/>
      <c r="F975" s="3"/>
    </row>
    <row r="976" spans="5:6" ht="12.75" customHeight="1" x14ac:dyDescent="0.25">
      <c r="E976" s="3"/>
      <c r="F976" s="3"/>
    </row>
    <row r="977" spans="5:6" ht="12.75" customHeight="1" x14ac:dyDescent="0.25">
      <c r="E977" s="3"/>
      <c r="F977" s="3"/>
    </row>
    <row r="978" spans="5:6" ht="12.75" customHeight="1" x14ac:dyDescent="0.25">
      <c r="E978" s="3"/>
      <c r="F978" s="3"/>
    </row>
    <row r="979" spans="5:6" ht="12.75" customHeight="1" x14ac:dyDescent="0.25">
      <c r="E979" s="3"/>
      <c r="F979" s="3"/>
    </row>
    <row r="980" spans="5:6" ht="12.75" customHeight="1" x14ac:dyDescent="0.25">
      <c r="E980" s="3"/>
      <c r="F980" s="3"/>
    </row>
    <row r="981" spans="5:6" ht="12.75" customHeight="1" x14ac:dyDescent="0.25">
      <c r="E981" s="3"/>
      <c r="F981" s="3"/>
    </row>
    <row r="982" spans="5:6" ht="12.75" customHeight="1" x14ac:dyDescent="0.25">
      <c r="E982" s="3"/>
      <c r="F982" s="3"/>
    </row>
    <row r="983" spans="5:6" ht="12.75" customHeight="1" x14ac:dyDescent="0.25">
      <c r="E983" s="3"/>
      <c r="F983" s="3"/>
    </row>
    <row r="984" spans="5:6" ht="12.75" customHeight="1" x14ac:dyDescent="0.25">
      <c r="E984" s="3"/>
      <c r="F984" s="3"/>
    </row>
    <row r="985" spans="5:6" ht="12.75" customHeight="1" x14ac:dyDescent="0.25">
      <c r="E985" s="3"/>
      <c r="F985" s="3"/>
    </row>
    <row r="986" spans="5:6" ht="12.75" customHeight="1" x14ac:dyDescent="0.25">
      <c r="E986" s="3"/>
      <c r="F986" s="3"/>
    </row>
    <row r="987" spans="5:6" ht="12.75" customHeight="1" x14ac:dyDescent="0.25">
      <c r="E987" s="3"/>
      <c r="F987" s="3"/>
    </row>
    <row r="988" spans="5:6" ht="12.75" customHeight="1" x14ac:dyDescent="0.25">
      <c r="E988" s="3"/>
      <c r="F988" s="3"/>
    </row>
    <row r="989" spans="5:6" ht="12.75" customHeight="1" x14ac:dyDescent="0.25">
      <c r="E989" s="3"/>
      <c r="F989" s="3"/>
    </row>
    <row r="990" spans="5:6" ht="12.75" customHeight="1" x14ac:dyDescent="0.25">
      <c r="E990" s="3"/>
      <c r="F990" s="3"/>
    </row>
    <row r="991" spans="5:6" ht="12.75" customHeight="1" x14ac:dyDescent="0.25">
      <c r="E991" s="3"/>
      <c r="F991" s="3"/>
    </row>
    <row r="992" spans="5:6" ht="12.75" customHeight="1" x14ac:dyDescent="0.25">
      <c r="E992" s="3"/>
      <c r="F992" s="3"/>
    </row>
    <row r="993" spans="5:6" ht="12.75" customHeight="1" x14ac:dyDescent="0.25">
      <c r="E993" s="3"/>
      <c r="F993" s="3"/>
    </row>
    <row r="994" spans="5:6" ht="12.75" customHeight="1" x14ac:dyDescent="0.25">
      <c r="E994" s="3"/>
      <c r="F994" s="3"/>
    </row>
    <row r="995" spans="5:6" ht="12.75" customHeight="1" x14ac:dyDescent="0.25">
      <c r="E995" s="3"/>
      <c r="F995" s="3"/>
    </row>
    <row r="996" spans="5:6" ht="12.75" customHeight="1" x14ac:dyDescent="0.25">
      <c r="E996" s="3"/>
      <c r="F996" s="3"/>
    </row>
    <row r="997" spans="5:6" ht="12.75" customHeight="1" x14ac:dyDescent="0.25">
      <c r="E997" s="3"/>
      <c r="F997" s="3"/>
    </row>
    <row r="998" spans="5:6" ht="12.75" customHeight="1" x14ac:dyDescent="0.25">
      <c r="E998" s="3"/>
      <c r="F998" s="3"/>
    </row>
    <row r="999" spans="5:6" ht="12.75" customHeight="1" x14ac:dyDescent="0.25">
      <c r="E999" s="3"/>
      <c r="F999" s="3"/>
    </row>
    <row r="1000" spans="5:6" ht="12.75" customHeight="1" x14ac:dyDescent="0.25">
      <c r="E1000" s="3"/>
      <c r="F1000" s="3"/>
    </row>
  </sheetData>
  <mergeCells count="71">
    <mergeCell ref="I23:J23"/>
    <mergeCell ref="I24:J24"/>
    <mergeCell ref="I25:J25"/>
    <mergeCell ref="I26:J26"/>
    <mergeCell ref="L25:M25"/>
    <mergeCell ref="N25:R25"/>
    <mergeCell ref="S25:X25"/>
    <mergeCell ref="L26:M26"/>
    <mergeCell ref="N26:R26"/>
    <mergeCell ref="S26:X26"/>
    <mergeCell ref="E23:F23"/>
    <mergeCell ref="E24:F24"/>
    <mergeCell ref="E25:F25"/>
    <mergeCell ref="E26:F26"/>
    <mergeCell ref="E17:F17"/>
    <mergeCell ref="E18:F18"/>
    <mergeCell ref="E19:F19"/>
    <mergeCell ref="I17:J17"/>
    <mergeCell ref="S17:X17"/>
    <mergeCell ref="E20:F20"/>
    <mergeCell ref="E21:F21"/>
    <mergeCell ref="E22:F22"/>
    <mergeCell ref="I18:J18"/>
    <mergeCell ref="L18:M18"/>
    <mergeCell ref="L19:M19"/>
    <mergeCell ref="L20:M20"/>
    <mergeCell ref="I19:J19"/>
    <mergeCell ref="I20:J20"/>
    <mergeCell ref="I21:J21"/>
    <mergeCell ref="I22:J22"/>
    <mergeCell ref="E16:F16"/>
    <mergeCell ref="I16:J16"/>
    <mergeCell ref="L16:M16"/>
    <mergeCell ref="N16:R16"/>
    <mergeCell ref="S16:X16"/>
    <mergeCell ref="B5:C5"/>
    <mergeCell ref="B6:C6"/>
    <mergeCell ref="Z10:AI10"/>
    <mergeCell ref="Z11:AI11"/>
    <mergeCell ref="B7:C7"/>
    <mergeCell ref="B8:C8"/>
    <mergeCell ref="N8:W9"/>
    <mergeCell ref="Z8:AI9"/>
    <mergeCell ref="B9:C9"/>
    <mergeCell ref="N10:W10"/>
    <mergeCell ref="N11:W11"/>
    <mergeCell ref="F2:H2"/>
    <mergeCell ref="B3:D3"/>
    <mergeCell ref="N3:W4"/>
    <mergeCell ref="Z3:AI4"/>
    <mergeCell ref="B4:C4"/>
    <mergeCell ref="L24:M24"/>
    <mergeCell ref="N24:R24"/>
    <mergeCell ref="S24:X24"/>
    <mergeCell ref="L21:M21"/>
    <mergeCell ref="L22:M22"/>
    <mergeCell ref="N22:R22"/>
    <mergeCell ref="S22:X22"/>
    <mergeCell ref="L23:M23"/>
    <mergeCell ref="N23:R23"/>
    <mergeCell ref="S23:X23"/>
    <mergeCell ref="N20:R20"/>
    <mergeCell ref="N21:R21"/>
    <mergeCell ref="S21:X21"/>
    <mergeCell ref="L17:M17"/>
    <mergeCell ref="N17:R17"/>
    <mergeCell ref="N18:R18"/>
    <mergeCell ref="S18:X18"/>
    <mergeCell ref="N19:R19"/>
    <mergeCell ref="S19:X19"/>
    <mergeCell ref="S20:X20"/>
  </mergeCells>
  <conditionalFormatting sqref="J4:J14">
    <cfRule type="colorScale" priority="1">
      <colorScale>
        <cfvo type="min"/>
        <cfvo type="percentile" val="50"/>
        <cfvo type="max"/>
        <color rgb="FF76923C"/>
        <color rgb="FFFFEB84"/>
        <color rgb="FFD99594"/>
      </colorScale>
    </cfRule>
  </conditionalFormatting>
  <conditionalFormatting sqref="K4:L14">
    <cfRule type="colorScale" priority="2">
      <colorScale>
        <cfvo type="min"/>
        <cfvo type="percentile" val="50"/>
        <cfvo type="max"/>
        <color rgb="FFD99594"/>
        <color rgb="FFFFEB84"/>
        <color rgb="FF76923C"/>
      </colorScale>
    </cfRule>
  </conditionalFormatting>
  <conditionalFormatting sqref="C17:E26 G17:I26 K17:L26 N17:N26 S17:S26 Y17:Y26">
    <cfRule type="containsText" dxfId="23" priority="3" operator="containsText" text="ERROR">
      <formula>NOT(ISERROR(SEARCH(("ERROR"),(C17))))</formula>
    </cfRule>
  </conditionalFormatting>
  <conditionalFormatting sqref="C17:E26 G17:I26 K17:L26 N17:N26 S17:S26 Y17:Y26">
    <cfRule type="containsText" dxfId="22" priority="4" operator="containsText" text="OK">
      <formula>NOT(ISERROR(SEARCH(("OK"),(C17))))</formula>
    </cfRule>
  </conditionalFormatting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00"/>
  <sheetViews>
    <sheetView workbookViewId="0"/>
  </sheetViews>
  <sheetFormatPr baseColWidth="10" defaultColWidth="12.6328125" defaultRowHeight="15" customHeight="1" x14ac:dyDescent="0.25"/>
  <cols>
    <col min="1" max="1" width="10.6328125" customWidth="1"/>
    <col min="2" max="2" width="12.453125" customWidth="1"/>
    <col min="3" max="3" width="12.26953125" customWidth="1"/>
    <col min="4" max="4" width="18" customWidth="1"/>
    <col min="5" max="5" width="3.7265625" hidden="1" customWidth="1"/>
    <col min="6" max="6" width="3.90625" hidden="1" customWidth="1"/>
    <col min="7" max="7" width="20.08984375" customWidth="1"/>
    <col min="8" max="8" width="3.90625" customWidth="1"/>
    <col min="9" max="9" width="16.08984375" customWidth="1"/>
    <col min="10" max="26" width="10.6328125" customWidth="1"/>
  </cols>
  <sheetData>
    <row r="1" spans="2:13" ht="12.75" customHeight="1" x14ac:dyDescent="0.25">
      <c r="D1" s="3"/>
      <c r="E1" s="3"/>
      <c r="F1" s="3"/>
    </row>
    <row r="2" spans="2:13" ht="12.75" customHeight="1" x14ac:dyDescent="0.25">
      <c r="D2" s="3"/>
      <c r="E2" s="3"/>
      <c r="F2" s="3"/>
    </row>
    <row r="3" spans="2:13" ht="19.5" customHeight="1" x14ac:dyDescent="0.4">
      <c r="B3" s="17" t="s">
        <v>22</v>
      </c>
      <c r="C3" s="18" t="s">
        <v>23</v>
      </c>
      <c r="D3" s="18" t="s">
        <v>24</v>
      </c>
      <c r="E3" s="18"/>
      <c r="F3" s="18"/>
      <c r="G3" s="19"/>
      <c r="H3" s="3"/>
      <c r="I3" s="48" t="s">
        <v>25</v>
      </c>
      <c r="J3" s="49"/>
      <c r="K3" s="49"/>
      <c r="L3" s="49"/>
      <c r="M3" s="50"/>
    </row>
    <row r="4" spans="2:13" ht="19.5" customHeight="1" x14ac:dyDescent="0.4">
      <c r="B4" s="20">
        <v>1</v>
      </c>
      <c r="C4" s="21">
        <v>10</v>
      </c>
      <c r="D4" s="21">
        <v>9</v>
      </c>
      <c r="E4" s="21">
        <f>C4-TOTAL!G4</f>
        <v>0</v>
      </c>
      <c r="F4" s="21">
        <f>D4-TOTAL!H4</f>
        <v>0</v>
      </c>
      <c r="G4" s="22" t="str">
        <f t="shared" ref="G4:G14" si="0">IF(AND(E4=0,F4=0),IF(B4="T","OKPELEA","OK"),IF(B4="T","ERRORPELEA","ERROR"))</f>
        <v>OK</v>
      </c>
      <c r="H4" s="3"/>
      <c r="I4" s="51"/>
      <c r="J4" s="52"/>
      <c r="K4" s="52"/>
      <c r="L4" s="52"/>
      <c r="M4" s="53"/>
    </row>
    <row r="5" spans="2:13" ht="19.5" customHeight="1" x14ac:dyDescent="0.4">
      <c r="B5" s="20">
        <v>2</v>
      </c>
      <c r="C5" s="21">
        <v>10</v>
      </c>
      <c r="D5" s="21">
        <v>9</v>
      </c>
      <c r="E5" s="21">
        <f>C5-TOTAL!G5</f>
        <v>0</v>
      </c>
      <c r="F5" s="21">
        <f>D5-TOTAL!H5</f>
        <v>0</v>
      </c>
      <c r="G5" s="22" t="str">
        <f t="shared" si="0"/>
        <v>OK</v>
      </c>
      <c r="H5" s="3"/>
      <c r="I5" s="54"/>
      <c r="J5" s="55"/>
      <c r="K5" s="55"/>
      <c r="L5" s="55"/>
      <c r="M5" s="56"/>
    </row>
    <row r="6" spans="2:13" ht="19.5" customHeight="1" x14ac:dyDescent="0.4">
      <c r="B6" s="20">
        <v>3</v>
      </c>
      <c r="C6" s="21">
        <v>10</v>
      </c>
      <c r="D6" s="21">
        <v>9</v>
      </c>
      <c r="E6" s="21">
        <f>C6-TOTAL!G6</f>
        <v>0</v>
      </c>
      <c r="F6" s="21">
        <f>D6-TOTAL!H6</f>
        <v>0</v>
      </c>
      <c r="G6" s="22" t="str">
        <f t="shared" si="0"/>
        <v>OK</v>
      </c>
      <c r="H6" s="3"/>
      <c r="I6" s="57">
        <f>COUNTIF(G4:G13,"ERROR")*1/10</f>
        <v>0.1</v>
      </c>
      <c r="J6" s="49"/>
      <c r="K6" s="49"/>
      <c r="L6" s="49"/>
      <c r="M6" s="50"/>
    </row>
    <row r="7" spans="2:13" ht="19.5" customHeight="1" x14ac:dyDescent="0.4">
      <c r="B7" s="20">
        <v>4</v>
      </c>
      <c r="C7" s="23">
        <v>9</v>
      </c>
      <c r="D7" s="23">
        <v>10</v>
      </c>
      <c r="E7" s="21">
        <f>C7-TOTAL!G7</f>
        <v>0</v>
      </c>
      <c r="F7" s="21">
        <f>D7-TOTAL!H7</f>
        <v>0</v>
      </c>
      <c r="G7" s="22" t="str">
        <f t="shared" si="0"/>
        <v>OK</v>
      </c>
      <c r="H7" s="3"/>
      <c r="I7" s="51"/>
      <c r="J7" s="52"/>
      <c r="K7" s="52"/>
      <c r="L7" s="52"/>
      <c r="M7" s="53"/>
    </row>
    <row r="8" spans="2:13" ht="19.5" customHeight="1" x14ac:dyDescent="0.4">
      <c r="B8" s="20">
        <v>5</v>
      </c>
      <c r="C8" s="23">
        <v>9</v>
      </c>
      <c r="D8" s="23">
        <v>10</v>
      </c>
      <c r="E8" s="21">
        <f>C8-TOTAL!G8</f>
        <v>0</v>
      </c>
      <c r="F8" s="21">
        <f>D8-TOTAL!H8</f>
        <v>0</v>
      </c>
      <c r="G8" s="22" t="str">
        <f t="shared" si="0"/>
        <v>OK</v>
      </c>
      <c r="H8" s="3"/>
      <c r="I8" s="54"/>
      <c r="J8" s="55"/>
      <c r="K8" s="55"/>
      <c r="L8" s="55"/>
      <c r="M8" s="56"/>
    </row>
    <row r="9" spans="2:13" ht="19.5" customHeight="1" x14ac:dyDescent="0.4">
      <c r="B9" s="20">
        <v>6</v>
      </c>
      <c r="C9" s="23">
        <v>10</v>
      </c>
      <c r="D9" s="23">
        <v>9</v>
      </c>
      <c r="E9" s="21">
        <f>C9-TOTAL!G9</f>
        <v>0</v>
      </c>
      <c r="F9" s="21">
        <f>D9-TOTAL!H9</f>
        <v>0</v>
      </c>
      <c r="G9" s="22" t="str">
        <f t="shared" si="0"/>
        <v>OK</v>
      </c>
      <c r="H9" s="3"/>
    </row>
    <row r="10" spans="2:13" ht="19.5" customHeight="1" x14ac:dyDescent="0.4">
      <c r="B10" s="20">
        <v>7</v>
      </c>
      <c r="C10" s="21">
        <v>10</v>
      </c>
      <c r="D10" s="21">
        <v>9</v>
      </c>
      <c r="E10" s="21">
        <f>C10-TOTAL!G10</f>
        <v>0</v>
      </c>
      <c r="F10" s="21">
        <f>D10-TOTAL!H10</f>
        <v>0</v>
      </c>
      <c r="G10" s="22" t="str">
        <f t="shared" si="0"/>
        <v>OK</v>
      </c>
      <c r="H10" s="3"/>
      <c r="I10" s="48" t="s">
        <v>26</v>
      </c>
      <c r="J10" s="49"/>
      <c r="K10" s="49"/>
      <c r="L10" s="49"/>
      <c r="M10" s="50"/>
    </row>
    <row r="11" spans="2:13" ht="19.5" customHeight="1" x14ac:dyDescent="0.4">
      <c r="B11" s="20">
        <v>8</v>
      </c>
      <c r="C11" s="21">
        <v>10</v>
      </c>
      <c r="D11" s="21">
        <v>9</v>
      </c>
      <c r="E11" s="21">
        <f>C11-TOTAL!G11</f>
        <v>0</v>
      </c>
      <c r="F11" s="21">
        <f>D11-TOTAL!H11</f>
        <v>0</v>
      </c>
      <c r="G11" s="22" t="str">
        <f t="shared" si="0"/>
        <v>OK</v>
      </c>
      <c r="H11" s="3"/>
      <c r="I11" s="51"/>
      <c r="J11" s="52"/>
      <c r="K11" s="52"/>
      <c r="L11" s="52"/>
      <c r="M11" s="53"/>
    </row>
    <row r="12" spans="2:13" ht="19.5" customHeight="1" x14ac:dyDescent="0.4">
      <c r="B12" s="20">
        <v>9</v>
      </c>
      <c r="C12" s="23">
        <v>9</v>
      </c>
      <c r="D12" s="23">
        <v>10</v>
      </c>
      <c r="E12" s="21">
        <f>C12-TOTAL!G12</f>
        <v>-1</v>
      </c>
      <c r="F12" s="21">
        <f>D12-TOTAL!H12</f>
        <v>1</v>
      </c>
      <c r="G12" s="22" t="str">
        <f t="shared" si="0"/>
        <v>ERROR</v>
      </c>
      <c r="H12" s="3"/>
      <c r="I12" s="54"/>
      <c r="J12" s="55"/>
      <c r="K12" s="55"/>
      <c r="L12" s="55"/>
      <c r="M12" s="56"/>
    </row>
    <row r="13" spans="2:13" ht="19.5" customHeight="1" x14ac:dyDescent="0.4">
      <c r="B13" s="20">
        <v>10</v>
      </c>
      <c r="C13" s="23">
        <v>10</v>
      </c>
      <c r="D13" s="23">
        <v>9</v>
      </c>
      <c r="E13" s="21">
        <f>C13-TOTAL!G13</f>
        <v>0</v>
      </c>
      <c r="F13" s="21">
        <f>D13-TOTAL!H13</f>
        <v>0</v>
      </c>
      <c r="G13" s="22" t="str">
        <f t="shared" si="0"/>
        <v>OK</v>
      </c>
      <c r="H13" s="3"/>
      <c r="I13" s="57">
        <f>IF(AND('JUEZ 1'!C4&lt;&gt;'JUEZ 2'!C4,'JUEZ 1'!C4&lt;&gt;'JUEZ 3'!C4),0.1,0) + IF(AND('JUEZ 1'!C5&lt;&gt;'JUEZ 2'!C5,'JUEZ 1'!C5&lt;&gt;'JUEZ 3'!C5),0.1,0) + IF(AND('JUEZ 1'!C6&lt;&gt;'JUEZ 2'!C6,'JUEZ 1'!C6&lt;&gt;'JUEZ 3'!C6),0.1,0) + IF(AND('JUEZ 1'!C7&lt;&gt;'JUEZ 2'!C7,'JUEZ 1'!C7&lt;&gt;'JUEZ 3'!C7),0.1,0) + IF(AND('JUEZ 1'!C8&lt;&gt;'JUEZ 2'!C8,'JUEZ 1'!C8&lt;&gt;'JUEZ 3'!C8),0.1,0)+ IF(AND('JUEZ 1'!C9&lt;&gt;'JUEZ 2'!C9,'JUEZ 1'!C9&lt;&gt;'JUEZ 3'!C9),0.1,0)+ IF(AND('JUEZ 1'!C10&lt;&gt;'JUEZ 2'!C10,'JUEZ 1'!C10&lt;&gt;'JUEZ 3'!C10),0.1,0)+ IF(AND('JUEZ 1'!C11&lt;&gt;'JUEZ 2'!C11,'JUEZ 1'!C11&lt;&gt;'JUEZ 3'!C11),0.1,0)+ IF(AND('JUEZ 1'!C12&lt;&gt;'JUEZ 2'!C12,'JUEZ 1'!C12&lt;&gt;'JUEZ 3'!C12),0.1,0)+ IF(AND('JUEZ 1'!C13&lt;&gt;'JUEZ 2'!C13,'JUEZ 1'!C13&lt;&gt;'JUEZ 3'!C13),0.1,0)</f>
        <v>0.1</v>
      </c>
      <c r="J13" s="49"/>
      <c r="K13" s="49"/>
      <c r="L13" s="49"/>
      <c r="M13" s="50"/>
    </row>
    <row r="14" spans="2:13" ht="19.5" customHeight="1" x14ac:dyDescent="0.4">
      <c r="B14" s="20" t="s">
        <v>3</v>
      </c>
      <c r="C14" s="21">
        <f t="shared" ref="C14:D14" si="1">SUM(C4:C13)</f>
        <v>97</v>
      </c>
      <c r="D14" s="21">
        <f t="shared" si="1"/>
        <v>93</v>
      </c>
      <c r="E14" s="21">
        <f>C14-TOTAL!G14</f>
        <v>-1</v>
      </c>
      <c r="F14" s="21">
        <f>D14-TOTAL!H14</f>
        <v>1</v>
      </c>
      <c r="G14" s="22" t="str">
        <f t="shared" si="0"/>
        <v>ERRORPELEA</v>
      </c>
      <c r="H14" s="3"/>
      <c r="I14" s="51"/>
      <c r="J14" s="52"/>
      <c r="K14" s="52"/>
      <c r="L14" s="52"/>
      <c r="M14" s="53"/>
    </row>
    <row r="15" spans="2:13" ht="18.75" customHeight="1" x14ac:dyDescent="0.4">
      <c r="B15" s="24"/>
      <c r="C15" s="25"/>
      <c r="D15" s="26" t="s">
        <v>27</v>
      </c>
      <c r="E15" s="26"/>
      <c r="F15" s="26"/>
      <c r="G15" s="27">
        <f>COUNTIF(G4:G13,"error")</f>
        <v>1</v>
      </c>
      <c r="I15" s="54"/>
      <c r="J15" s="55"/>
      <c r="K15" s="55"/>
      <c r="L15" s="55"/>
      <c r="M15" s="56"/>
    </row>
    <row r="16" spans="2:13" ht="12.75" customHeight="1" x14ac:dyDescent="0.25">
      <c r="D16" s="3"/>
      <c r="E16" s="3"/>
      <c r="F16" s="3"/>
    </row>
    <row r="17" spans="4:6" ht="12.75" customHeight="1" x14ac:dyDescent="0.25">
      <c r="D17" s="3"/>
      <c r="E17" s="3"/>
      <c r="F17" s="3"/>
    </row>
    <row r="18" spans="4:6" ht="12.75" customHeight="1" x14ac:dyDescent="0.25">
      <c r="D18" s="3"/>
      <c r="E18" s="3"/>
      <c r="F18" s="3"/>
    </row>
    <row r="19" spans="4:6" ht="12.75" customHeight="1" x14ac:dyDescent="0.25">
      <c r="D19" s="3"/>
      <c r="E19" s="3"/>
      <c r="F19" s="3"/>
    </row>
    <row r="20" spans="4:6" ht="12.75" customHeight="1" x14ac:dyDescent="0.25">
      <c r="D20" s="3"/>
      <c r="E20" s="3"/>
      <c r="F20" s="3"/>
    </row>
    <row r="21" spans="4:6" ht="12.75" customHeight="1" x14ac:dyDescent="0.25">
      <c r="D21" s="3"/>
      <c r="E21" s="3"/>
      <c r="F21" s="3"/>
    </row>
    <row r="22" spans="4:6" ht="12.75" customHeight="1" x14ac:dyDescent="0.25">
      <c r="D22" s="3"/>
      <c r="E22" s="3"/>
      <c r="F22" s="3"/>
    </row>
    <row r="23" spans="4:6" ht="12.75" customHeight="1" x14ac:dyDescent="0.25">
      <c r="D23" s="3"/>
      <c r="E23" s="3"/>
      <c r="F23" s="3"/>
    </row>
    <row r="24" spans="4:6" ht="12.75" customHeight="1" x14ac:dyDescent="0.25">
      <c r="D24" s="3"/>
      <c r="E24" s="3"/>
      <c r="F24" s="3"/>
    </row>
    <row r="25" spans="4:6" ht="12.75" customHeight="1" x14ac:dyDescent="0.25">
      <c r="D25" s="3"/>
      <c r="E25" s="3"/>
      <c r="F25" s="3"/>
    </row>
    <row r="26" spans="4:6" ht="12.75" customHeight="1" x14ac:dyDescent="0.25">
      <c r="D26" s="3"/>
      <c r="E26" s="3"/>
      <c r="F26" s="3"/>
    </row>
    <row r="27" spans="4:6" ht="12.75" customHeight="1" x14ac:dyDescent="0.25">
      <c r="D27" s="3"/>
      <c r="E27" s="3"/>
      <c r="F27" s="3"/>
    </row>
    <row r="28" spans="4:6" ht="12.75" customHeight="1" x14ac:dyDescent="0.25">
      <c r="D28" s="3"/>
      <c r="E28" s="3"/>
      <c r="F28" s="3"/>
    </row>
    <row r="29" spans="4:6" ht="12.75" customHeight="1" x14ac:dyDescent="0.25">
      <c r="D29" s="3"/>
      <c r="E29" s="3"/>
      <c r="F29" s="3"/>
    </row>
    <row r="30" spans="4:6" ht="12.75" customHeight="1" x14ac:dyDescent="0.25">
      <c r="D30" s="3"/>
      <c r="E30" s="3"/>
      <c r="F30" s="3"/>
    </row>
    <row r="31" spans="4:6" ht="12.75" customHeight="1" x14ac:dyDescent="0.25">
      <c r="D31" s="3"/>
      <c r="E31" s="3"/>
      <c r="F31" s="3"/>
    </row>
    <row r="32" spans="4:6" ht="12.75" customHeight="1" x14ac:dyDescent="0.25">
      <c r="D32" s="3"/>
      <c r="E32" s="3"/>
      <c r="F32" s="3"/>
    </row>
    <row r="33" spans="4:6" ht="12.75" customHeight="1" x14ac:dyDescent="0.25">
      <c r="D33" s="3"/>
      <c r="E33" s="3"/>
      <c r="F33" s="3"/>
    </row>
    <row r="34" spans="4:6" ht="12.75" customHeight="1" x14ac:dyDescent="0.25">
      <c r="D34" s="3"/>
      <c r="E34" s="3"/>
      <c r="F34" s="3"/>
    </row>
    <row r="35" spans="4:6" ht="12.75" customHeight="1" x14ac:dyDescent="0.25">
      <c r="D35" s="3"/>
      <c r="E35" s="3"/>
      <c r="F35" s="3"/>
    </row>
    <row r="36" spans="4:6" ht="12.75" customHeight="1" x14ac:dyDescent="0.25">
      <c r="D36" s="3"/>
      <c r="E36" s="3"/>
      <c r="F36" s="3"/>
    </row>
    <row r="37" spans="4:6" ht="12.75" customHeight="1" x14ac:dyDescent="0.25">
      <c r="D37" s="3"/>
      <c r="E37" s="3"/>
      <c r="F37" s="3"/>
    </row>
    <row r="38" spans="4:6" ht="12.75" customHeight="1" x14ac:dyDescent="0.25">
      <c r="D38" s="3"/>
      <c r="E38" s="3"/>
      <c r="F38" s="3"/>
    </row>
    <row r="39" spans="4:6" ht="12.75" customHeight="1" x14ac:dyDescent="0.25">
      <c r="D39" s="3"/>
      <c r="E39" s="3"/>
      <c r="F39" s="3"/>
    </row>
    <row r="40" spans="4:6" ht="12.75" customHeight="1" x14ac:dyDescent="0.25">
      <c r="D40" s="3"/>
      <c r="E40" s="3"/>
      <c r="F40" s="3"/>
    </row>
    <row r="41" spans="4:6" ht="12.75" customHeight="1" x14ac:dyDescent="0.25">
      <c r="D41" s="3"/>
      <c r="E41" s="3"/>
      <c r="F41" s="3"/>
    </row>
    <row r="42" spans="4:6" ht="12.75" customHeight="1" x14ac:dyDescent="0.25">
      <c r="D42" s="3"/>
      <c r="E42" s="3"/>
      <c r="F42" s="3"/>
    </row>
    <row r="43" spans="4:6" ht="12.75" customHeight="1" x14ac:dyDescent="0.25">
      <c r="D43" s="3"/>
      <c r="E43" s="3"/>
      <c r="F43" s="3"/>
    </row>
    <row r="44" spans="4:6" ht="12.75" customHeight="1" x14ac:dyDescent="0.25">
      <c r="D44" s="3"/>
      <c r="E44" s="3"/>
      <c r="F44" s="3"/>
    </row>
    <row r="45" spans="4:6" ht="12.75" customHeight="1" x14ac:dyDescent="0.25">
      <c r="D45" s="3"/>
      <c r="E45" s="3"/>
      <c r="F45" s="3"/>
    </row>
    <row r="46" spans="4:6" ht="12.75" customHeight="1" x14ac:dyDescent="0.25">
      <c r="D46" s="3"/>
      <c r="E46" s="3"/>
      <c r="F46" s="3"/>
    </row>
    <row r="47" spans="4:6" ht="12.75" customHeight="1" x14ac:dyDescent="0.25">
      <c r="D47" s="3"/>
      <c r="E47" s="3"/>
      <c r="F47" s="3"/>
    </row>
    <row r="48" spans="4:6" ht="12.75" customHeight="1" x14ac:dyDescent="0.25">
      <c r="D48" s="3"/>
      <c r="E48" s="3"/>
      <c r="F48" s="3"/>
    </row>
    <row r="49" spans="4:6" ht="12.75" customHeight="1" x14ac:dyDescent="0.25">
      <c r="D49" s="3"/>
      <c r="E49" s="3"/>
      <c r="F49" s="3"/>
    </row>
    <row r="50" spans="4:6" ht="12.75" customHeight="1" x14ac:dyDescent="0.25">
      <c r="D50" s="3"/>
      <c r="E50" s="3"/>
      <c r="F50" s="3"/>
    </row>
    <row r="51" spans="4:6" ht="12.75" customHeight="1" x14ac:dyDescent="0.25">
      <c r="D51" s="3"/>
      <c r="E51" s="3"/>
      <c r="F51" s="3"/>
    </row>
    <row r="52" spans="4:6" ht="12.75" customHeight="1" x14ac:dyDescent="0.25">
      <c r="D52" s="3"/>
      <c r="E52" s="3"/>
      <c r="F52" s="3"/>
    </row>
    <row r="53" spans="4:6" ht="12.75" customHeight="1" x14ac:dyDescent="0.25">
      <c r="D53" s="3"/>
      <c r="E53" s="3"/>
      <c r="F53" s="3"/>
    </row>
    <row r="54" spans="4:6" ht="12.75" customHeight="1" x14ac:dyDescent="0.25">
      <c r="D54" s="3"/>
      <c r="E54" s="3"/>
      <c r="F54" s="3"/>
    </row>
    <row r="55" spans="4:6" ht="12.75" customHeight="1" x14ac:dyDescent="0.25">
      <c r="D55" s="3"/>
      <c r="E55" s="3"/>
      <c r="F55" s="3"/>
    </row>
    <row r="56" spans="4:6" ht="12.75" customHeight="1" x14ac:dyDescent="0.25">
      <c r="D56" s="3"/>
      <c r="E56" s="3"/>
      <c r="F56" s="3"/>
    </row>
    <row r="57" spans="4:6" ht="12.75" customHeight="1" x14ac:dyDescent="0.25">
      <c r="D57" s="3"/>
      <c r="E57" s="3"/>
      <c r="F57" s="3"/>
    </row>
    <row r="58" spans="4:6" ht="12.75" customHeight="1" x14ac:dyDescent="0.25">
      <c r="D58" s="3"/>
      <c r="E58" s="3"/>
      <c r="F58" s="3"/>
    </row>
    <row r="59" spans="4:6" ht="12.75" customHeight="1" x14ac:dyDescent="0.25">
      <c r="D59" s="3"/>
      <c r="E59" s="3"/>
      <c r="F59" s="3"/>
    </row>
    <row r="60" spans="4:6" ht="12.75" customHeight="1" x14ac:dyDescent="0.25">
      <c r="D60" s="3"/>
      <c r="E60" s="3"/>
      <c r="F60" s="3"/>
    </row>
    <row r="61" spans="4:6" ht="12.75" customHeight="1" x14ac:dyDescent="0.25">
      <c r="D61" s="3"/>
      <c r="E61" s="3"/>
      <c r="F61" s="3"/>
    </row>
    <row r="62" spans="4:6" ht="12.75" customHeight="1" x14ac:dyDescent="0.25">
      <c r="D62" s="3"/>
      <c r="E62" s="3"/>
      <c r="F62" s="3"/>
    </row>
    <row r="63" spans="4:6" ht="12.75" customHeight="1" x14ac:dyDescent="0.25">
      <c r="D63" s="3"/>
      <c r="E63" s="3"/>
      <c r="F63" s="3"/>
    </row>
    <row r="64" spans="4:6" ht="12.75" customHeight="1" x14ac:dyDescent="0.25">
      <c r="D64" s="3"/>
      <c r="E64" s="3"/>
      <c r="F64" s="3"/>
    </row>
    <row r="65" spans="4:6" ht="12.75" customHeight="1" x14ac:dyDescent="0.25">
      <c r="D65" s="3"/>
      <c r="E65" s="3"/>
      <c r="F65" s="3"/>
    </row>
    <row r="66" spans="4:6" ht="12.75" customHeight="1" x14ac:dyDescent="0.25">
      <c r="D66" s="3"/>
      <c r="E66" s="3"/>
      <c r="F66" s="3"/>
    </row>
    <row r="67" spans="4:6" ht="12.75" customHeight="1" x14ac:dyDescent="0.25">
      <c r="D67" s="3"/>
      <c r="E67" s="3"/>
      <c r="F67" s="3"/>
    </row>
    <row r="68" spans="4:6" ht="12.75" customHeight="1" x14ac:dyDescent="0.25">
      <c r="D68" s="3"/>
      <c r="E68" s="3"/>
      <c r="F68" s="3"/>
    </row>
    <row r="69" spans="4:6" ht="12.75" customHeight="1" x14ac:dyDescent="0.25">
      <c r="D69" s="3"/>
      <c r="E69" s="3"/>
      <c r="F69" s="3"/>
    </row>
    <row r="70" spans="4:6" ht="12.75" customHeight="1" x14ac:dyDescent="0.25">
      <c r="D70" s="3"/>
      <c r="E70" s="3"/>
      <c r="F70" s="3"/>
    </row>
    <row r="71" spans="4:6" ht="12.75" customHeight="1" x14ac:dyDescent="0.25">
      <c r="D71" s="3"/>
      <c r="E71" s="3"/>
      <c r="F71" s="3"/>
    </row>
    <row r="72" spans="4:6" ht="12.75" customHeight="1" x14ac:dyDescent="0.25">
      <c r="D72" s="3"/>
      <c r="E72" s="3"/>
      <c r="F72" s="3"/>
    </row>
    <row r="73" spans="4:6" ht="12.75" customHeight="1" x14ac:dyDescent="0.25">
      <c r="D73" s="3"/>
      <c r="E73" s="3"/>
      <c r="F73" s="3"/>
    </row>
    <row r="74" spans="4:6" ht="12.75" customHeight="1" x14ac:dyDescent="0.25">
      <c r="D74" s="3"/>
      <c r="E74" s="3"/>
      <c r="F74" s="3"/>
    </row>
    <row r="75" spans="4:6" ht="12.75" customHeight="1" x14ac:dyDescent="0.25">
      <c r="D75" s="3"/>
      <c r="E75" s="3"/>
      <c r="F75" s="3"/>
    </row>
    <row r="76" spans="4:6" ht="12.75" customHeight="1" x14ac:dyDescent="0.25">
      <c r="D76" s="3"/>
      <c r="E76" s="3"/>
      <c r="F76" s="3"/>
    </row>
    <row r="77" spans="4:6" ht="12.75" customHeight="1" x14ac:dyDescent="0.25">
      <c r="D77" s="3"/>
      <c r="E77" s="3"/>
      <c r="F77" s="3"/>
    </row>
    <row r="78" spans="4:6" ht="12.75" customHeight="1" x14ac:dyDescent="0.25">
      <c r="D78" s="3"/>
      <c r="E78" s="3"/>
      <c r="F78" s="3"/>
    </row>
    <row r="79" spans="4:6" ht="12.75" customHeight="1" x14ac:dyDescent="0.25">
      <c r="D79" s="3"/>
      <c r="E79" s="3"/>
      <c r="F79" s="3"/>
    </row>
    <row r="80" spans="4:6" ht="12.75" customHeight="1" x14ac:dyDescent="0.25">
      <c r="D80" s="3"/>
      <c r="E80" s="3"/>
      <c r="F80" s="3"/>
    </row>
    <row r="81" spans="4:6" ht="12.75" customHeight="1" x14ac:dyDescent="0.25">
      <c r="D81" s="3"/>
      <c r="E81" s="3"/>
      <c r="F81" s="3"/>
    </row>
    <row r="82" spans="4:6" ht="12.75" customHeight="1" x14ac:dyDescent="0.25">
      <c r="D82" s="3"/>
      <c r="E82" s="3"/>
      <c r="F82" s="3"/>
    </row>
    <row r="83" spans="4:6" ht="12.75" customHeight="1" x14ac:dyDescent="0.25">
      <c r="D83" s="3"/>
      <c r="E83" s="3"/>
      <c r="F83" s="3"/>
    </row>
    <row r="84" spans="4:6" ht="12.75" customHeight="1" x14ac:dyDescent="0.25">
      <c r="D84" s="3"/>
      <c r="E84" s="3"/>
      <c r="F84" s="3"/>
    </row>
    <row r="85" spans="4:6" ht="12.75" customHeight="1" x14ac:dyDescent="0.25">
      <c r="D85" s="3"/>
      <c r="E85" s="3"/>
      <c r="F85" s="3"/>
    </row>
    <row r="86" spans="4:6" ht="12.75" customHeight="1" x14ac:dyDescent="0.25">
      <c r="D86" s="3"/>
      <c r="E86" s="3"/>
      <c r="F86" s="3"/>
    </row>
    <row r="87" spans="4:6" ht="12.75" customHeight="1" x14ac:dyDescent="0.25">
      <c r="D87" s="3"/>
      <c r="E87" s="3"/>
      <c r="F87" s="3"/>
    </row>
    <row r="88" spans="4:6" ht="12.75" customHeight="1" x14ac:dyDescent="0.25">
      <c r="D88" s="3"/>
      <c r="E88" s="3"/>
      <c r="F88" s="3"/>
    </row>
    <row r="89" spans="4:6" ht="12.75" customHeight="1" x14ac:dyDescent="0.25">
      <c r="D89" s="3"/>
      <c r="E89" s="3"/>
      <c r="F89" s="3"/>
    </row>
    <row r="90" spans="4:6" ht="12.75" customHeight="1" x14ac:dyDescent="0.25">
      <c r="D90" s="3"/>
      <c r="E90" s="3"/>
      <c r="F90" s="3"/>
    </row>
    <row r="91" spans="4:6" ht="12.75" customHeight="1" x14ac:dyDescent="0.25">
      <c r="D91" s="3"/>
      <c r="E91" s="3"/>
      <c r="F91" s="3"/>
    </row>
    <row r="92" spans="4:6" ht="12.75" customHeight="1" x14ac:dyDescent="0.25">
      <c r="D92" s="3"/>
      <c r="E92" s="3"/>
      <c r="F92" s="3"/>
    </row>
    <row r="93" spans="4:6" ht="12.75" customHeight="1" x14ac:dyDescent="0.25">
      <c r="D93" s="3"/>
      <c r="E93" s="3"/>
      <c r="F93" s="3"/>
    </row>
    <row r="94" spans="4:6" ht="12.75" customHeight="1" x14ac:dyDescent="0.25">
      <c r="D94" s="3"/>
      <c r="E94" s="3"/>
      <c r="F94" s="3"/>
    </row>
    <row r="95" spans="4:6" ht="12.75" customHeight="1" x14ac:dyDescent="0.25">
      <c r="D95" s="3"/>
      <c r="E95" s="3"/>
      <c r="F95" s="3"/>
    </row>
    <row r="96" spans="4:6" ht="12.75" customHeight="1" x14ac:dyDescent="0.25">
      <c r="D96" s="3"/>
      <c r="E96" s="3"/>
      <c r="F96" s="3"/>
    </row>
    <row r="97" spans="4:6" ht="12.75" customHeight="1" x14ac:dyDescent="0.25">
      <c r="D97" s="3"/>
      <c r="E97" s="3"/>
      <c r="F97" s="3"/>
    </row>
    <row r="98" spans="4:6" ht="12.75" customHeight="1" x14ac:dyDescent="0.25">
      <c r="D98" s="3"/>
      <c r="E98" s="3"/>
      <c r="F98" s="3"/>
    </row>
    <row r="99" spans="4:6" ht="12.75" customHeight="1" x14ac:dyDescent="0.25">
      <c r="D99" s="3"/>
      <c r="E99" s="3"/>
      <c r="F99" s="3"/>
    </row>
    <row r="100" spans="4:6" ht="12.75" customHeight="1" x14ac:dyDescent="0.25">
      <c r="D100" s="3"/>
      <c r="E100" s="3"/>
      <c r="F100" s="3"/>
    </row>
    <row r="101" spans="4:6" ht="12.75" customHeight="1" x14ac:dyDescent="0.25">
      <c r="D101" s="3"/>
      <c r="E101" s="3"/>
      <c r="F101" s="3"/>
    </row>
    <row r="102" spans="4:6" ht="12.75" customHeight="1" x14ac:dyDescent="0.25">
      <c r="D102" s="3"/>
      <c r="E102" s="3"/>
      <c r="F102" s="3"/>
    </row>
    <row r="103" spans="4:6" ht="12.75" customHeight="1" x14ac:dyDescent="0.25">
      <c r="D103" s="3"/>
      <c r="E103" s="3"/>
      <c r="F103" s="3"/>
    </row>
    <row r="104" spans="4:6" ht="12.75" customHeight="1" x14ac:dyDescent="0.25">
      <c r="D104" s="3"/>
      <c r="E104" s="3"/>
      <c r="F104" s="3"/>
    </row>
    <row r="105" spans="4:6" ht="12.75" customHeight="1" x14ac:dyDescent="0.25">
      <c r="D105" s="3"/>
      <c r="E105" s="3"/>
      <c r="F105" s="3"/>
    </row>
    <row r="106" spans="4:6" ht="12.75" customHeight="1" x14ac:dyDescent="0.25">
      <c r="D106" s="3"/>
      <c r="E106" s="3"/>
      <c r="F106" s="3"/>
    </row>
    <row r="107" spans="4:6" ht="12.75" customHeight="1" x14ac:dyDescent="0.25">
      <c r="D107" s="3"/>
      <c r="E107" s="3"/>
      <c r="F107" s="3"/>
    </row>
    <row r="108" spans="4:6" ht="12.75" customHeight="1" x14ac:dyDescent="0.25">
      <c r="D108" s="3"/>
      <c r="E108" s="3"/>
      <c r="F108" s="3"/>
    </row>
    <row r="109" spans="4:6" ht="12.75" customHeight="1" x14ac:dyDescent="0.25">
      <c r="D109" s="3"/>
      <c r="E109" s="3"/>
      <c r="F109" s="3"/>
    </row>
    <row r="110" spans="4:6" ht="12.75" customHeight="1" x14ac:dyDescent="0.25">
      <c r="D110" s="3"/>
      <c r="E110" s="3"/>
      <c r="F110" s="3"/>
    </row>
    <row r="111" spans="4:6" ht="12.75" customHeight="1" x14ac:dyDescent="0.25">
      <c r="D111" s="3"/>
      <c r="E111" s="3"/>
      <c r="F111" s="3"/>
    </row>
    <row r="112" spans="4:6" ht="12.75" customHeight="1" x14ac:dyDescent="0.25">
      <c r="D112" s="3"/>
      <c r="E112" s="3"/>
      <c r="F112" s="3"/>
    </row>
    <row r="113" spans="4:6" ht="12.75" customHeight="1" x14ac:dyDescent="0.25">
      <c r="D113" s="3"/>
      <c r="E113" s="3"/>
      <c r="F113" s="3"/>
    </row>
    <row r="114" spans="4:6" ht="12.75" customHeight="1" x14ac:dyDescent="0.25">
      <c r="D114" s="3"/>
      <c r="E114" s="3"/>
      <c r="F114" s="3"/>
    </row>
    <row r="115" spans="4:6" ht="12.75" customHeight="1" x14ac:dyDescent="0.25">
      <c r="D115" s="3"/>
      <c r="E115" s="3"/>
      <c r="F115" s="3"/>
    </row>
    <row r="116" spans="4:6" ht="12.75" customHeight="1" x14ac:dyDescent="0.25">
      <c r="D116" s="3"/>
      <c r="E116" s="3"/>
      <c r="F116" s="3"/>
    </row>
    <row r="117" spans="4:6" ht="12.75" customHeight="1" x14ac:dyDescent="0.25">
      <c r="D117" s="3"/>
      <c r="E117" s="3"/>
      <c r="F117" s="3"/>
    </row>
    <row r="118" spans="4:6" ht="12.75" customHeight="1" x14ac:dyDescent="0.25">
      <c r="D118" s="3"/>
      <c r="E118" s="3"/>
      <c r="F118" s="3"/>
    </row>
    <row r="119" spans="4:6" ht="12.75" customHeight="1" x14ac:dyDescent="0.25">
      <c r="D119" s="3"/>
      <c r="E119" s="3"/>
      <c r="F119" s="3"/>
    </row>
    <row r="120" spans="4:6" ht="12.75" customHeight="1" x14ac:dyDescent="0.25">
      <c r="D120" s="3"/>
      <c r="E120" s="3"/>
      <c r="F120" s="3"/>
    </row>
    <row r="121" spans="4:6" ht="12.75" customHeight="1" x14ac:dyDescent="0.25">
      <c r="D121" s="3"/>
      <c r="E121" s="3"/>
      <c r="F121" s="3"/>
    </row>
    <row r="122" spans="4:6" ht="12.75" customHeight="1" x14ac:dyDescent="0.25">
      <c r="D122" s="3"/>
      <c r="E122" s="3"/>
      <c r="F122" s="3"/>
    </row>
    <row r="123" spans="4:6" ht="12.75" customHeight="1" x14ac:dyDescent="0.25">
      <c r="D123" s="3"/>
      <c r="E123" s="3"/>
      <c r="F123" s="3"/>
    </row>
    <row r="124" spans="4:6" ht="12.75" customHeight="1" x14ac:dyDescent="0.25">
      <c r="D124" s="3"/>
      <c r="E124" s="3"/>
      <c r="F124" s="3"/>
    </row>
    <row r="125" spans="4:6" ht="12.75" customHeight="1" x14ac:dyDescent="0.25">
      <c r="D125" s="3"/>
      <c r="E125" s="3"/>
      <c r="F125" s="3"/>
    </row>
    <row r="126" spans="4:6" ht="12.75" customHeight="1" x14ac:dyDescent="0.25">
      <c r="D126" s="3"/>
      <c r="E126" s="3"/>
      <c r="F126" s="3"/>
    </row>
    <row r="127" spans="4:6" ht="12.75" customHeight="1" x14ac:dyDescent="0.25">
      <c r="D127" s="3"/>
      <c r="E127" s="3"/>
      <c r="F127" s="3"/>
    </row>
    <row r="128" spans="4:6" ht="12.75" customHeight="1" x14ac:dyDescent="0.25">
      <c r="D128" s="3"/>
      <c r="E128" s="3"/>
      <c r="F128" s="3"/>
    </row>
    <row r="129" spans="4:6" ht="12.75" customHeight="1" x14ac:dyDescent="0.25">
      <c r="D129" s="3"/>
      <c r="E129" s="3"/>
      <c r="F129" s="3"/>
    </row>
    <row r="130" spans="4:6" ht="12.75" customHeight="1" x14ac:dyDescent="0.25">
      <c r="D130" s="3"/>
      <c r="E130" s="3"/>
      <c r="F130" s="3"/>
    </row>
    <row r="131" spans="4:6" ht="12.75" customHeight="1" x14ac:dyDescent="0.25">
      <c r="D131" s="3"/>
      <c r="E131" s="3"/>
      <c r="F131" s="3"/>
    </row>
    <row r="132" spans="4:6" ht="12.75" customHeight="1" x14ac:dyDescent="0.25">
      <c r="D132" s="3"/>
      <c r="E132" s="3"/>
      <c r="F132" s="3"/>
    </row>
    <row r="133" spans="4:6" ht="12.75" customHeight="1" x14ac:dyDescent="0.25">
      <c r="D133" s="3"/>
      <c r="E133" s="3"/>
      <c r="F133" s="3"/>
    </row>
    <row r="134" spans="4:6" ht="12.75" customHeight="1" x14ac:dyDescent="0.25">
      <c r="D134" s="3"/>
      <c r="E134" s="3"/>
      <c r="F134" s="3"/>
    </row>
    <row r="135" spans="4:6" ht="12.75" customHeight="1" x14ac:dyDescent="0.25">
      <c r="D135" s="3"/>
      <c r="E135" s="3"/>
      <c r="F135" s="3"/>
    </row>
    <row r="136" spans="4:6" ht="12.75" customHeight="1" x14ac:dyDescent="0.25">
      <c r="D136" s="3"/>
      <c r="E136" s="3"/>
      <c r="F136" s="3"/>
    </row>
    <row r="137" spans="4:6" ht="12.75" customHeight="1" x14ac:dyDescent="0.25">
      <c r="D137" s="3"/>
      <c r="E137" s="3"/>
      <c r="F137" s="3"/>
    </row>
    <row r="138" spans="4:6" ht="12.75" customHeight="1" x14ac:dyDescent="0.25">
      <c r="D138" s="3"/>
      <c r="E138" s="3"/>
      <c r="F138" s="3"/>
    </row>
    <row r="139" spans="4:6" ht="12.75" customHeight="1" x14ac:dyDescent="0.25">
      <c r="D139" s="3"/>
      <c r="E139" s="3"/>
      <c r="F139" s="3"/>
    </row>
    <row r="140" spans="4:6" ht="12.75" customHeight="1" x14ac:dyDescent="0.25">
      <c r="D140" s="3"/>
      <c r="E140" s="3"/>
      <c r="F140" s="3"/>
    </row>
    <row r="141" spans="4:6" ht="12.75" customHeight="1" x14ac:dyDescent="0.25">
      <c r="D141" s="3"/>
      <c r="E141" s="3"/>
      <c r="F141" s="3"/>
    </row>
    <row r="142" spans="4:6" ht="12.75" customHeight="1" x14ac:dyDescent="0.25">
      <c r="D142" s="3"/>
      <c r="E142" s="3"/>
      <c r="F142" s="3"/>
    </row>
    <row r="143" spans="4:6" ht="12.75" customHeight="1" x14ac:dyDescent="0.25">
      <c r="D143" s="3"/>
      <c r="E143" s="3"/>
      <c r="F143" s="3"/>
    </row>
    <row r="144" spans="4:6" ht="12.75" customHeight="1" x14ac:dyDescent="0.25">
      <c r="D144" s="3"/>
      <c r="E144" s="3"/>
      <c r="F144" s="3"/>
    </row>
    <row r="145" spans="4:6" ht="12.75" customHeight="1" x14ac:dyDescent="0.25">
      <c r="D145" s="3"/>
      <c r="E145" s="3"/>
      <c r="F145" s="3"/>
    </row>
    <row r="146" spans="4:6" ht="12.75" customHeight="1" x14ac:dyDescent="0.25">
      <c r="D146" s="3"/>
      <c r="E146" s="3"/>
      <c r="F146" s="3"/>
    </row>
    <row r="147" spans="4:6" ht="12.75" customHeight="1" x14ac:dyDescent="0.25">
      <c r="D147" s="3"/>
      <c r="E147" s="3"/>
      <c r="F147" s="3"/>
    </row>
    <row r="148" spans="4:6" ht="12.75" customHeight="1" x14ac:dyDescent="0.25">
      <c r="D148" s="3"/>
      <c r="E148" s="3"/>
      <c r="F148" s="3"/>
    </row>
    <row r="149" spans="4:6" ht="12.75" customHeight="1" x14ac:dyDescent="0.25">
      <c r="D149" s="3"/>
      <c r="E149" s="3"/>
      <c r="F149" s="3"/>
    </row>
    <row r="150" spans="4:6" ht="12.75" customHeight="1" x14ac:dyDescent="0.25">
      <c r="D150" s="3"/>
      <c r="E150" s="3"/>
      <c r="F150" s="3"/>
    </row>
    <row r="151" spans="4:6" ht="12.75" customHeight="1" x14ac:dyDescent="0.25">
      <c r="D151" s="3"/>
      <c r="E151" s="3"/>
      <c r="F151" s="3"/>
    </row>
    <row r="152" spans="4:6" ht="12.75" customHeight="1" x14ac:dyDescent="0.25">
      <c r="D152" s="3"/>
      <c r="E152" s="3"/>
      <c r="F152" s="3"/>
    </row>
    <row r="153" spans="4:6" ht="12.75" customHeight="1" x14ac:dyDescent="0.25">
      <c r="D153" s="3"/>
      <c r="E153" s="3"/>
      <c r="F153" s="3"/>
    </row>
    <row r="154" spans="4:6" ht="12.75" customHeight="1" x14ac:dyDescent="0.25">
      <c r="D154" s="3"/>
      <c r="E154" s="3"/>
      <c r="F154" s="3"/>
    </row>
    <row r="155" spans="4:6" ht="12.75" customHeight="1" x14ac:dyDescent="0.25">
      <c r="D155" s="3"/>
      <c r="E155" s="3"/>
      <c r="F155" s="3"/>
    </row>
    <row r="156" spans="4:6" ht="12.75" customHeight="1" x14ac:dyDescent="0.25">
      <c r="D156" s="3"/>
      <c r="E156" s="3"/>
      <c r="F156" s="3"/>
    </row>
    <row r="157" spans="4:6" ht="12.75" customHeight="1" x14ac:dyDescent="0.25">
      <c r="D157" s="3"/>
      <c r="E157" s="3"/>
      <c r="F157" s="3"/>
    </row>
    <row r="158" spans="4:6" ht="12.75" customHeight="1" x14ac:dyDescent="0.25">
      <c r="D158" s="3"/>
      <c r="E158" s="3"/>
      <c r="F158" s="3"/>
    </row>
    <row r="159" spans="4:6" ht="12.75" customHeight="1" x14ac:dyDescent="0.25">
      <c r="D159" s="3"/>
      <c r="E159" s="3"/>
      <c r="F159" s="3"/>
    </row>
    <row r="160" spans="4:6" ht="12.75" customHeight="1" x14ac:dyDescent="0.25">
      <c r="D160" s="3"/>
      <c r="E160" s="3"/>
      <c r="F160" s="3"/>
    </row>
    <row r="161" spans="4:6" ht="12.75" customHeight="1" x14ac:dyDescent="0.25">
      <c r="D161" s="3"/>
      <c r="E161" s="3"/>
      <c r="F161" s="3"/>
    </row>
    <row r="162" spans="4:6" ht="12.75" customHeight="1" x14ac:dyDescent="0.25">
      <c r="D162" s="3"/>
      <c r="E162" s="3"/>
      <c r="F162" s="3"/>
    </row>
    <row r="163" spans="4:6" ht="12.75" customHeight="1" x14ac:dyDescent="0.25">
      <c r="D163" s="3"/>
      <c r="E163" s="3"/>
      <c r="F163" s="3"/>
    </row>
    <row r="164" spans="4:6" ht="12.75" customHeight="1" x14ac:dyDescent="0.25">
      <c r="D164" s="3"/>
      <c r="E164" s="3"/>
      <c r="F164" s="3"/>
    </row>
    <row r="165" spans="4:6" ht="12.75" customHeight="1" x14ac:dyDescent="0.25">
      <c r="D165" s="3"/>
      <c r="E165" s="3"/>
      <c r="F165" s="3"/>
    </row>
    <row r="166" spans="4:6" ht="12.75" customHeight="1" x14ac:dyDescent="0.25">
      <c r="D166" s="3"/>
      <c r="E166" s="3"/>
      <c r="F166" s="3"/>
    </row>
    <row r="167" spans="4:6" ht="12.75" customHeight="1" x14ac:dyDescent="0.25">
      <c r="D167" s="3"/>
      <c r="E167" s="3"/>
      <c r="F167" s="3"/>
    </row>
    <row r="168" spans="4:6" ht="12.75" customHeight="1" x14ac:dyDescent="0.25">
      <c r="D168" s="3"/>
      <c r="E168" s="3"/>
      <c r="F168" s="3"/>
    </row>
    <row r="169" spans="4:6" ht="12.75" customHeight="1" x14ac:dyDescent="0.25">
      <c r="D169" s="3"/>
      <c r="E169" s="3"/>
      <c r="F169" s="3"/>
    </row>
    <row r="170" spans="4:6" ht="12.75" customHeight="1" x14ac:dyDescent="0.25">
      <c r="D170" s="3"/>
      <c r="E170" s="3"/>
      <c r="F170" s="3"/>
    </row>
    <row r="171" spans="4:6" ht="12.75" customHeight="1" x14ac:dyDescent="0.25">
      <c r="D171" s="3"/>
      <c r="E171" s="3"/>
      <c r="F171" s="3"/>
    </row>
    <row r="172" spans="4:6" ht="12.75" customHeight="1" x14ac:dyDescent="0.25">
      <c r="D172" s="3"/>
      <c r="E172" s="3"/>
      <c r="F172" s="3"/>
    </row>
    <row r="173" spans="4:6" ht="12.75" customHeight="1" x14ac:dyDescent="0.25">
      <c r="D173" s="3"/>
      <c r="E173" s="3"/>
      <c r="F173" s="3"/>
    </row>
    <row r="174" spans="4:6" ht="12.75" customHeight="1" x14ac:dyDescent="0.25">
      <c r="D174" s="3"/>
      <c r="E174" s="3"/>
      <c r="F174" s="3"/>
    </row>
    <row r="175" spans="4:6" ht="12.75" customHeight="1" x14ac:dyDescent="0.25">
      <c r="D175" s="3"/>
      <c r="E175" s="3"/>
      <c r="F175" s="3"/>
    </row>
    <row r="176" spans="4:6" ht="12.75" customHeight="1" x14ac:dyDescent="0.25">
      <c r="D176" s="3"/>
      <c r="E176" s="3"/>
      <c r="F176" s="3"/>
    </row>
    <row r="177" spans="4:6" ht="12.75" customHeight="1" x14ac:dyDescent="0.25">
      <c r="D177" s="3"/>
      <c r="E177" s="3"/>
      <c r="F177" s="3"/>
    </row>
    <row r="178" spans="4:6" ht="12.75" customHeight="1" x14ac:dyDescent="0.25">
      <c r="D178" s="3"/>
      <c r="E178" s="3"/>
      <c r="F178" s="3"/>
    </row>
    <row r="179" spans="4:6" ht="12.75" customHeight="1" x14ac:dyDescent="0.25">
      <c r="D179" s="3"/>
      <c r="E179" s="3"/>
      <c r="F179" s="3"/>
    </row>
    <row r="180" spans="4:6" ht="12.75" customHeight="1" x14ac:dyDescent="0.25">
      <c r="D180" s="3"/>
      <c r="E180" s="3"/>
      <c r="F180" s="3"/>
    </row>
    <row r="181" spans="4:6" ht="12.75" customHeight="1" x14ac:dyDescent="0.25">
      <c r="D181" s="3"/>
      <c r="E181" s="3"/>
      <c r="F181" s="3"/>
    </row>
    <row r="182" spans="4:6" ht="12.75" customHeight="1" x14ac:dyDescent="0.25">
      <c r="D182" s="3"/>
      <c r="E182" s="3"/>
      <c r="F182" s="3"/>
    </row>
    <row r="183" spans="4:6" ht="12.75" customHeight="1" x14ac:dyDescent="0.25">
      <c r="D183" s="3"/>
      <c r="E183" s="3"/>
      <c r="F183" s="3"/>
    </row>
    <row r="184" spans="4:6" ht="12.75" customHeight="1" x14ac:dyDescent="0.25">
      <c r="D184" s="3"/>
      <c r="E184" s="3"/>
      <c r="F184" s="3"/>
    </row>
    <row r="185" spans="4:6" ht="12.75" customHeight="1" x14ac:dyDescent="0.25">
      <c r="D185" s="3"/>
      <c r="E185" s="3"/>
      <c r="F185" s="3"/>
    </row>
    <row r="186" spans="4:6" ht="12.75" customHeight="1" x14ac:dyDescent="0.25">
      <c r="D186" s="3"/>
      <c r="E186" s="3"/>
      <c r="F186" s="3"/>
    </row>
    <row r="187" spans="4:6" ht="12.75" customHeight="1" x14ac:dyDescent="0.25">
      <c r="D187" s="3"/>
      <c r="E187" s="3"/>
      <c r="F187" s="3"/>
    </row>
    <row r="188" spans="4:6" ht="12.75" customHeight="1" x14ac:dyDescent="0.25">
      <c r="D188" s="3"/>
      <c r="E188" s="3"/>
      <c r="F188" s="3"/>
    </row>
    <row r="189" spans="4:6" ht="12.75" customHeight="1" x14ac:dyDescent="0.25">
      <c r="D189" s="3"/>
      <c r="E189" s="3"/>
      <c r="F189" s="3"/>
    </row>
    <row r="190" spans="4:6" ht="12.75" customHeight="1" x14ac:dyDescent="0.25">
      <c r="D190" s="3"/>
      <c r="E190" s="3"/>
      <c r="F190" s="3"/>
    </row>
    <row r="191" spans="4:6" ht="12.75" customHeight="1" x14ac:dyDescent="0.25">
      <c r="D191" s="3"/>
      <c r="E191" s="3"/>
      <c r="F191" s="3"/>
    </row>
    <row r="192" spans="4:6" ht="12.75" customHeight="1" x14ac:dyDescent="0.25">
      <c r="D192" s="3"/>
      <c r="E192" s="3"/>
      <c r="F192" s="3"/>
    </row>
    <row r="193" spans="4:6" ht="12.75" customHeight="1" x14ac:dyDescent="0.25">
      <c r="D193" s="3"/>
      <c r="E193" s="3"/>
      <c r="F193" s="3"/>
    </row>
    <row r="194" spans="4:6" ht="12.75" customHeight="1" x14ac:dyDescent="0.25">
      <c r="D194" s="3"/>
      <c r="E194" s="3"/>
      <c r="F194" s="3"/>
    </row>
    <row r="195" spans="4:6" ht="12.75" customHeight="1" x14ac:dyDescent="0.25">
      <c r="D195" s="3"/>
      <c r="E195" s="3"/>
      <c r="F195" s="3"/>
    </row>
    <row r="196" spans="4:6" ht="12.75" customHeight="1" x14ac:dyDescent="0.25">
      <c r="D196" s="3"/>
      <c r="E196" s="3"/>
      <c r="F196" s="3"/>
    </row>
    <row r="197" spans="4:6" ht="12.75" customHeight="1" x14ac:dyDescent="0.25">
      <c r="D197" s="3"/>
      <c r="E197" s="3"/>
      <c r="F197" s="3"/>
    </row>
    <row r="198" spans="4:6" ht="12.75" customHeight="1" x14ac:dyDescent="0.25">
      <c r="D198" s="3"/>
      <c r="E198" s="3"/>
      <c r="F198" s="3"/>
    </row>
    <row r="199" spans="4:6" ht="12.75" customHeight="1" x14ac:dyDescent="0.25">
      <c r="D199" s="3"/>
      <c r="E199" s="3"/>
      <c r="F199" s="3"/>
    </row>
    <row r="200" spans="4:6" ht="12.75" customHeight="1" x14ac:dyDescent="0.25">
      <c r="D200" s="3"/>
      <c r="E200" s="3"/>
      <c r="F200" s="3"/>
    </row>
    <row r="201" spans="4:6" ht="12.75" customHeight="1" x14ac:dyDescent="0.25">
      <c r="D201" s="3"/>
      <c r="E201" s="3"/>
      <c r="F201" s="3"/>
    </row>
    <row r="202" spans="4:6" ht="12.75" customHeight="1" x14ac:dyDescent="0.25">
      <c r="D202" s="3"/>
      <c r="E202" s="3"/>
      <c r="F202" s="3"/>
    </row>
    <row r="203" spans="4:6" ht="12.75" customHeight="1" x14ac:dyDescent="0.25">
      <c r="D203" s="3"/>
      <c r="E203" s="3"/>
      <c r="F203" s="3"/>
    </row>
    <row r="204" spans="4:6" ht="12.75" customHeight="1" x14ac:dyDescent="0.25">
      <c r="D204" s="3"/>
      <c r="E204" s="3"/>
      <c r="F204" s="3"/>
    </row>
    <row r="205" spans="4:6" ht="12.75" customHeight="1" x14ac:dyDescent="0.25">
      <c r="D205" s="3"/>
      <c r="E205" s="3"/>
      <c r="F205" s="3"/>
    </row>
    <row r="206" spans="4:6" ht="12.75" customHeight="1" x14ac:dyDescent="0.25">
      <c r="D206" s="3"/>
      <c r="E206" s="3"/>
      <c r="F206" s="3"/>
    </row>
    <row r="207" spans="4:6" ht="12.75" customHeight="1" x14ac:dyDescent="0.25">
      <c r="D207" s="3"/>
      <c r="E207" s="3"/>
      <c r="F207" s="3"/>
    </row>
    <row r="208" spans="4:6" ht="12.75" customHeight="1" x14ac:dyDescent="0.25">
      <c r="D208" s="3"/>
      <c r="E208" s="3"/>
      <c r="F208" s="3"/>
    </row>
    <row r="209" spans="4:6" ht="12.75" customHeight="1" x14ac:dyDescent="0.25">
      <c r="D209" s="3"/>
      <c r="E209" s="3"/>
      <c r="F209" s="3"/>
    </row>
    <row r="210" spans="4:6" ht="12.75" customHeight="1" x14ac:dyDescent="0.25">
      <c r="D210" s="3"/>
      <c r="E210" s="3"/>
      <c r="F210" s="3"/>
    </row>
    <row r="211" spans="4:6" ht="12.75" customHeight="1" x14ac:dyDescent="0.25">
      <c r="D211" s="3"/>
      <c r="E211" s="3"/>
      <c r="F211" s="3"/>
    </row>
    <row r="212" spans="4:6" ht="12.75" customHeight="1" x14ac:dyDescent="0.25">
      <c r="D212" s="3"/>
      <c r="E212" s="3"/>
      <c r="F212" s="3"/>
    </row>
    <row r="213" spans="4:6" ht="12.75" customHeight="1" x14ac:dyDescent="0.25">
      <c r="D213" s="3"/>
      <c r="E213" s="3"/>
      <c r="F213" s="3"/>
    </row>
    <row r="214" spans="4:6" ht="12.75" customHeight="1" x14ac:dyDescent="0.25">
      <c r="D214" s="3"/>
      <c r="E214" s="3"/>
      <c r="F214" s="3"/>
    </row>
    <row r="215" spans="4:6" ht="12.75" customHeight="1" x14ac:dyDescent="0.25">
      <c r="D215" s="3"/>
      <c r="E215" s="3"/>
      <c r="F215" s="3"/>
    </row>
    <row r="216" spans="4:6" ht="12.75" customHeight="1" x14ac:dyDescent="0.25">
      <c r="D216" s="3"/>
      <c r="E216" s="3"/>
      <c r="F216" s="3"/>
    </row>
    <row r="217" spans="4:6" ht="12.75" customHeight="1" x14ac:dyDescent="0.25">
      <c r="D217" s="3"/>
      <c r="E217" s="3"/>
      <c r="F217" s="3"/>
    </row>
    <row r="218" spans="4:6" ht="12.75" customHeight="1" x14ac:dyDescent="0.25">
      <c r="D218" s="3"/>
      <c r="E218" s="3"/>
      <c r="F218" s="3"/>
    </row>
    <row r="219" spans="4:6" ht="12.75" customHeight="1" x14ac:dyDescent="0.25">
      <c r="D219" s="3"/>
      <c r="E219" s="3"/>
      <c r="F219" s="3"/>
    </row>
    <row r="220" spans="4:6" ht="12.75" customHeight="1" x14ac:dyDescent="0.25">
      <c r="D220" s="3"/>
      <c r="E220" s="3"/>
      <c r="F220" s="3"/>
    </row>
    <row r="221" spans="4:6" ht="12.75" customHeight="1" x14ac:dyDescent="0.25">
      <c r="D221" s="3"/>
      <c r="E221" s="3"/>
      <c r="F221" s="3"/>
    </row>
    <row r="222" spans="4:6" ht="12.75" customHeight="1" x14ac:dyDescent="0.25">
      <c r="D222" s="3"/>
      <c r="E222" s="3"/>
      <c r="F222" s="3"/>
    </row>
    <row r="223" spans="4:6" ht="12.75" customHeight="1" x14ac:dyDescent="0.25">
      <c r="D223" s="3"/>
      <c r="E223" s="3"/>
      <c r="F223" s="3"/>
    </row>
    <row r="224" spans="4:6" ht="12.75" customHeight="1" x14ac:dyDescent="0.25">
      <c r="D224" s="3"/>
      <c r="E224" s="3"/>
      <c r="F224" s="3"/>
    </row>
    <row r="225" spans="4:6" ht="12.75" customHeight="1" x14ac:dyDescent="0.25">
      <c r="D225" s="3"/>
      <c r="E225" s="3"/>
      <c r="F225" s="3"/>
    </row>
    <row r="226" spans="4:6" ht="12.75" customHeight="1" x14ac:dyDescent="0.25">
      <c r="D226" s="3"/>
      <c r="E226" s="3"/>
      <c r="F226" s="3"/>
    </row>
    <row r="227" spans="4:6" ht="12.75" customHeight="1" x14ac:dyDescent="0.25">
      <c r="D227" s="3"/>
      <c r="E227" s="3"/>
      <c r="F227" s="3"/>
    </row>
    <row r="228" spans="4:6" ht="12.75" customHeight="1" x14ac:dyDescent="0.25">
      <c r="D228" s="3"/>
      <c r="E228" s="3"/>
      <c r="F228" s="3"/>
    </row>
    <row r="229" spans="4:6" ht="12.75" customHeight="1" x14ac:dyDescent="0.25">
      <c r="D229" s="3"/>
      <c r="E229" s="3"/>
      <c r="F229" s="3"/>
    </row>
    <row r="230" spans="4:6" ht="12.75" customHeight="1" x14ac:dyDescent="0.25">
      <c r="D230" s="3"/>
      <c r="E230" s="3"/>
      <c r="F230" s="3"/>
    </row>
    <row r="231" spans="4:6" ht="12.75" customHeight="1" x14ac:dyDescent="0.25">
      <c r="D231" s="3"/>
      <c r="E231" s="3"/>
      <c r="F231" s="3"/>
    </row>
    <row r="232" spans="4:6" ht="12.75" customHeight="1" x14ac:dyDescent="0.25">
      <c r="D232" s="3"/>
      <c r="E232" s="3"/>
      <c r="F232" s="3"/>
    </row>
    <row r="233" spans="4:6" ht="12.75" customHeight="1" x14ac:dyDescent="0.25">
      <c r="D233" s="3"/>
      <c r="E233" s="3"/>
      <c r="F233" s="3"/>
    </row>
    <row r="234" spans="4:6" ht="12.75" customHeight="1" x14ac:dyDescent="0.25">
      <c r="D234" s="3"/>
      <c r="E234" s="3"/>
      <c r="F234" s="3"/>
    </row>
    <row r="235" spans="4:6" ht="12.75" customHeight="1" x14ac:dyDescent="0.25">
      <c r="D235" s="3"/>
      <c r="E235" s="3"/>
      <c r="F235" s="3"/>
    </row>
    <row r="236" spans="4:6" ht="12.75" customHeight="1" x14ac:dyDescent="0.25">
      <c r="D236" s="3"/>
      <c r="E236" s="3"/>
      <c r="F236" s="3"/>
    </row>
    <row r="237" spans="4:6" ht="12.75" customHeight="1" x14ac:dyDescent="0.25">
      <c r="D237" s="3"/>
      <c r="E237" s="3"/>
      <c r="F237" s="3"/>
    </row>
    <row r="238" spans="4:6" ht="12.75" customHeight="1" x14ac:dyDescent="0.25">
      <c r="D238" s="3"/>
      <c r="E238" s="3"/>
      <c r="F238" s="3"/>
    </row>
    <row r="239" spans="4:6" ht="12.75" customHeight="1" x14ac:dyDescent="0.25">
      <c r="D239" s="3"/>
      <c r="E239" s="3"/>
      <c r="F239" s="3"/>
    </row>
    <row r="240" spans="4:6" ht="12.75" customHeight="1" x14ac:dyDescent="0.25">
      <c r="D240" s="3"/>
      <c r="E240" s="3"/>
      <c r="F240" s="3"/>
    </row>
    <row r="241" spans="4:6" ht="12.75" customHeight="1" x14ac:dyDescent="0.25">
      <c r="D241" s="3"/>
      <c r="E241" s="3"/>
      <c r="F241" s="3"/>
    </row>
    <row r="242" spans="4:6" ht="12.75" customHeight="1" x14ac:dyDescent="0.25">
      <c r="D242" s="3"/>
      <c r="E242" s="3"/>
      <c r="F242" s="3"/>
    </row>
    <row r="243" spans="4:6" ht="12.75" customHeight="1" x14ac:dyDescent="0.25">
      <c r="D243" s="3"/>
      <c r="E243" s="3"/>
      <c r="F243" s="3"/>
    </row>
    <row r="244" spans="4:6" ht="12.75" customHeight="1" x14ac:dyDescent="0.25">
      <c r="D244" s="3"/>
      <c r="E244" s="3"/>
      <c r="F244" s="3"/>
    </row>
    <row r="245" spans="4:6" ht="12.75" customHeight="1" x14ac:dyDescent="0.25">
      <c r="D245" s="3"/>
      <c r="E245" s="3"/>
      <c r="F245" s="3"/>
    </row>
    <row r="246" spans="4:6" ht="12.75" customHeight="1" x14ac:dyDescent="0.25">
      <c r="D246" s="3"/>
      <c r="E246" s="3"/>
      <c r="F246" s="3"/>
    </row>
    <row r="247" spans="4:6" ht="12.75" customHeight="1" x14ac:dyDescent="0.25">
      <c r="D247" s="3"/>
      <c r="E247" s="3"/>
      <c r="F247" s="3"/>
    </row>
    <row r="248" spans="4:6" ht="12.75" customHeight="1" x14ac:dyDescent="0.25">
      <c r="D248" s="3"/>
      <c r="E248" s="3"/>
      <c r="F248" s="3"/>
    </row>
    <row r="249" spans="4:6" ht="12.75" customHeight="1" x14ac:dyDescent="0.25">
      <c r="D249" s="3"/>
      <c r="E249" s="3"/>
      <c r="F249" s="3"/>
    </row>
    <row r="250" spans="4:6" ht="12.75" customHeight="1" x14ac:dyDescent="0.25">
      <c r="D250" s="3"/>
      <c r="E250" s="3"/>
      <c r="F250" s="3"/>
    </row>
    <row r="251" spans="4:6" ht="12.75" customHeight="1" x14ac:dyDescent="0.25">
      <c r="D251" s="3"/>
      <c r="E251" s="3"/>
      <c r="F251" s="3"/>
    </row>
    <row r="252" spans="4:6" ht="12.75" customHeight="1" x14ac:dyDescent="0.25">
      <c r="D252" s="3"/>
      <c r="E252" s="3"/>
      <c r="F252" s="3"/>
    </row>
    <row r="253" spans="4:6" ht="12.75" customHeight="1" x14ac:dyDescent="0.25">
      <c r="D253" s="3"/>
      <c r="E253" s="3"/>
      <c r="F253" s="3"/>
    </row>
    <row r="254" spans="4:6" ht="12.75" customHeight="1" x14ac:dyDescent="0.25">
      <c r="D254" s="3"/>
      <c r="E254" s="3"/>
      <c r="F254" s="3"/>
    </row>
    <row r="255" spans="4:6" ht="12.75" customHeight="1" x14ac:dyDescent="0.25">
      <c r="D255" s="3"/>
      <c r="E255" s="3"/>
      <c r="F255" s="3"/>
    </row>
    <row r="256" spans="4:6" ht="12.75" customHeight="1" x14ac:dyDescent="0.25">
      <c r="D256" s="3"/>
      <c r="E256" s="3"/>
      <c r="F256" s="3"/>
    </row>
    <row r="257" spans="4:6" ht="12.75" customHeight="1" x14ac:dyDescent="0.25">
      <c r="D257" s="3"/>
      <c r="E257" s="3"/>
      <c r="F257" s="3"/>
    </row>
    <row r="258" spans="4:6" ht="12.75" customHeight="1" x14ac:dyDescent="0.25">
      <c r="D258" s="3"/>
      <c r="E258" s="3"/>
      <c r="F258" s="3"/>
    </row>
    <row r="259" spans="4:6" ht="12.75" customHeight="1" x14ac:dyDescent="0.25">
      <c r="D259" s="3"/>
      <c r="E259" s="3"/>
      <c r="F259" s="3"/>
    </row>
    <row r="260" spans="4:6" ht="12.75" customHeight="1" x14ac:dyDescent="0.25">
      <c r="D260" s="3"/>
      <c r="E260" s="3"/>
      <c r="F260" s="3"/>
    </row>
    <row r="261" spans="4:6" ht="12.75" customHeight="1" x14ac:dyDescent="0.25">
      <c r="D261" s="3"/>
      <c r="E261" s="3"/>
      <c r="F261" s="3"/>
    </row>
    <row r="262" spans="4:6" ht="12.75" customHeight="1" x14ac:dyDescent="0.25">
      <c r="D262" s="3"/>
      <c r="E262" s="3"/>
      <c r="F262" s="3"/>
    </row>
    <row r="263" spans="4:6" ht="12.75" customHeight="1" x14ac:dyDescent="0.25">
      <c r="D263" s="3"/>
      <c r="E263" s="3"/>
      <c r="F263" s="3"/>
    </row>
    <row r="264" spans="4:6" ht="12.75" customHeight="1" x14ac:dyDescent="0.25">
      <c r="D264" s="3"/>
      <c r="E264" s="3"/>
      <c r="F264" s="3"/>
    </row>
    <row r="265" spans="4:6" ht="12.75" customHeight="1" x14ac:dyDescent="0.25">
      <c r="D265" s="3"/>
      <c r="E265" s="3"/>
      <c r="F265" s="3"/>
    </row>
    <row r="266" spans="4:6" ht="12.75" customHeight="1" x14ac:dyDescent="0.25">
      <c r="D266" s="3"/>
      <c r="E266" s="3"/>
      <c r="F266" s="3"/>
    </row>
    <row r="267" spans="4:6" ht="12.75" customHeight="1" x14ac:dyDescent="0.25">
      <c r="D267" s="3"/>
      <c r="E267" s="3"/>
      <c r="F267" s="3"/>
    </row>
    <row r="268" spans="4:6" ht="12.75" customHeight="1" x14ac:dyDescent="0.25">
      <c r="D268" s="3"/>
      <c r="E268" s="3"/>
      <c r="F268" s="3"/>
    </row>
    <row r="269" spans="4:6" ht="12.75" customHeight="1" x14ac:dyDescent="0.25">
      <c r="D269" s="3"/>
      <c r="E269" s="3"/>
      <c r="F269" s="3"/>
    </row>
    <row r="270" spans="4:6" ht="12.75" customHeight="1" x14ac:dyDescent="0.25">
      <c r="D270" s="3"/>
      <c r="E270" s="3"/>
      <c r="F270" s="3"/>
    </row>
    <row r="271" spans="4:6" ht="12.75" customHeight="1" x14ac:dyDescent="0.25">
      <c r="D271" s="3"/>
      <c r="E271" s="3"/>
      <c r="F271" s="3"/>
    </row>
    <row r="272" spans="4:6" ht="12.75" customHeight="1" x14ac:dyDescent="0.25">
      <c r="D272" s="3"/>
      <c r="E272" s="3"/>
      <c r="F272" s="3"/>
    </row>
    <row r="273" spans="4:6" ht="12.75" customHeight="1" x14ac:dyDescent="0.25">
      <c r="D273" s="3"/>
      <c r="E273" s="3"/>
      <c r="F273" s="3"/>
    </row>
    <row r="274" spans="4:6" ht="12.75" customHeight="1" x14ac:dyDescent="0.25">
      <c r="D274" s="3"/>
      <c r="E274" s="3"/>
      <c r="F274" s="3"/>
    </row>
    <row r="275" spans="4:6" ht="12.75" customHeight="1" x14ac:dyDescent="0.25">
      <c r="D275" s="3"/>
      <c r="E275" s="3"/>
      <c r="F275" s="3"/>
    </row>
    <row r="276" spans="4:6" ht="12.75" customHeight="1" x14ac:dyDescent="0.25">
      <c r="D276" s="3"/>
      <c r="E276" s="3"/>
      <c r="F276" s="3"/>
    </row>
    <row r="277" spans="4:6" ht="12.75" customHeight="1" x14ac:dyDescent="0.25">
      <c r="D277" s="3"/>
      <c r="E277" s="3"/>
      <c r="F277" s="3"/>
    </row>
    <row r="278" spans="4:6" ht="12.75" customHeight="1" x14ac:dyDescent="0.25">
      <c r="D278" s="3"/>
      <c r="E278" s="3"/>
      <c r="F278" s="3"/>
    </row>
    <row r="279" spans="4:6" ht="12.75" customHeight="1" x14ac:dyDescent="0.25">
      <c r="D279" s="3"/>
      <c r="E279" s="3"/>
      <c r="F279" s="3"/>
    </row>
    <row r="280" spans="4:6" ht="12.75" customHeight="1" x14ac:dyDescent="0.25">
      <c r="D280" s="3"/>
      <c r="E280" s="3"/>
      <c r="F280" s="3"/>
    </row>
    <row r="281" spans="4:6" ht="12.75" customHeight="1" x14ac:dyDescent="0.25">
      <c r="D281" s="3"/>
      <c r="E281" s="3"/>
      <c r="F281" s="3"/>
    </row>
    <row r="282" spans="4:6" ht="12.75" customHeight="1" x14ac:dyDescent="0.25">
      <c r="D282" s="3"/>
      <c r="E282" s="3"/>
      <c r="F282" s="3"/>
    </row>
    <row r="283" spans="4:6" ht="12.75" customHeight="1" x14ac:dyDescent="0.25">
      <c r="D283" s="3"/>
      <c r="E283" s="3"/>
      <c r="F283" s="3"/>
    </row>
    <row r="284" spans="4:6" ht="12.75" customHeight="1" x14ac:dyDescent="0.25">
      <c r="D284" s="3"/>
      <c r="E284" s="3"/>
      <c r="F284" s="3"/>
    </row>
    <row r="285" spans="4:6" ht="12.75" customHeight="1" x14ac:dyDescent="0.25">
      <c r="D285" s="3"/>
      <c r="E285" s="3"/>
      <c r="F285" s="3"/>
    </row>
    <row r="286" spans="4:6" ht="12.75" customHeight="1" x14ac:dyDescent="0.25">
      <c r="D286" s="3"/>
      <c r="E286" s="3"/>
      <c r="F286" s="3"/>
    </row>
    <row r="287" spans="4:6" ht="12.75" customHeight="1" x14ac:dyDescent="0.25">
      <c r="D287" s="3"/>
      <c r="E287" s="3"/>
      <c r="F287" s="3"/>
    </row>
    <row r="288" spans="4:6" ht="12.75" customHeight="1" x14ac:dyDescent="0.25">
      <c r="D288" s="3"/>
      <c r="E288" s="3"/>
      <c r="F288" s="3"/>
    </row>
    <row r="289" spans="4:6" ht="12.75" customHeight="1" x14ac:dyDescent="0.25">
      <c r="D289" s="3"/>
      <c r="E289" s="3"/>
      <c r="F289" s="3"/>
    </row>
    <row r="290" spans="4:6" ht="12.75" customHeight="1" x14ac:dyDescent="0.25">
      <c r="D290" s="3"/>
      <c r="E290" s="3"/>
      <c r="F290" s="3"/>
    </row>
    <row r="291" spans="4:6" ht="12.75" customHeight="1" x14ac:dyDescent="0.25">
      <c r="D291" s="3"/>
      <c r="E291" s="3"/>
      <c r="F291" s="3"/>
    </row>
    <row r="292" spans="4:6" ht="12.75" customHeight="1" x14ac:dyDescent="0.25">
      <c r="D292" s="3"/>
      <c r="E292" s="3"/>
      <c r="F292" s="3"/>
    </row>
    <row r="293" spans="4:6" ht="12.75" customHeight="1" x14ac:dyDescent="0.25">
      <c r="D293" s="3"/>
      <c r="E293" s="3"/>
      <c r="F293" s="3"/>
    </row>
    <row r="294" spans="4:6" ht="12.75" customHeight="1" x14ac:dyDescent="0.25">
      <c r="D294" s="3"/>
      <c r="E294" s="3"/>
      <c r="F294" s="3"/>
    </row>
    <row r="295" spans="4:6" ht="12.75" customHeight="1" x14ac:dyDescent="0.25">
      <c r="D295" s="3"/>
      <c r="E295" s="3"/>
      <c r="F295" s="3"/>
    </row>
    <row r="296" spans="4:6" ht="12.75" customHeight="1" x14ac:dyDescent="0.25">
      <c r="D296" s="3"/>
      <c r="E296" s="3"/>
      <c r="F296" s="3"/>
    </row>
    <row r="297" spans="4:6" ht="12.75" customHeight="1" x14ac:dyDescent="0.25">
      <c r="D297" s="3"/>
      <c r="E297" s="3"/>
      <c r="F297" s="3"/>
    </row>
    <row r="298" spans="4:6" ht="12.75" customHeight="1" x14ac:dyDescent="0.25">
      <c r="D298" s="3"/>
      <c r="E298" s="3"/>
      <c r="F298" s="3"/>
    </row>
    <row r="299" spans="4:6" ht="12.75" customHeight="1" x14ac:dyDescent="0.25">
      <c r="D299" s="3"/>
      <c r="E299" s="3"/>
      <c r="F299" s="3"/>
    </row>
    <row r="300" spans="4:6" ht="12.75" customHeight="1" x14ac:dyDescent="0.25">
      <c r="D300" s="3"/>
      <c r="E300" s="3"/>
      <c r="F300" s="3"/>
    </row>
    <row r="301" spans="4:6" ht="12.75" customHeight="1" x14ac:dyDescent="0.25">
      <c r="D301" s="3"/>
      <c r="E301" s="3"/>
      <c r="F301" s="3"/>
    </row>
    <row r="302" spans="4:6" ht="12.75" customHeight="1" x14ac:dyDescent="0.25">
      <c r="D302" s="3"/>
      <c r="E302" s="3"/>
      <c r="F302" s="3"/>
    </row>
    <row r="303" spans="4:6" ht="12.75" customHeight="1" x14ac:dyDescent="0.25">
      <c r="D303" s="3"/>
      <c r="E303" s="3"/>
      <c r="F303" s="3"/>
    </row>
    <row r="304" spans="4:6" ht="12.75" customHeight="1" x14ac:dyDescent="0.25">
      <c r="D304" s="3"/>
      <c r="E304" s="3"/>
      <c r="F304" s="3"/>
    </row>
    <row r="305" spans="4:6" ht="12.75" customHeight="1" x14ac:dyDescent="0.25">
      <c r="D305" s="3"/>
      <c r="E305" s="3"/>
      <c r="F305" s="3"/>
    </row>
    <row r="306" spans="4:6" ht="12.75" customHeight="1" x14ac:dyDescent="0.25">
      <c r="D306" s="3"/>
      <c r="E306" s="3"/>
      <c r="F306" s="3"/>
    </row>
    <row r="307" spans="4:6" ht="12.75" customHeight="1" x14ac:dyDescent="0.25">
      <c r="D307" s="3"/>
      <c r="E307" s="3"/>
      <c r="F307" s="3"/>
    </row>
    <row r="308" spans="4:6" ht="12.75" customHeight="1" x14ac:dyDescent="0.25">
      <c r="D308" s="3"/>
      <c r="E308" s="3"/>
      <c r="F308" s="3"/>
    </row>
    <row r="309" spans="4:6" ht="12.75" customHeight="1" x14ac:dyDescent="0.25">
      <c r="D309" s="3"/>
      <c r="E309" s="3"/>
      <c r="F309" s="3"/>
    </row>
    <row r="310" spans="4:6" ht="12.75" customHeight="1" x14ac:dyDescent="0.25">
      <c r="D310" s="3"/>
      <c r="E310" s="3"/>
      <c r="F310" s="3"/>
    </row>
    <row r="311" spans="4:6" ht="12.75" customHeight="1" x14ac:dyDescent="0.25">
      <c r="D311" s="3"/>
      <c r="E311" s="3"/>
      <c r="F311" s="3"/>
    </row>
    <row r="312" spans="4:6" ht="12.75" customHeight="1" x14ac:dyDescent="0.25">
      <c r="D312" s="3"/>
      <c r="E312" s="3"/>
      <c r="F312" s="3"/>
    </row>
    <row r="313" spans="4:6" ht="12.75" customHeight="1" x14ac:dyDescent="0.25">
      <c r="D313" s="3"/>
      <c r="E313" s="3"/>
      <c r="F313" s="3"/>
    </row>
    <row r="314" spans="4:6" ht="12.75" customHeight="1" x14ac:dyDescent="0.25">
      <c r="D314" s="3"/>
      <c r="E314" s="3"/>
      <c r="F314" s="3"/>
    </row>
    <row r="315" spans="4:6" ht="12.75" customHeight="1" x14ac:dyDescent="0.25">
      <c r="D315" s="3"/>
      <c r="E315" s="3"/>
      <c r="F315" s="3"/>
    </row>
    <row r="316" spans="4:6" ht="12.75" customHeight="1" x14ac:dyDescent="0.25">
      <c r="D316" s="3"/>
      <c r="E316" s="3"/>
      <c r="F316" s="3"/>
    </row>
    <row r="317" spans="4:6" ht="12.75" customHeight="1" x14ac:dyDescent="0.25">
      <c r="D317" s="3"/>
      <c r="E317" s="3"/>
      <c r="F317" s="3"/>
    </row>
    <row r="318" spans="4:6" ht="12.75" customHeight="1" x14ac:dyDescent="0.25">
      <c r="D318" s="3"/>
      <c r="E318" s="3"/>
      <c r="F318" s="3"/>
    </row>
    <row r="319" spans="4:6" ht="12.75" customHeight="1" x14ac:dyDescent="0.25">
      <c r="D319" s="3"/>
      <c r="E319" s="3"/>
      <c r="F319" s="3"/>
    </row>
    <row r="320" spans="4:6" ht="12.75" customHeight="1" x14ac:dyDescent="0.25">
      <c r="D320" s="3"/>
      <c r="E320" s="3"/>
      <c r="F320" s="3"/>
    </row>
    <row r="321" spans="4:6" ht="12.75" customHeight="1" x14ac:dyDescent="0.25">
      <c r="D321" s="3"/>
      <c r="E321" s="3"/>
      <c r="F321" s="3"/>
    </row>
    <row r="322" spans="4:6" ht="12.75" customHeight="1" x14ac:dyDescent="0.25">
      <c r="D322" s="3"/>
      <c r="E322" s="3"/>
      <c r="F322" s="3"/>
    </row>
    <row r="323" spans="4:6" ht="12.75" customHeight="1" x14ac:dyDescent="0.25">
      <c r="D323" s="3"/>
      <c r="E323" s="3"/>
      <c r="F323" s="3"/>
    </row>
    <row r="324" spans="4:6" ht="12.75" customHeight="1" x14ac:dyDescent="0.25">
      <c r="D324" s="3"/>
      <c r="E324" s="3"/>
      <c r="F324" s="3"/>
    </row>
    <row r="325" spans="4:6" ht="12.75" customHeight="1" x14ac:dyDescent="0.25">
      <c r="D325" s="3"/>
      <c r="E325" s="3"/>
      <c r="F325" s="3"/>
    </row>
    <row r="326" spans="4:6" ht="12.75" customHeight="1" x14ac:dyDescent="0.25">
      <c r="D326" s="3"/>
      <c r="E326" s="3"/>
      <c r="F326" s="3"/>
    </row>
    <row r="327" spans="4:6" ht="12.75" customHeight="1" x14ac:dyDescent="0.25">
      <c r="D327" s="3"/>
      <c r="E327" s="3"/>
      <c r="F327" s="3"/>
    </row>
    <row r="328" spans="4:6" ht="12.75" customHeight="1" x14ac:dyDescent="0.25">
      <c r="D328" s="3"/>
      <c r="E328" s="3"/>
      <c r="F328" s="3"/>
    </row>
    <row r="329" spans="4:6" ht="12.75" customHeight="1" x14ac:dyDescent="0.25">
      <c r="D329" s="3"/>
      <c r="E329" s="3"/>
      <c r="F329" s="3"/>
    </row>
    <row r="330" spans="4:6" ht="12.75" customHeight="1" x14ac:dyDescent="0.25">
      <c r="D330" s="3"/>
      <c r="E330" s="3"/>
      <c r="F330" s="3"/>
    </row>
    <row r="331" spans="4:6" ht="12.75" customHeight="1" x14ac:dyDescent="0.25">
      <c r="D331" s="3"/>
      <c r="E331" s="3"/>
      <c r="F331" s="3"/>
    </row>
    <row r="332" spans="4:6" ht="12.75" customHeight="1" x14ac:dyDescent="0.25">
      <c r="D332" s="3"/>
      <c r="E332" s="3"/>
      <c r="F332" s="3"/>
    </row>
    <row r="333" spans="4:6" ht="12.75" customHeight="1" x14ac:dyDescent="0.25">
      <c r="D333" s="3"/>
      <c r="E333" s="3"/>
      <c r="F333" s="3"/>
    </row>
    <row r="334" spans="4:6" ht="12.75" customHeight="1" x14ac:dyDescent="0.25">
      <c r="D334" s="3"/>
      <c r="E334" s="3"/>
      <c r="F334" s="3"/>
    </row>
    <row r="335" spans="4:6" ht="12.75" customHeight="1" x14ac:dyDescent="0.25">
      <c r="D335" s="3"/>
      <c r="E335" s="3"/>
      <c r="F335" s="3"/>
    </row>
    <row r="336" spans="4:6" ht="12.75" customHeight="1" x14ac:dyDescent="0.25">
      <c r="D336" s="3"/>
      <c r="E336" s="3"/>
      <c r="F336" s="3"/>
    </row>
    <row r="337" spans="4:6" ht="12.75" customHeight="1" x14ac:dyDescent="0.25">
      <c r="D337" s="3"/>
      <c r="E337" s="3"/>
      <c r="F337" s="3"/>
    </row>
    <row r="338" spans="4:6" ht="12.75" customHeight="1" x14ac:dyDescent="0.25">
      <c r="D338" s="3"/>
      <c r="E338" s="3"/>
      <c r="F338" s="3"/>
    </row>
    <row r="339" spans="4:6" ht="12.75" customHeight="1" x14ac:dyDescent="0.25">
      <c r="D339" s="3"/>
      <c r="E339" s="3"/>
      <c r="F339" s="3"/>
    </row>
    <row r="340" spans="4:6" ht="12.75" customHeight="1" x14ac:dyDescent="0.25">
      <c r="D340" s="3"/>
      <c r="E340" s="3"/>
      <c r="F340" s="3"/>
    </row>
    <row r="341" spans="4:6" ht="12.75" customHeight="1" x14ac:dyDescent="0.25">
      <c r="D341" s="3"/>
      <c r="E341" s="3"/>
      <c r="F341" s="3"/>
    </row>
    <row r="342" spans="4:6" ht="12.75" customHeight="1" x14ac:dyDescent="0.25">
      <c r="D342" s="3"/>
      <c r="E342" s="3"/>
      <c r="F342" s="3"/>
    </row>
    <row r="343" spans="4:6" ht="12.75" customHeight="1" x14ac:dyDescent="0.25">
      <c r="D343" s="3"/>
      <c r="E343" s="3"/>
      <c r="F343" s="3"/>
    </row>
    <row r="344" spans="4:6" ht="12.75" customHeight="1" x14ac:dyDescent="0.25">
      <c r="D344" s="3"/>
      <c r="E344" s="3"/>
      <c r="F344" s="3"/>
    </row>
    <row r="345" spans="4:6" ht="12.75" customHeight="1" x14ac:dyDescent="0.25">
      <c r="D345" s="3"/>
      <c r="E345" s="3"/>
      <c r="F345" s="3"/>
    </row>
    <row r="346" spans="4:6" ht="12.75" customHeight="1" x14ac:dyDescent="0.25">
      <c r="D346" s="3"/>
      <c r="E346" s="3"/>
      <c r="F346" s="3"/>
    </row>
    <row r="347" spans="4:6" ht="12.75" customHeight="1" x14ac:dyDescent="0.25">
      <c r="D347" s="3"/>
      <c r="E347" s="3"/>
      <c r="F347" s="3"/>
    </row>
    <row r="348" spans="4:6" ht="12.75" customHeight="1" x14ac:dyDescent="0.25">
      <c r="D348" s="3"/>
      <c r="E348" s="3"/>
      <c r="F348" s="3"/>
    </row>
    <row r="349" spans="4:6" ht="12.75" customHeight="1" x14ac:dyDescent="0.25">
      <c r="D349" s="3"/>
      <c r="E349" s="3"/>
      <c r="F349" s="3"/>
    </row>
    <row r="350" spans="4:6" ht="12.75" customHeight="1" x14ac:dyDescent="0.25">
      <c r="D350" s="3"/>
      <c r="E350" s="3"/>
      <c r="F350" s="3"/>
    </row>
    <row r="351" spans="4:6" ht="12.75" customHeight="1" x14ac:dyDescent="0.25">
      <c r="D351" s="3"/>
      <c r="E351" s="3"/>
      <c r="F351" s="3"/>
    </row>
    <row r="352" spans="4:6" ht="12.75" customHeight="1" x14ac:dyDescent="0.25">
      <c r="D352" s="3"/>
      <c r="E352" s="3"/>
      <c r="F352" s="3"/>
    </row>
    <row r="353" spans="4:6" ht="12.75" customHeight="1" x14ac:dyDescent="0.25">
      <c r="D353" s="3"/>
      <c r="E353" s="3"/>
      <c r="F353" s="3"/>
    </row>
    <row r="354" spans="4:6" ht="12.75" customHeight="1" x14ac:dyDescent="0.25">
      <c r="D354" s="3"/>
      <c r="E354" s="3"/>
      <c r="F354" s="3"/>
    </row>
    <row r="355" spans="4:6" ht="12.75" customHeight="1" x14ac:dyDescent="0.25">
      <c r="D355" s="3"/>
      <c r="E355" s="3"/>
      <c r="F355" s="3"/>
    </row>
    <row r="356" spans="4:6" ht="12.75" customHeight="1" x14ac:dyDescent="0.25">
      <c r="D356" s="3"/>
      <c r="E356" s="3"/>
      <c r="F356" s="3"/>
    </row>
    <row r="357" spans="4:6" ht="12.75" customHeight="1" x14ac:dyDescent="0.25">
      <c r="D357" s="3"/>
      <c r="E357" s="3"/>
      <c r="F357" s="3"/>
    </row>
    <row r="358" spans="4:6" ht="12.75" customHeight="1" x14ac:dyDescent="0.25">
      <c r="D358" s="3"/>
      <c r="E358" s="3"/>
      <c r="F358" s="3"/>
    </row>
    <row r="359" spans="4:6" ht="12.75" customHeight="1" x14ac:dyDescent="0.25">
      <c r="D359" s="3"/>
      <c r="E359" s="3"/>
      <c r="F359" s="3"/>
    </row>
    <row r="360" spans="4:6" ht="12.75" customHeight="1" x14ac:dyDescent="0.25">
      <c r="D360" s="3"/>
      <c r="E360" s="3"/>
      <c r="F360" s="3"/>
    </row>
    <row r="361" spans="4:6" ht="12.75" customHeight="1" x14ac:dyDescent="0.25">
      <c r="D361" s="3"/>
      <c r="E361" s="3"/>
      <c r="F361" s="3"/>
    </row>
    <row r="362" spans="4:6" ht="12.75" customHeight="1" x14ac:dyDescent="0.25">
      <c r="D362" s="3"/>
      <c r="E362" s="3"/>
      <c r="F362" s="3"/>
    </row>
    <row r="363" spans="4:6" ht="12.75" customHeight="1" x14ac:dyDescent="0.25">
      <c r="D363" s="3"/>
      <c r="E363" s="3"/>
      <c r="F363" s="3"/>
    </row>
    <row r="364" spans="4:6" ht="12.75" customHeight="1" x14ac:dyDescent="0.25">
      <c r="D364" s="3"/>
      <c r="E364" s="3"/>
      <c r="F364" s="3"/>
    </row>
    <row r="365" spans="4:6" ht="12.75" customHeight="1" x14ac:dyDescent="0.25">
      <c r="D365" s="3"/>
      <c r="E365" s="3"/>
      <c r="F365" s="3"/>
    </row>
    <row r="366" spans="4:6" ht="12.75" customHeight="1" x14ac:dyDescent="0.25">
      <c r="D366" s="3"/>
      <c r="E366" s="3"/>
      <c r="F366" s="3"/>
    </row>
    <row r="367" spans="4:6" ht="12.75" customHeight="1" x14ac:dyDescent="0.25">
      <c r="D367" s="3"/>
      <c r="E367" s="3"/>
      <c r="F367" s="3"/>
    </row>
    <row r="368" spans="4:6" ht="12.75" customHeight="1" x14ac:dyDescent="0.25">
      <c r="D368" s="3"/>
      <c r="E368" s="3"/>
      <c r="F368" s="3"/>
    </row>
    <row r="369" spans="4:6" ht="12.75" customHeight="1" x14ac:dyDescent="0.25">
      <c r="D369" s="3"/>
      <c r="E369" s="3"/>
      <c r="F369" s="3"/>
    </row>
    <row r="370" spans="4:6" ht="12.75" customHeight="1" x14ac:dyDescent="0.25">
      <c r="D370" s="3"/>
      <c r="E370" s="3"/>
      <c r="F370" s="3"/>
    </row>
    <row r="371" spans="4:6" ht="12.75" customHeight="1" x14ac:dyDescent="0.25">
      <c r="D371" s="3"/>
      <c r="E371" s="3"/>
      <c r="F371" s="3"/>
    </row>
    <row r="372" spans="4:6" ht="12.75" customHeight="1" x14ac:dyDescent="0.25">
      <c r="D372" s="3"/>
      <c r="E372" s="3"/>
      <c r="F372" s="3"/>
    </row>
    <row r="373" spans="4:6" ht="12.75" customHeight="1" x14ac:dyDescent="0.25">
      <c r="D373" s="3"/>
      <c r="E373" s="3"/>
      <c r="F373" s="3"/>
    </row>
    <row r="374" spans="4:6" ht="12.75" customHeight="1" x14ac:dyDescent="0.25">
      <c r="D374" s="3"/>
      <c r="E374" s="3"/>
      <c r="F374" s="3"/>
    </row>
    <row r="375" spans="4:6" ht="12.75" customHeight="1" x14ac:dyDescent="0.25">
      <c r="D375" s="3"/>
      <c r="E375" s="3"/>
      <c r="F375" s="3"/>
    </row>
    <row r="376" spans="4:6" ht="12.75" customHeight="1" x14ac:dyDescent="0.25">
      <c r="D376" s="3"/>
      <c r="E376" s="3"/>
      <c r="F376" s="3"/>
    </row>
    <row r="377" spans="4:6" ht="12.75" customHeight="1" x14ac:dyDescent="0.25">
      <c r="D377" s="3"/>
      <c r="E377" s="3"/>
      <c r="F377" s="3"/>
    </row>
    <row r="378" spans="4:6" ht="12.75" customHeight="1" x14ac:dyDescent="0.25">
      <c r="D378" s="3"/>
      <c r="E378" s="3"/>
      <c r="F378" s="3"/>
    </row>
    <row r="379" spans="4:6" ht="12.75" customHeight="1" x14ac:dyDescent="0.25">
      <c r="D379" s="3"/>
      <c r="E379" s="3"/>
      <c r="F379" s="3"/>
    </row>
    <row r="380" spans="4:6" ht="12.75" customHeight="1" x14ac:dyDescent="0.25">
      <c r="D380" s="3"/>
      <c r="E380" s="3"/>
      <c r="F380" s="3"/>
    </row>
    <row r="381" spans="4:6" ht="12.75" customHeight="1" x14ac:dyDescent="0.25">
      <c r="D381" s="3"/>
      <c r="E381" s="3"/>
      <c r="F381" s="3"/>
    </row>
    <row r="382" spans="4:6" ht="12.75" customHeight="1" x14ac:dyDescent="0.25">
      <c r="D382" s="3"/>
      <c r="E382" s="3"/>
      <c r="F382" s="3"/>
    </row>
    <row r="383" spans="4:6" ht="12.75" customHeight="1" x14ac:dyDescent="0.25">
      <c r="D383" s="3"/>
      <c r="E383" s="3"/>
      <c r="F383" s="3"/>
    </row>
    <row r="384" spans="4:6" ht="12.75" customHeight="1" x14ac:dyDescent="0.25">
      <c r="D384" s="3"/>
      <c r="E384" s="3"/>
      <c r="F384" s="3"/>
    </row>
    <row r="385" spans="4:6" ht="12.75" customHeight="1" x14ac:dyDescent="0.25">
      <c r="D385" s="3"/>
      <c r="E385" s="3"/>
      <c r="F385" s="3"/>
    </row>
    <row r="386" spans="4:6" ht="12.75" customHeight="1" x14ac:dyDescent="0.25">
      <c r="D386" s="3"/>
      <c r="E386" s="3"/>
      <c r="F386" s="3"/>
    </row>
    <row r="387" spans="4:6" ht="12.75" customHeight="1" x14ac:dyDescent="0.25">
      <c r="D387" s="3"/>
      <c r="E387" s="3"/>
      <c r="F387" s="3"/>
    </row>
    <row r="388" spans="4:6" ht="12.75" customHeight="1" x14ac:dyDescent="0.25">
      <c r="D388" s="3"/>
      <c r="E388" s="3"/>
      <c r="F388" s="3"/>
    </row>
    <row r="389" spans="4:6" ht="12.75" customHeight="1" x14ac:dyDescent="0.25">
      <c r="D389" s="3"/>
      <c r="E389" s="3"/>
      <c r="F389" s="3"/>
    </row>
    <row r="390" spans="4:6" ht="12.75" customHeight="1" x14ac:dyDescent="0.25">
      <c r="D390" s="3"/>
      <c r="E390" s="3"/>
      <c r="F390" s="3"/>
    </row>
    <row r="391" spans="4:6" ht="12.75" customHeight="1" x14ac:dyDescent="0.25">
      <c r="D391" s="3"/>
      <c r="E391" s="3"/>
      <c r="F391" s="3"/>
    </row>
    <row r="392" spans="4:6" ht="12.75" customHeight="1" x14ac:dyDescent="0.25">
      <c r="D392" s="3"/>
      <c r="E392" s="3"/>
      <c r="F392" s="3"/>
    </row>
    <row r="393" spans="4:6" ht="12.75" customHeight="1" x14ac:dyDescent="0.25">
      <c r="D393" s="3"/>
      <c r="E393" s="3"/>
      <c r="F393" s="3"/>
    </row>
    <row r="394" spans="4:6" ht="12.75" customHeight="1" x14ac:dyDescent="0.25">
      <c r="D394" s="3"/>
      <c r="E394" s="3"/>
      <c r="F394" s="3"/>
    </row>
    <row r="395" spans="4:6" ht="12.75" customHeight="1" x14ac:dyDescent="0.25">
      <c r="D395" s="3"/>
      <c r="E395" s="3"/>
      <c r="F395" s="3"/>
    </row>
    <row r="396" spans="4:6" ht="12.75" customHeight="1" x14ac:dyDescent="0.25">
      <c r="D396" s="3"/>
      <c r="E396" s="3"/>
      <c r="F396" s="3"/>
    </row>
    <row r="397" spans="4:6" ht="12.75" customHeight="1" x14ac:dyDescent="0.25">
      <c r="D397" s="3"/>
      <c r="E397" s="3"/>
      <c r="F397" s="3"/>
    </row>
    <row r="398" spans="4:6" ht="12.75" customHeight="1" x14ac:dyDescent="0.25">
      <c r="D398" s="3"/>
      <c r="E398" s="3"/>
      <c r="F398" s="3"/>
    </row>
    <row r="399" spans="4:6" ht="12.75" customHeight="1" x14ac:dyDescent="0.25">
      <c r="D399" s="3"/>
      <c r="E399" s="3"/>
      <c r="F399" s="3"/>
    </row>
    <row r="400" spans="4:6" ht="12.75" customHeight="1" x14ac:dyDescent="0.25">
      <c r="D400" s="3"/>
      <c r="E400" s="3"/>
      <c r="F400" s="3"/>
    </row>
    <row r="401" spans="4:6" ht="12.75" customHeight="1" x14ac:dyDescent="0.25">
      <c r="D401" s="3"/>
      <c r="E401" s="3"/>
      <c r="F401" s="3"/>
    </row>
    <row r="402" spans="4:6" ht="12.75" customHeight="1" x14ac:dyDescent="0.25">
      <c r="D402" s="3"/>
      <c r="E402" s="3"/>
      <c r="F402" s="3"/>
    </row>
    <row r="403" spans="4:6" ht="12.75" customHeight="1" x14ac:dyDescent="0.25">
      <c r="D403" s="3"/>
      <c r="E403" s="3"/>
      <c r="F403" s="3"/>
    </row>
    <row r="404" spans="4:6" ht="12.75" customHeight="1" x14ac:dyDescent="0.25">
      <c r="D404" s="3"/>
      <c r="E404" s="3"/>
      <c r="F404" s="3"/>
    </row>
    <row r="405" spans="4:6" ht="12.75" customHeight="1" x14ac:dyDescent="0.25">
      <c r="D405" s="3"/>
      <c r="E405" s="3"/>
      <c r="F405" s="3"/>
    </row>
    <row r="406" spans="4:6" ht="12.75" customHeight="1" x14ac:dyDescent="0.25">
      <c r="D406" s="3"/>
      <c r="E406" s="3"/>
      <c r="F406" s="3"/>
    </row>
    <row r="407" spans="4:6" ht="12.75" customHeight="1" x14ac:dyDescent="0.25">
      <c r="D407" s="3"/>
      <c r="E407" s="3"/>
      <c r="F407" s="3"/>
    </row>
    <row r="408" spans="4:6" ht="12.75" customHeight="1" x14ac:dyDescent="0.25">
      <c r="D408" s="3"/>
      <c r="E408" s="3"/>
      <c r="F408" s="3"/>
    </row>
    <row r="409" spans="4:6" ht="12.75" customHeight="1" x14ac:dyDescent="0.25">
      <c r="D409" s="3"/>
      <c r="E409" s="3"/>
      <c r="F409" s="3"/>
    </row>
    <row r="410" spans="4:6" ht="12.75" customHeight="1" x14ac:dyDescent="0.25">
      <c r="D410" s="3"/>
      <c r="E410" s="3"/>
      <c r="F410" s="3"/>
    </row>
    <row r="411" spans="4:6" ht="12.75" customHeight="1" x14ac:dyDescent="0.25">
      <c r="D411" s="3"/>
      <c r="E411" s="3"/>
      <c r="F411" s="3"/>
    </row>
    <row r="412" spans="4:6" ht="12.75" customHeight="1" x14ac:dyDescent="0.25">
      <c r="D412" s="3"/>
      <c r="E412" s="3"/>
      <c r="F412" s="3"/>
    </row>
    <row r="413" spans="4:6" ht="12.75" customHeight="1" x14ac:dyDescent="0.25">
      <c r="D413" s="3"/>
      <c r="E413" s="3"/>
      <c r="F413" s="3"/>
    </row>
    <row r="414" spans="4:6" ht="12.75" customHeight="1" x14ac:dyDescent="0.25">
      <c r="D414" s="3"/>
      <c r="E414" s="3"/>
      <c r="F414" s="3"/>
    </row>
    <row r="415" spans="4:6" ht="12.75" customHeight="1" x14ac:dyDescent="0.25">
      <c r="D415" s="3"/>
      <c r="E415" s="3"/>
      <c r="F415" s="3"/>
    </row>
    <row r="416" spans="4:6" ht="12.75" customHeight="1" x14ac:dyDescent="0.25">
      <c r="D416" s="3"/>
      <c r="E416" s="3"/>
      <c r="F416" s="3"/>
    </row>
    <row r="417" spans="4:6" ht="12.75" customHeight="1" x14ac:dyDescent="0.25">
      <c r="D417" s="3"/>
      <c r="E417" s="3"/>
      <c r="F417" s="3"/>
    </row>
    <row r="418" spans="4:6" ht="12.75" customHeight="1" x14ac:dyDescent="0.25">
      <c r="D418" s="3"/>
      <c r="E418" s="3"/>
      <c r="F418" s="3"/>
    </row>
    <row r="419" spans="4:6" ht="12.75" customHeight="1" x14ac:dyDescent="0.25">
      <c r="D419" s="3"/>
      <c r="E419" s="3"/>
      <c r="F419" s="3"/>
    </row>
    <row r="420" spans="4:6" ht="12.75" customHeight="1" x14ac:dyDescent="0.25">
      <c r="D420" s="3"/>
      <c r="E420" s="3"/>
      <c r="F420" s="3"/>
    </row>
    <row r="421" spans="4:6" ht="12.75" customHeight="1" x14ac:dyDescent="0.25">
      <c r="D421" s="3"/>
      <c r="E421" s="3"/>
      <c r="F421" s="3"/>
    </row>
    <row r="422" spans="4:6" ht="12.75" customHeight="1" x14ac:dyDescent="0.25">
      <c r="D422" s="3"/>
      <c r="E422" s="3"/>
      <c r="F422" s="3"/>
    </row>
    <row r="423" spans="4:6" ht="12.75" customHeight="1" x14ac:dyDescent="0.25">
      <c r="D423" s="3"/>
      <c r="E423" s="3"/>
      <c r="F423" s="3"/>
    </row>
    <row r="424" spans="4:6" ht="12.75" customHeight="1" x14ac:dyDescent="0.25">
      <c r="D424" s="3"/>
      <c r="E424" s="3"/>
      <c r="F424" s="3"/>
    </row>
    <row r="425" spans="4:6" ht="12.75" customHeight="1" x14ac:dyDescent="0.25">
      <c r="D425" s="3"/>
      <c r="E425" s="3"/>
      <c r="F425" s="3"/>
    </row>
    <row r="426" spans="4:6" ht="12.75" customHeight="1" x14ac:dyDescent="0.25">
      <c r="D426" s="3"/>
      <c r="E426" s="3"/>
      <c r="F426" s="3"/>
    </row>
    <row r="427" spans="4:6" ht="12.75" customHeight="1" x14ac:dyDescent="0.25">
      <c r="D427" s="3"/>
      <c r="E427" s="3"/>
      <c r="F427" s="3"/>
    </row>
    <row r="428" spans="4:6" ht="12.75" customHeight="1" x14ac:dyDescent="0.25">
      <c r="D428" s="3"/>
      <c r="E428" s="3"/>
      <c r="F428" s="3"/>
    </row>
    <row r="429" spans="4:6" ht="12.75" customHeight="1" x14ac:dyDescent="0.25">
      <c r="D429" s="3"/>
      <c r="E429" s="3"/>
      <c r="F429" s="3"/>
    </row>
    <row r="430" spans="4:6" ht="12.75" customHeight="1" x14ac:dyDescent="0.25">
      <c r="D430" s="3"/>
      <c r="E430" s="3"/>
      <c r="F430" s="3"/>
    </row>
    <row r="431" spans="4:6" ht="12.75" customHeight="1" x14ac:dyDescent="0.25">
      <c r="D431" s="3"/>
      <c r="E431" s="3"/>
      <c r="F431" s="3"/>
    </row>
    <row r="432" spans="4:6" ht="12.75" customHeight="1" x14ac:dyDescent="0.25">
      <c r="D432" s="3"/>
      <c r="E432" s="3"/>
      <c r="F432" s="3"/>
    </row>
    <row r="433" spans="4:6" ht="12.75" customHeight="1" x14ac:dyDescent="0.25">
      <c r="D433" s="3"/>
      <c r="E433" s="3"/>
      <c r="F433" s="3"/>
    </row>
    <row r="434" spans="4:6" ht="12.75" customHeight="1" x14ac:dyDescent="0.25">
      <c r="D434" s="3"/>
      <c r="E434" s="3"/>
      <c r="F434" s="3"/>
    </row>
    <row r="435" spans="4:6" ht="12.75" customHeight="1" x14ac:dyDescent="0.25">
      <c r="D435" s="3"/>
      <c r="E435" s="3"/>
      <c r="F435" s="3"/>
    </row>
    <row r="436" spans="4:6" ht="12.75" customHeight="1" x14ac:dyDescent="0.25">
      <c r="D436" s="3"/>
      <c r="E436" s="3"/>
      <c r="F436" s="3"/>
    </row>
    <row r="437" spans="4:6" ht="12.75" customHeight="1" x14ac:dyDescent="0.25">
      <c r="D437" s="3"/>
      <c r="E437" s="3"/>
      <c r="F437" s="3"/>
    </row>
    <row r="438" spans="4:6" ht="12.75" customHeight="1" x14ac:dyDescent="0.25">
      <c r="D438" s="3"/>
      <c r="E438" s="3"/>
      <c r="F438" s="3"/>
    </row>
    <row r="439" spans="4:6" ht="12.75" customHeight="1" x14ac:dyDescent="0.25">
      <c r="D439" s="3"/>
      <c r="E439" s="3"/>
      <c r="F439" s="3"/>
    </row>
    <row r="440" spans="4:6" ht="12.75" customHeight="1" x14ac:dyDescent="0.25">
      <c r="D440" s="3"/>
      <c r="E440" s="3"/>
      <c r="F440" s="3"/>
    </row>
    <row r="441" spans="4:6" ht="12.75" customHeight="1" x14ac:dyDescent="0.25">
      <c r="D441" s="3"/>
      <c r="E441" s="3"/>
      <c r="F441" s="3"/>
    </row>
    <row r="442" spans="4:6" ht="12.75" customHeight="1" x14ac:dyDescent="0.25">
      <c r="D442" s="3"/>
      <c r="E442" s="3"/>
      <c r="F442" s="3"/>
    </row>
    <row r="443" spans="4:6" ht="12.75" customHeight="1" x14ac:dyDescent="0.25">
      <c r="D443" s="3"/>
      <c r="E443" s="3"/>
      <c r="F443" s="3"/>
    </row>
    <row r="444" spans="4:6" ht="12.75" customHeight="1" x14ac:dyDescent="0.25">
      <c r="D444" s="3"/>
      <c r="E444" s="3"/>
      <c r="F444" s="3"/>
    </row>
    <row r="445" spans="4:6" ht="12.75" customHeight="1" x14ac:dyDescent="0.25">
      <c r="D445" s="3"/>
      <c r="E445" s="3"/>
      <c r="F445" s="3"/>
    </row>
    <row r="446" spans="4:6" ht="12.75" customHeight="1" x14ac:dyDescent="0.25">
      <c r="D446" s="3"/>
      <c r="E446" s="3"/>
      <c r="F446" s="3"/>
    </row>
    <row r="447" spans="4:6" ht="12.75" customHeight="1" x14ac:dyDescent="0.25">
      <c r="D447" s="3"/>
      <c r="E447" s="3"/>
      <c r="F447" s="3"/>
    </row>
    <row r="448" spans="4:6" ht="12.75" customHeight="1" x14ac:dyDescent="0.25">
      <c r="D448" s="3"/>
      <c r="E448" s="3"/>
      <c r="F448" s="3"/>
    </row>
    <row r="449" spans="4:6" ht="12.75" customHeight="1" x14ac:dyDescent="0.25">
      <c r="D449" s="3"/>
      <c r="E449" s="3"/>
      <c r="F449" s="3"/>
    </row>
    <row r="450" spans="4:6" ht="12.75" customHeight="1" x14ac:dyDescent="0.25">
      <c r="D450" s="3"/>
      <c r="E450" s="3"/>
      <c r="F450" s="3"/>
    </row>
    <row r="451" spans="4:6" ht="12.75" customHeight="1" x14ac:dyDescent="0.25">
      <c r="D451" s="3"/>
      <c r="E451" s="3"/>
      <c r="F451" s="3"/>
    </row>
    <row r="452" spans="4:6" ht="12.75" customHeight="1" x14ac:dyDescent="0.25">
      <c r="D452" s="3"/>
      <c r="E452" s="3"/>
      <c r="F452" s="3"/>
    </row>
    <row r="453" spans="4:6" ht="12.75" customHeight="1" x14ac:dyDescent="0.25">
      <c r="D453" s="3"/>
      <c r="E453" s="3"/>
      <c r="F453" s="3"/>
    </row>
    <row r="454" spans="4:6" ht="12.75" customHeight="1" x14ac:dyDescent="0.25">
      <c r="D454" s="3"/>
      <c r="E454" s="3"/>
      <c r="F454" s="3"/>
    </row>
    <row r="455" spans="4:6" ht="12.75" customHeight="1" x14ac:dyDescent="0.25">
      <c r="D455" s="3"/>
      <c r="E455" s="3"/>
      <c r="F455" s="3"/>
    </row>
    <row r="456" spans="4:6" ht="12.75" customHeight="1" x14ac:dyDescent="0.25">
      <c r="D456" s="3"/>
      <c r="E456" s="3"/>
      <c r="F456" s="3"/>
    </row>
    <row r="457" spans="4:6" ht="12.75" customHeight="1" x14ac:dyDescent="0.25">
      <c r="D457" s="3"/>
      <c r="E457" s="3"/>
      <c r="F457" s="3"/>
    </row>
    <row r="458" spans="4:6" ht="12.75" customHeight="1" x14ac:dyDescent="0.25">
      <c r="D458" s="3"/>
      <c r="E458" s="3"/>
      <c r="F458" s="3"/>
    </row>
    <row r="459" spans="4:6" ht="12.75" customHeight="1" x14ac:dyDescent="0.25">
      <c r="D459" s="3"/>
      <c r="E459" s="3"/>
      <c r="F459" s="3"/>
    </row>
    <row r="460" spans="4:6" ht="12.75" customHeight="1" x14ac:dyDescent="0.25">
      <c r="D460" s="3"/>
      <c r="E460" s="3"/>
      <c r="F460" s="3"/>
    </row>
    <row r="461" spans="4:6" ht="12.75" customHeight="1" x14ac:dyDescent="0.25">
      <c r="D461" s="3"/>
      <c r="E461" s="3"/>
      <c r="F461" s="3"/>
    </row>
    <row r="462" spans="4:6" ht="12.75" customHeight="1" x14ac:dyDescent="0.25">
      <c r="D462" s="3"/>
      <c r="E462" s="3"/>
      <c r="F462" s="3"/>
    </row>
    <row r="463" spans="4:6" ht="12.75" customHeight="1" x14ac:dyDescent="0.25">
      <c r="D463" s="3"/>
      <c r="E463" s="3"/>
      <c r="F463" s="3"/>
    </row>
    <row r="464" spans="4:6" ht="12.75" customHeight="1" x14ac:dyDescent="0.25">
      <c r="D464" s="3"/>
      <c r="E464" s="3"/>
      <c r="F464" s="3"/>
    </row>
    <row r="465" spans="4:6" ht="12.75" customHeight="1" x14ac:dyDescent="0.25">
      <c r="D465" s="3"/>
      <c r="E465" s="3"/>
      <c r="F465" s="3"/>
    </row>
    <row r="466" spans="4:6" ht="12.75" customHeight="1" x14ac:dyDescent="0.25">
      <c r="D466" s="3"/>
      <c r="E466" s="3"/>
      <c r="F466" s="3"/>
    </row>
    <row r="467" spans="4:6" ht="12.75" customHeight="1" x14ac:dyDescent="0.25">
      <c r="D467" s="3"/>
      <c r="E467" s="3"/>
      <c r="F467" s="3"/>
    </row>
    <row r="468" spans="4:6" ht="12.75" customHeight="1" x14ac:dyDescent="0.25">
      <c r="D468" s="3"/>
      <c r="E468" s="3"/>
      <c r="F468" s="3"/>
    </row>
    <row r="469" spans="4:6" ht="12.75" customHeight="1" x14ac:dyDescent="0.25">
      <c r="D469" s="3"/>
      <c r="E469" s="3"/>
      <c r="F469" s="3"/>
    </row>
    <row r="470" spans="4:6" ht="12.75" customHeight="1" x14ac:dyDescent="0.25">
      <c r="D470" s="3"/>
      <c r="E470" s="3"/>
      <c r="F470" s="3"/>
    </row>
    <row r="471" spans="4:6" ht="12.75" customHeight="1" x14ac:dyDescent="0.25">
      <c r="D471" s="3"/>
      <c r="E471" s="3"/>
      <c r="F471" s="3"/>
    </row>
    <row r="472" spans="4:6" ht="12.75" customHeight="1" x14ac:dyDescent="0.25">
      <c r="D472" s="3"/>
      <c r="E472" s="3"/>
      <c r="F472" s="3"/>
    </row>
    <row r="473" spans="4:6" ht="12.75" customHeight="1" x14ac:dyDescent="0.25">
      <c r="D473" s="3"/>
      <c r="E473" s="3"/>
      <c r="F473" s="3"/>
    </row>
    <row r="474" spans="4:6" ht="12.75" customHeight="1" x14ac:dyDescent="0.25">
      <c r="D474" s="3"/>
      <c r="E474" s="3"/>
      <c r="F474" s="3"/>
    </row>
    <row r="475" spans="4:6" ht="12.75" customHeight="1" x14ac:dyDescent="0.25">
      <c r="D475" s="3"/>
      <c r="E475" s="3"/>
      <c r="F475" s="3"/>
    </row>
    <row r="476" spans="4:6" ht="12.75" customHeight="1" x14ac:dyDescent="0.25">
      <c r="D476" s="3"/>
      <c r="E476" s="3"/>
      <c r="F476" s="3"/>
    </row>
    <row r="477" spans="4:6" ht="12.75" customHeight="1" x14ac:dyDescent="0.25">
      <c r="D477" s="3"/>
      <c r="E477" s="3"/>
      <c r="F477" s="3"/>
    </row>
    <row r="478" spans="4:6" ht="12.75" customHeight="1" x14ac:dyDescent="0.25">
      <c r="D478" s="3"/>
      <c r="E478" s="3"/>
      <c r="F478" s="3"/>
    </row>
    <row r="479" spans="4:6" ht="12.75" customHeight="1" x14ac:dyDescent="0.25">
      <c r="D479" s="3"/>
      <c r="E479" s="3"/>
      <c r="F479" s="3"/>
    </row>
    <row r="480" spans="4:6" ht="12.75" customHeight="1" x14ac:dyDescent="0.25">
      <c r="D480" s="3"/>
      <c r="E480" s="3"/>
      <c r="F480" s="3"/>
    </row>
    <row r="481" spans="4:6" ht="12.75" customHeight="1" x14ac:dyDescent="0.25">
      <c r="D481" s="3"/>
      <c r="E481" s="3"/>
      <c r="F481" s="3"/>
    </row>
    <row r="482" spans="4:6" ht="12.75" customHeight="1" x14ac:dyDescent="0.25">
      <c r="D482" s="3"/>
      <c r="E482" s="3"/>
      <c r="F482" s="3"/>
    </row>
    <row r="483" spans="4:6" ht="12.75" customHeight="1" x14ac:dyDescent="0.25">
      <c r="D483" s="3"/>
      <c r="E483" s="3"/>
      <c r="F483" s="3"/>
    </row>
    <row r="484" spans="4:6" ht="12.75" customHeight="1" x14ac:dyDescent="0.25">
      <c r="D484" s="3"/>
      <c r="E484" s="3"/>
      <c r="F484" s="3"/>
    </row>
    <row r="485" spans="4:6" ht="12.75" customHeight="1" x14ac:dyDescent="0.25">
      <c r="D485" s="3"/>
      <c r="E485" s="3"/>
      <c r="F485" s="3"/>
    </row>
    <row r="486" spans="4:6" ht="12.75" customHeight="1" x14ac:dyDescent="0.25">
      <c r="D486" s="3"/>
      <c r="E486" s="3"/>
      <c r="F486" s="3"/>
    </row>
    <row r="487" spans="4:6" ht="12.75" customHeight="1" x14ac:dyDescent="0.25">
      <c r="D487" s="3"/>
      <c r="E487" s="3"/>
      <c r="F487" s="3"/>
    </row>
    <row r="488" spans="4:6" ht="12.75" customHeight="1" x14ac:dyDescent="0.25">
      <c r="D488" s="3"/>
      <c r="E488" s="3"/>
      <c r="F488" s="3"/>
    </row>
    <row r="489" spans="4:6" ht="12.75" customHeight="1" x14ac:dyDescent="0.25">
      <c r="D489" s="3"/>
      <c r="E489" s="3"/>
      <c r="F489" s="3"/>
    </row>
    <row r="490" spans="4:6" ht="12.75" customHeight="1" x14ac:dyDescent="0.25">
      <c r="D490" s="3"/>
      <c r="E490" s="3"/>
      <c r="F490" s="3"/>
    </row>
    <row r="491" spans="4:6" ht="12.75" customHeight="1" x14ac:dyDescent="0.25">
      <c r="D491" s="3"/>
      <c r="E491" s="3"/>
      <c r="F491" s="3"/>
    </row>
    <row r="492" spans="4:6" ht="12.75" customHeight="1" x14ac:dyDescent="0.25">
      <c r="D492" s="3"/>
      <c r="E492" s="3"/>
      <c r="F492" s="3"/>
    </row>
    <row r="493" spans="4:6" ht="12.75" customHeight="1" x14ac:dyDescent="0.25">
      <c r="D493" s="3"/>
      <c r="E493" s="3"/>
      <c r="F493" s="3"/>
    </row>
    <row r="494" spans="4:6" ht="12.75" customHeight="1" x14ac:dyDescent="0.25">
      <c r="D494" s="3"/>
      <c r="E494" s="3"/>
      <c r="F494" s="3"/>
    </row>
    <row r="495" spans="4:6" ht="12.75" customHeight="1" x14ac:dyDescent="0.25">
      <c r="D495" s="3"/>
      <c r="E495" s="3"/>
      <c r="F495" s="3"/>
    </row>
    <row r="496" spans="4:6" ht="12.75" customHeight="1" x14ac:dyDescent="0.25">
      <c r="D496" s="3"/>
      <c r="E496" s="3"/>
      <c r="F496" s="3"/>
    </row>
    <row r="497" spans="4:6" ht="12.75" customHeight="1" x14ac:dyDescent="0.25">
      <c r="D497" s="3"/>
      <c r="E497" s="3"/>
      <c r="F497" s="3"/>
    </row>
    <row r="498" spans="4:6" ht="12.75" customHeight="1" x14ac:dyDescent="0.25">
      <c r="D498" s="3"/>
      <c r="E498" s="3"/>
      <c r="F498" s="3"/>
    </row>
    <row r="499" spans="4:6" ht="12.75" customHeight="1" x14ac:dyDescent="0.25">
      <c r="D499" s="3"/>
      <c r="E499" s="3"/>
      <c r="F499" s="3"/>
    </row>
    <row r="500" spans="4:6" ht="12.75" customHeight="1" x14ac:dyDescent="0.25">
      <c r="D500" s="3"/>
      <c r="E500" s="3"/>
      <c r="F500" s="3"/>
    </row>
    <row r="501" spans="4:6" ht="12.75" customHeight="1" x14ac:dyDescent="0.25">
      <c r="D501" s="3"/>
      <c r="E501" s="3"/>
      <c r="F501" s="3"/>
    </row>
    <row r="502" spans="4:6" ht="12.75" customHeight="1" x14ac:dyDescent="0.25">
      <c r="D502" s="3"/>
      <c r="E502" s="3"/>
      <c r="F502" s="3"/>
    </row>
    <row r="503" spans="4:6" ht="12.75" customHeight="1" x14ac:dyDescent="0.25">
      <c r="D503" s="3"/>
      <c r="E503" s="3"/>
      <c r="F503" s="3"/>
    </row>
    <row r="504" spans="4:6" ht="12.75" customHeight="1" x14ac:dyDescent="0.25">
      <c r="D504" s="3"/>
      <c r="E504" s="3"/>
      <c r="F504" s="3"/>
    </row>
    <row r="505" spans="4:6" ht="12.75" customHeight="1" x14ac:dyDescent="0.25">
      <c r="D505" s="3"/>
      <c r="E505" s="3"/>
      <c r="F505" s="3"/>
    </row>
    <row r="506" spans="4:6" ht="12.75" customHeight="1" x14ac:dyDescent="0.25">
      <c r="D506" s="3"/>
      <c r="E506" s="3"/>
      <c r="F506" s="3"/>
    </row>
    <row r="507" spans="4:6" ht="12.75" customHeight="1" x14ac:dyDescent="0.25">
      <c r="D507" s="3"/>
      <c r="E507" s="3"/>
      <c r="F507" s="3"/>
    </row>
    <row r="508" spans="4:6" ht="12.75" customHeight="1" x14ac:dyDescent="0.25">
      <c r="D508" s="3"/>
      <c r="E508" s="3"/>
      <c r="F508" s="3"/>
    </row>
    <row r="509" spans="4:6" ht="12.75" customHeight="1" x14ac:dyDescent="0.25">
      <c r="D509" s="3"/>
      <c r="E509" s="3"/>
      <c r="F509" s="3"/>
    </row>
    <row r="510" spans="4:6" ht="12.75" customHeight="1" x14ac:dyDescent="0.25">
      <c r="D510" s="3"/>
      <c r="E510" s="3"/>
      <c r="F510" s="3"/>
    </row>
    <row r="511" spans="4:6" ht="12.75" customHeight="1" x14ac:dyDescent="0.25">
      <c r="D511" s="3"/>
      <c r="E511" s="3"/>
      <c r="F511" s="3"/>
    </row>
    <row r="512" spans="4:6" ht="12.75" customHeight="1" x14ac:dyDescent="0.25">
      <c r="D512" s="3"/>
      <c r="E512" s="3"/>
      <c r="F512" s="3"/>
    </row>
    <row r="513" spans="4:6" ht="12.75" customHeight="1" x14ac:dyDescent="0.25">
      <c r="D513" s="3"/>
      <c r="E513" s="3"/>
      <c r="F513" s="3"/>
    </row>
    <row r="514" spans="4:6" ht="12.75" customHeight="1" x14ac:dyDescent="0.25">
      <c r="D514" s="3"/>
      <c r="E514" s="3"/>
      <c r="F514" s="3"/>
    </row>
    <row r="515" spans="4:6" ht="12.75" customHeight="1" x14ac:dyDescent="0.25">
      <c r="D515" s="3"/>
      <c r="E515" s="3"/>
      <c r="F515" s="3"/>
    </row>
    <row r="516" spans="4:6" ht="12.75" customHeight="1" x14ac:dyDescent="0.25">
      <c r="D516" s="3"/>
      <c r="E516" s="3"/>
      <c r="F516" s="3"/>
    </row>
    <row r="517" spans="4:6" ht="12.75" customHeight="1" x14ac:dyDescent="0.25">
      <c r="D517" s="3"/>
      <c r="E517" s="3"/>
      <c r="F517" s="3"/>
    </row>
    <row r="518" spans="4:6" ht="12.75" customHeight="1" x14ac:dyDescent="0.25">
      <c r="D518" s="3"/>
      <c r="E518" s="3"/>
      <c r="F518" s="3"/>
    </row>
    <row r="519" spans="4:6" ht="12.75" customHeight="1" x14ac:dyDescent="0.25">
      <c r="D519" s="3"/>
      <c r="E519" s="3"/>
      <c r="F519" s="3"/>
    </row>
    <row r="520" spans="4:6" ht="12.75" customHeight="1" x14ac:dyDescent="0.25">
      <c r="D520" s="3"/>
      <c r="E520" s="3"/>
      <c r="F520" s="3"/>
    </row>
    <row r="521" spans="4:6" ht="12.75" customHeight="1" x14ac:dyDescent="0.25">
      <c r="D521" s="3"/>
      <c r="E521" s="3"/>
      <c r="F521" s="3"/>
    </row>
    <row r="522" spans="4:6" ht="12.75" customHeight="1" x14ac:dyDescent="0.25">
      <c r="D522" s="3"/>
      <c r="E522" s="3"/>
      <c r="F522" s="3"/>
    </row>
    <row r="523" spans="4:6" ht="12.75" customHeight="1" x14ac:dyDescent="0.25">
      <c r="D523" s="3"/>
      <c r="E523" s="3"/>
      <c r="F523" s="3"/>
    </row>
    <row r="524" spans="4:6" ht="12.75" customHeight="1" x14ac:dyDescent="0.25">
      <c r="D524" s="3"/>
      <c r="E524" s="3"/>
      <c r="F524" s="3"/>
    </row>
    <row r="525" spans="4:6" ht="12.75" customHeight="1" x14ac:dyDescent="0.25">
      <c r="D525" s="3"/>
      <c r="E525" s="3"/>
      <c r="F525" s="3"/>
    </row>
    <row r="526" spans="4:6" ht="12.75" customHeight="1" x14ac:dyDescent="0.25">
      <c r="D526" s="3"/>
      <c r="E526" s="3"/>
      <c r="F526" s="3"/>
    </row>
    <row r="527" spans="4:6" ht="12.75" customHeight="1" x14ac:dyDescent="0.25">
      <c r="D527" s="3"/>
      <c r="E527" s="3"/>
      <c r="F527" s="3"/>
    </row>
    <row r="528" spans="4:6" ht="12.75" customHeight="1" x14ac:dyDescent="0.25">
      <c r="D528" s="3"/>
      <c r="E528" s="3"/>
      <c r="F528" s="3"/>
    </row>
    <row r="529" spans="4:6" ht="12.75" customHeight="1" x14ac:dyDescent="0.25">
      <c r="D529" s="3"/>
      <c r="E529" s="3"/>
      <c r="F529" s="3"/>
    </row>
    <row r="530" spans="4:6" ht="12.75" customHeight="1" x14ac:dyDescent="0.25">
      <c r="D530" s="3"/>
      <c r="E530" s="3"/>
      <c r="F530" s="3"/>
    </row>
    <row r="531" spans="4:6" ht="12.75" customHeight="1" x14ac:dyDescent="0.25">
      <c r="D531" s="3"/>
      <c r="E531" s="3"/>
      <c r="F531" s="3"/>
    </row>
    <row r="532" spans="4:6" ht="12.75" customHeight="1" x14ac:dyDescent="0.25">
      <c r="D532" s="3"/>
      <c r="E532" s="3"/>
      <c r="F532" s="3"/>
    </row>
    <row r="533" spans="4:6" ht="12.75" customHeight="1" x14ac:dyDescent="0.25">
      <c r="D533" s="3"/>
      <c r="E533" s="3"/>
      <c r="F533" s="3"/>
    </row>
    <row r="534" spans="4:6" ht="12.75" customHeight="1" x14ac:dyDescent="0.25">
      <c r="D534" s="3"/>
      <c r="E534" s="3"/>
      <c r="F534" s="3"/>
    </row>
    <row r="535" spans="4:6" ht="12.75" customHeight="1" x14ac:dyDescent="0.25">
      <c r="D535" s="3"/>
      <c r="E535" s="3"/>
      <c r="F535" s="3"/>
    </row>
    <row r="536" spans="4:6" ht="12.75" customHeight="1" x14ac:dyDescent="0.25">
      <c r="D536" s="3"/>
      <c r="E536" s="3"/>
      <c r="F536" s="3"/>
    </row>
    <row r="537" spans="4:6" ht="12.75" customHeight="1" x14ac:dyDescent="0.25">
      <c r="D537" s="3"/>
      <c r="E537" s="3"/>
      <c r="F537" s="3"/>
    </row>
    <row r="538" spans="4:6" ht="12.75" customHeight="1" x14ac:dyDescent="0.25">
      <c r="D538" s="3"/>
      <c r="E538" s="3"/>
      <c r="F538" s="3"/>
    </row>
    <row r="539" spans="4:6" ht="12.75" customHeight="1" x14ac:dyDescent="0.25">
      <c r="D539" s="3"/>
      <c r="E539" s="3"/>
      <c r="F539" s="3"/>
    </row>
    <row r="540" spans="4:6" ht="12.75" customHeight="1" x14ac:dyDescent="0.25">
      <c r="D540" s="3"/>
      <c r="E540" s="3"/>
      <c r="F540" s="3"/>
    </row>
    <row r="541" spans="4:6" ht="12.75" customHeight="1" x14ac:dyDescent="0.25">
      <c r="D541" s="3"/>
      <c r="E541" s="3"/>
      <c r="F541" s="3"/>
    </row>
    <row r="542" spans="4:6" ht="12.75" customHeight="1" x14ac:dyDescent="0.25">
      <c r="D542" s="3"/>
      <c r="E542" s="3"/>
      <c r="F542" s="3"/>
    </row>
    <row r="543" spans="4:6" ht="12.75" customHeight="1" x14ac:dyDescent="0.25">
      <c r="D543" s="3"/>
      <c r="E543" s="3"/>
      <c r="F543" s="3"/>
    </row>
    <row r="544" spans="4:6" ht="12.75" customHeight="1" x14ac:dyDescent="0.25">
      <c r="D544" s="3"/>
      <c r="E544" s="3"/>
      <c r="F544" s="3"/>
    </row>
    <row r="545" spans="4:6" ht="12.75" customHeight="1" x14ac:dyDescent="0.25">
      <c r="D545" s="3"/>
      <c r="E545" s="3"/>
      <c r="F545" s="3"/>
    </row>
    <row r="546" spans="4:6" ht="12.75" customHeight="1" x14ac:dyDescent="0.25">
      <c r="D546" s="3"/>
      <c r="E546" s="3"/>
      <c r="F546" s="3"/>
    </row>
    <row r="547" spans="4:6" ht="12.75" customHeight="1" x14ac:dyDescent="0.25">
      <c r="D547" s="3"/>
      <c r="E547" s="3"/>
      <c r="F547" s="3"/>
    </row>
    <row r="548" spans="4:6" ht="12.75" customHeight="1" x14ac:dyDescent="0.25">
      <c r="D548" s="3"/>
      <c r="E548" s="3"/>
      <c r="F548" s="3"/>
    </row>
    <row r="549" spans="4:6" ht="12.75" customHeight="1" x14ac:dyDescent="0.25">
      <c r="D549" s="3"/>
      <c r="E549" s="3"/>
      <c r="F549" s="3"/>
    </row>
    <row r="550" spans="4:6" ht="12.75" customHeight="1" x14ac:dyDescent="0.25">
      <c r="D550" s="3"/>
      <c r="E550" s="3"/>
      <c r="F550" s="3"/>
    </row>
    <row r="551" spans="4:6" ht="12.75" customHeight="1" x14ac:dyDescent="0.25">
      <c r="D551" s="3"/>
      <c r="E551" s="3"/>
      <c r="F551" s="3"/>
    </row>
    <row r="552" spans="4:6" ht="12.75" customHeight="1" x14ac:dyDescent="0.25">
      <c r="D552" s="3"/>
      <c r="E552" s="3"/>
      <c r="F552" s="3"/>
    </row>
    <row r="553" spans="4:6" ht="12.75" customHeight="1" x14ac:dyDescent="0.25">
      <c r="D553" s="3"/>
      <c r="E553" s="3"/>
      <c r="F553" s="3"/>
    </row>
    <row r="554" spans="4:6" ht="12.75" customHeight="1" x14ac:dyDescent="0.25">
      <c r="D554" s="3"/>
      <c r="E554" s="3"/>
      <c r="F554" s="3"/>
    </row>
    <row r="555" spans="4:6" ht="12.75" customHeight="1" x14ac:dyDescent="0.25">
      <c r="D555" s="3"/>
      <c r="E555" s="3"/>
      <c r="F555" s="3"/>
    </row>
    <row r="556" spans="4:6" ht="12.75" customHeight="1" x14ac:dyDescent="0.25">
      <c r="D556" s="3"/>
      <c r="E556" s="3"/>
      <c r="F556" s="3"/>
    </row>
    <row r="557" spans="4:6" ht="12.75" customHeight="1" x14ac:dyDescent="0.25">
      <c r="D557" s="3"/>
      <c r="E557" s="3"/>
      <c r="F557" s="3"/>
    </row>
    <row r="558" spans="4:6" ht="12.75" customHeight="1" x14ac:dyDescent="0.25">
      <c r="D558" s="3"/>
      <c r="E558" s="3"/>
      <c r="F558" s="3"/>
    </row>
    <row r="559" spans="4:6" ht="12.75" customHeight="1" x14ac:dyDescent="0.25">
      <c r="D559" s="3"/>
      <c r="E559" s="3"/>
      <c r="F559" s="3"/>
    </row>
    <row r="560" spans="4:6" ht="12.75" customHeight="1" x14ac:dyDescent="0.25">
      <c r="D560" s="3"/>
      <c r="E560" s="3"/>
      <c r="F560" s="3"/>
    </row>
    <row r="561" spans="4:6" ht="12.75" customHeight="1" x14ac:dyDescent="0.25">
      <c r="D561" s="3"/>
      <c r="E561" s="3"/>
      <c r="F561" s="3"/>
    </row>
    <row r="562" spans="4:6" ht="12.75" customHeight="1" x14ac:dyDescent="0.25">
      <c r="D562" s="3"/>
      <c r="E562" s="3"/>
      <c r="F562" s="3"/>
    </row>
    <row r="563" spans="4:6" ht="12.75" customHeight="1" x14ac:dyDescent="0.25">
      <c r="D563" s="3"/>
      <c r="E563" s="3"/>
      <c r="F563" s="3"/>
    </row>
    <row r="564" spans="4:6" ht="12.75" customHeight="1" x14ac:dyDescent="0.25">
      <c r="D564" s="3"/>
      <c r="E564" s="3"/>
      <c r="F564" s="3"/>
    </row>
    <row r="565" spans="4:6" ht="12.75" customHeight="1" x14ac:dyDescent="0.25">
      <c r="D565" s="3"/>
      <c r="E565" s="3"/>
      <c r="F565" s="3"/>
    </row>
    <row r="566" spans="4:6" ht="12.75" customHeight="1" x14ac:dyDescent="0.25">
      <c r="D566" s="3"/>
      <c r="E566" s="3"/>
      <c r="F566" s="3"/>
    </row>
    <row r="567" spans="4:6" ht="12.75" customHeight="1" x14ac:dyDescent="0.25">
      <c r="D567" s="3"/>
      <c r="E567" s="3"/>
      <c r="F567" s="3"/>
    </row>
    <row r="568" spans="4:6" ht="12.75" customHeight="1" x14ac:dyDescent="0.25">
      <c r="D568" s="3"/>
      <c r="E568" s="3"/>
      <c r="F568" s="3"/>
    </row>
    <row r="569" spans="4:6" ht="12.75" customHeight="1" x14ac:dyDescent="0.25">
      <c r="D569" s="3"/>
      <c r="E569" s="3"/>
      <c r="F569" s="3"/>
    </row>
    <row r="570" spans="4:6" ht="12.75" customHeight="1" x14ac:dyDescent="0.25">
      <c r="D570" s="3"/>
      <c r="E570" s="3"/>
      <c r="F570" s="3"/>
    </row>
    <row r="571" spans="4:6" ht="12.75" customHeight="1" x14ac:dyDescent="0.25">
      <c r="D571" s="3"/>
      <c r="E571" s="3"/>
      <c r="F571" s="3"/>
    </row>
    <row r="572" spans="4:6" ht="12.75" customHeight="1" x14ac:dyDescent="0.25">
      <c r="D572" s="3"/>
      <c r="E572" s="3"/>
      <c r="F572" s="3"/>
    </row>
    <row r="573" spans="4:6" ht="12.75" customHeight="1" x14ac:dyDescent="0.25">
      <c r="D573" s="3"/>
      <c r="E573" s="3"/>
      <c r="F573" s="3"/>
    </row>
    <row r="574" spans="4:6" ht="12.75" customHeight="1" x14ac:dyDescent="0.25">
      <c r="D574" s="3"/>
      <c r="E574" s="3"/>
      <c r="F574" s="3"/>
    </row>
    <row r="575" spans="4:6" ht="12.75" customHeight="1" x14ac:dyDescent="0.25">
      <c r="D575" s="3"/>
      <c r="E575" s="3"/>
      <c r="F575" s="3"/>
    </row>
    <row r="576" spans="4:6" ht="12.75" customHeight="1" x14ac:dyDescent="0.25">
      <c r="D576" s="3"/>
      <c r="E576" s="3"/>
      <c r="F576" s="3"/>
    </row>
    <row r="577" spans="4:6" ht="12.75" customHeight="1" x14ac:dyDescent="0.25">
      <c r="D577" s="3"/>
      <c r="E577" s="3"/>
      <c r="F577" s="3"/>
    </row>
    <row r="578" spans="4:6" ht="12.75" customHeight="1" x14ac:dyDescent="0.25">
      <c r="D578" s="3"/>
      <c r="E578" s="3"/>
      <c r="F578" s="3"/>
    </row>
    <row r="579" spans="4:6" ht="12.75" customHeight="1" x14ac:dyDescent="0.25">
      <c r="D579" s="3"/>
      <c r="E579" s="3"/>
      <c r="F579" s="3"/>
    </row>
    <row r="580" spans="4:6" ht="12.75" customHeight="1" x14ac:dyDescent="0.25">
      <c r="D580" s="3"/>
      <c r="E580" s="3"/>
      <c r="F580" s="3"/>
    </row>
    <row r="581" spans="4:6" ht="12.75" customHeight="1" x14ac:dyDescent="0.25">
      <c r="D581" s="3"/>
      <c r="E581" s="3"/>
      <c r="F581" s="3"/>
    </row>
    <row r="582" spans="4:6" ht="12.75" customHeight="1" x14ac:dyDescent="0.25">
      <c r="D582" s="3"/>
      <c r="E582" s="3"/>
      <c r="F582" s="3"/>
    </row>
    <row r="583" spans="4:6" ht="12.75" customHeight="1" x14ac:dyDescent="0.25">
      <c r="D583" s="3"/>
      <c r="E583" s="3"/>
      <c r="F583" s="3"/>
    </row>
    <row r="584" spans="4:6" ht="12.75" customHeight="1" x14ac:dyDescent="0.25">
      <c r="D584" s="3"/>
      <c r="E584" s="3"/>
      <c r="F584" s="3"/>
    </row>
    <row r="585" spans="4:6" ht="12.75" customHeight="1" x14ac:dyDescent="0.25">
      <c r="D585" s="3"/>
      <c r="E585" s="3"/>
      <c r="F585" s="3"/>
    </row>
    <row r="586" spans="4:6" ht="12.75" customHeight="1" x14ac:dyDescent="0.25">
      <c r="D586" s="3"/>
      <c r="E586" s="3"/>
      <c r="F586" s="3"/>
    </row>
    <row r="587" spans="4:6" ht="12.75" customHeight="1" x14ac:dyDescent="0.25">
      <c r="D587" s="3"/>
      <c r="E587" s="3"/>
      <c r="F587" s="3"/>
    </row>
    <row r="588" spans="4:6" ht="12.75" customHeight="1" x14ac:dyDescent="0.25">
      <c r="D588" s="3"/>
      <c r="E588" s="3"/>
      <c r="F588" s="3"/>
    </row>
    <row r="589" spans="4:6" ht="12.75" customHeight="1" x14ac:dyDescent="0.25">
      <c r="D589" s="3"/>
      <c r="E589" s="3"/>
      <c r="F589" s="3"/>
    </row>
    <row r="590" spans="4:6" ht="12.75" customHeight="1" x14ac:dyDescent="0.25">
      <c r="D590" s="3"/>
      <c r="E590" s="3"/>
      <c r="F590" s="3"/>
    </row>
    <row r="591" spans="4:6" ht="12.75" customHeight="1" x14ac:dyDescent="0.25">
      <c r="D591" s="3"/>
      <c r="E591" s="3"/>
      <c r="F591" s="3"/>
    </row>
    <row r="592" spans="4:6" ht="12.75" customHeight="1" x14ac:dyDescent="0.25">
      <c r="D592" s="3"/>
      <c r="E592" s="3"/>
      <c r="F592" s="3"/>
    </row>
    <row r="593" spans="4:6" ht="12.75" customHeight="1" x14ac:dyDescent="0.25">
      <c r="D593" s="3"/>
      <c r="E593" s="3"/>
      <c r="F593" s="3"/>
    </row>
    <row r="594" spans="4:6" ht="12.75" customHeight="1" x14ac:dyDescent="0.25">
      <c r="D594" s="3"/>
      <c r="E594" s="3"/>
      <c r="F594" s="3"/>
    </row>
    <row r="595" spans="4:6" ht="12.75" customHeight="1" x14ac:dyDescent="0.25">
      <c r="D595" s="3"/>
      <c r="E595" s="3"/>
      <c r="F595" s="3"/>
    </row>
    <row r="596" spans="4:6" ht="12.75" customHeight="1" x14ac:dyDescent="0.25">
      <c r="D596" s="3"/>
      <c r="E596" s="3"/>
      <c r="F596" s="3"/>
    </row>
    <row r="597" spans="4:6" ht="12.75" customHeight="1" x14ac:dyDescent="0.25">
      <c r="D597" s="3"/>
      <c r="E597" s="3"/>
      <c r="F597" s="3"/>
    </row>
    <row r="598" spans="4:6" ht="12.75" customHeight="1" x14ac:dyDescent="0.25">
      <c r="D598" s="3"/>
      <c r="E598" s="3"/>
      <c r="F598" s="3"/>
    </row>
    <row r="599" spans="4:6" ht="12.75" customHeight="1" x14ac:dyDescent="0.25">
      <c r="D599" s="3"/>
      <c r="E599" s="3"/>
      <c r="F599" s="3"/>
    </row>
    <row r="600" spans="4:6" ht="12.75" customHeight="1" x14ac:dyDescent="0.25">
      <c r="D600" s="3"/>
      <c r="E600" s="3"/>
      <c r="F600" s="3"/>
    </row>
    <row r="601" spans="4:6" ht="12.75" customHeight="1" x14ac:dyDescent="0.25">
      <c r="D601" s="3"/>
      <c r="E601" s="3"/>
      <c r="F601" s="3"/>
    </row>
    <row r="602" spans="4:6" ht="12.75" customHeight="1" x14ac:dyDescent="0.25">
      <c r="D602" s="3"/>
      <c r="E602" s="3"/>
      <c r="F602" s="3"/>
    </row>
    <row r="603" spans="4:6" ht="12.75" customHeight="1" x14ac:dyDescent="0.25">
      <c r="D603" s="3"/>
      <c r="E603" s="3"/>
      <c r="F603" s="3"/>
    </row>
    <row r="604" spans="4:6" ht="12.75" customHeight="1" x14ac:dyDescent="0.25">
      <c r="D604" s="3"/>
      <c r="E604" s="3"/>
      <c r="F604" s="3"/>
    </row>
    <row r="605" spans="4:6" ht="12.75" customHeight="1" x14ac:dyDescent="0.25">
      <c r="D605" s="3"/>
      <c r="E605" s="3"/>
      <c r="F605" s="3"/>
    </row>
    <row r="606" spans="4:6" ht="12.75" customHeight="1" x14ac:dyDescent="0.25">
      <c r="D606" s="3"/>
      <c r="E606" s="3"/>
      <c r="F606" s="3"/>
    </row>
    <row r="607" spans="4:6" ht="12.75" customHeight="1" x14ac:dyDescent="0.25">
      <c r="D607" s="3"/>
      <c r="E607" s="3"/>
      <c r="F607" s="3"/>
    </row>
    <row r="608" spans="4:6" ht="12.75" customHeight="1" x14ac:dyDescent="0.25">
      <c r="D608" s="3"/>
      <c r="E608" s="3"/>
      <c r="F608" s="3"/>
    </row>
    <row r="609" spans="4:6" ht="12.75" customHeight="1" x14ac:dyDescent="0.25">
      <c r="D609" s="3"/>
      <c r="E609" s="3"/>
      <c r="F609" s="3"/>
    </row>
    <row r="610" spans="4:6" ht="12.75" customHeight="1" x14ac:dyDescent="0.25">
      <c r="D610" s="3"/>
      <c r="E610" s="3"/>
      <c r="F610" s="3"/>
    </row>
    <row r="611" spans="4:6" ht="12.75" customHeight="1" x14ac:dyDescent="0.25">
      <c r="D611" s="3"/>
      <c r="E611" s="3"/>
      <c r="F611" s="3"/>
    </row>
    <row r="612" spans="4:6" ht="12.75" customHeight="1" x14ac:dyDescent="0.25">
      <c r="D612" s="3"/>
      <c r="E612" s="3"/>
      <c r="F612" s="3"/>
    </row>
    <row r="613" spans="4:6" ht="12.75" customHeight="1" x14ac:dyDescent="0.25">
      <c r="D613" s="3"/>
      <c r="E613" s="3"/>
      <c r="F613" s="3"/>
    </row>
    <row r="614" spans="4:6" ht="12.75" customHeight="1" x14ac:dyDescent="0.25">
      <c r="D614" s="3"/>
      <c r="E614" s="3"/>
      <c r="F614" s="3"/>
    </row>
    <row r="615" spans="4:6" ht="12.75" customHeight="1" x14ac:dyDescent="0.25">
      <c r="D615" s="3"/>
      <c r="E615" s="3"/>
      <c r="F615" s="3"/>
    </row>
    <row r="616" spans="4:6" ht="12.75" customHeight="1" x14ac:dyDescent="0.25">
      <c r="D616" s="3"/>
      <c r="E616" s="3"/>
      <c r="F616" s="3"/>
    </row>
    <row r="617" spans="4:6" ht="12.75" customHeight="1" x14ac:dyDescent="0.25">
      <c r="D617" s="3"/>
      <c r="E617" s="3"/>
      <c r="F617" s="3"/>
    </row>
    <row r="618" spans="4:6" ht="12.75" customHeight="1" x14ac:dyDescent="0.25">
      <c r="D618" s="3"/>
      <c r="E618" s="3"/>
      <c r="F618" s="3"/>
    </row>
    <row r="619" spans="4:6" ht="12.75" customHeight="1" x14ac:dyDescent="0.25">
      <c r="D619" s="3"/>
      <c r="E619" s="3"/>
      <c r="F619" s="3"/>
    </row>
    <row r="620" spans="4:6" ht="12.75" customHeight="1" x14ac:dyDescent="0.25">
      <c r="D620" s="3"/>
      <c r="E620" s="3"/>
      <c r="F620" s="3"/>
    </row>
    <row r="621" spans="4:6" ht="12.75" customHeight="1" x14ac:dyDescent="0.25">
      <c r="D621" s="3"/>
      <c r="E621" s="3"/>
      <c r="F621" s="3"/>
    </row>
    <row r="622" spans="4:6" ht="12.75" customHeight="1" x14ac:dyDescent="0.25">
      <c r="D622" s="3"/>
      <c r="E622" s="3"/>
      <c r="F622" s="3"/>
    </row>
    <row r="623" spans="4:6" ht="12.75" customHeight="1" x14ac:dyDescent="0.25">
      <c r="D623" s="3"/>
      <c r="E623" s="3"/>
      <c r="F623" s="3"/>
    </row>
    <row r="624" spans="4:6" ht="12.75" customHeight="1" x14ac:dyDescent="0.25">
      <c r="D624" s="3"/>
      <c r="E624" s="3"/>
      <c r="F624" s="3"/>
    </row>
    <row r="625" spans="4:6" ht="12.75" customHeight="1" x14ac:dyDescent="0.25">
      <c r="D625" s="3"/>
      <c r="E625" s="3"/>
      <c r="F625" s="3"/>
    </row>
    <row r="626" spans="4:6" ht="12.75" customHeight="1" x14ac:dyDescent="0.25">
      <c r="D626" s="3"/>
      <c r="E626" s="3"/>
      <c r="F626" s="3"/>
    </row>
    <row r="627" spans="4:6" ht="12.75" customHeight="1" x14ac:dyDescent="0.25">
      <c r="D627" s="3"/>
      <c r="E627" s="3"/>
      <c r="F627" s="3"/>
    </row>
    <row r="628" spans="4:6" ht="12.75" customHeight="1" x14ac:dyDescent="0.25">
      <c r="D628" s="3"/>
      <c r="E628" s="3"/>
      <c r="F628" s="3"/>
    </row>
    <row r="629" spans="4:6" ht="12.75" customHeight="1" x14ac:dyDescent="0.25">
      <c r="D629" s="3"/>
      <c r="E629" s="3"/>
      <c r="F629" s="3"/>
    </row>
    <row r="630" spans="4:6" ht="12.75" customHeight="1" x14ac:dyDescent="0.25">
      <c r="D630" s="3"/>
      <c r="E630" s="3"/>
      <c r="F630" s="3"/>
    </row>
    <row r="631" spans="4:6" ht="12.75" customHeight="1" x14ac:dyDescent="0.25">
      <c r="D631" s="3"/>
      <c r="E631" s="3"/>
      <c r="F631" s="3"/>
    </row>
    <row r="632" spans="4:6" ht="12.75" customHeight="1" x14ac:dyDescent="0.25">
      <c r="D632" s="3"/>
      <c r="E632" s="3"/>
      <c r="F632" s="3"/>
    </row>
    <row r="633" spans="4:6" ht="12.75" customHeight="1" x14ac:dyDescent="0.25">
      <c r="D633" s="3"/>
      <c r="E633" s="3"/>
      <c r="F633" s="3"/>
    </row>
    <row r="634" spans="4:6" ht="12.75" customHeight="1" x14ac:dyDescent="0.25">
      <c r="D634" s="3"/>
      <c r="E634" s="3"/>
      <c r="F634" s="3"/>
    </row>
    <row r="635" spans="4:6" ht="12.75" customHeight="1" x14ac:dyDescent="0.25">
      <c r="D635" s="3"/>
      <c r="E635" s="3"/>
      <c r="F635" s="3"/>
    </row>
    <row r="636" spans="4:6" ht="12.75" customHeight="1" x14ac:dyDescent="0.25">
      <c r="D636" s="3"/>
      <c r="E636" s="3"/>
      <c r="F636" s="3"/>
    </row>
    <row r="637" spans="4:6" ht="12.75" customHeight="1" x14ac:dyDescent="0.25">
      <c r="D637" s="3"/>
      <c r="E637" s="3"/>
      <c r="F637" s="3"/>
    </row>
    <row r="638" spans="4:6" ht="12.75" customHeight="1" x14ac:dyDescent="0.25">
      <c r="D638" s="3"/>
      <c r="E638" s="3"/>
      <c r="F638" s="3"/>
    </row>
    <row r="639" spans="4:6" ht="12.75" customHeight="1" x14ac:dyDescent="0.25">
      <c r="D639" s="3"/>
      <c r="E639" s="3"/>
      <c r="F639" s="3"/>
    </row>
    <row r="640" spans="4:6" ht="12.75" customHeight="1" x14ac:dyDescent="0.25">
      <c r="D640" s="3"/>
      <c r="E640" s="3"/>
      <c r="F640" s="3"/>
    </row>
    <row r="641" spans="4:6" ht="12.75" customHeight="1" x14ac:dyDescent="0.25">
      <c r="D641" s="3"/>
      <c r="E641" s="3"/>
      <c r="F641" s="3"/>
    </row>
    <row r="642" spans="4:6" ht="12.75" customHeight="1" x14ac:dyDescent="0.25">
      <c r="D642" s="3"/>
      <c r="E642" s="3"/>
      <c r="F642" s="3"/>
    </row>
    <row r="643" spans="4:6" ht="12.75" customHeight="1" x14ac:dyDescent="0.25">
      <c r="D643" s="3"/>
      <c r="E643" s="3"/>
      <c r="F643" s="3"/>
    </row>
    <row r="644" spans="4:6" ht="12.75" customHeight="1" x14ac:dyDescent="0.25">
      <c r="D644" s="3"/>
      <c r="E644" s="3"/>
      <c r="F644" s="3"/>
    </row>
    <row r="645" spans="4:6" ht="12.75" customHeight="1" x14ac:dyDescent="0.25">
      <c r="D645" s="3"/>
      <c r="E645" s="3"/>
      <c r="F645" s="3"/>
    </row>
    <row r="646" spans="4:6" ht="12.75" customHeight="1" x14ac:dyDescent="0.25">
      <c r="D646" s="3"/>
      <c r="E646" s="3"/>
      <c r="F646" s="3"/>
    </row>
    <row r="647" spans="4:6" ht="12.75" customHeight="1" x14ac:dyDescent="0.25">
      <c r="D647" s="3"/>
      <c r="E647" s="3"/>
      <c r="F647" s="3"/>
    </row>
    <row r="648" spans="4:6" ht="12.75" customHeight="1" x14ac:dyDescent="0.25">
      <c r="D648" s="3"/>
      <c r="E648" s="3"/>
      <c r="F648" s="3"/>
    </row>
    <row r="649" spans="4:6" ht="12.75" customHeight="1" x14ac:dyDescent="0.25">
      <c r="D649" s="3"/>
      <c r="E649" s="3"/>
      <c r="F649" s="3"/>
    </row>
    <row r="650" spans="4:6" ht="12.75" customHeight="1" x14ac:dyDescent="0.25">
      <c r="D650" s="3"/>
      <c r="E650" s="3"/>
      <c r="F650" s="3"/>
    </row>
    <row r="651" spans="4:6" ht="12.75" customHeight="1" x14ac:dyDescent="0.25">
      <c r="D651" s="3"/>
      <c r="E651" s="3"/>
      <c r="F651" s="3"/>
    </row>
    <row r="652" spans="4:6" ht="12.75" customHeight="1" x14ac:dyDescent="0.25">
      <c r="D652" s="3"/>
      <c r="E652" s="3"/>
      <c r="F652" s="3"/>
    </row>
    <row r="653" spans="4:6" ht="12.75" customHeight="1" x14ac:dyDescent="0.25">
      <c r="D653" s="3"/>
      <c r="E653" s="3"/>
      <c r="F653" s="3"/>
    </row>
    <row r="654" spans="4:6" ht="12.75" customHeight="1" x14ac:dyDescent="0.25">
      <c r="D654" s="3"/>
      <c r="E654" s="3"/>
      <c r="F654" s="3"/>
    </row>
    <row r="655" spans="4:6" ht="12.75" customHeight="1" x14ac:dyDescent="0.25">
      <c r="D655" s="3"/>
      <c r="E655" s="3"/>
      <c r="F655" s="3"/>
    </row>
    <row r="656" spans="4:6" ht="12.75" customHeight="1" x14ac:dyDescent="0.25">
      <c r="D656" s="3"/>
      <c r="E656" s="3"/>
      <c r="F656" s="3"/>
    </row>
    <row r="657" spans="4:6" ht="12.75" customHeight="1" x14ac:dyDescent="0.25">
      <c r="D657" s="3"/>
      <c r="E657" s="3"/>
      <c r="F657" s="3"/>
    </row>
    <row r="658" spans="4:6" ht="12.75" customHeight="1" x14ac:dyDescent="0.25">
      <c r="D658" s="3"/>
      <c r="E658" s="3"/>
      <c r="F658" s="3"/>
    </row>
    <row r="659" spans="4:6" ht="12.75" customHeight="1" x14ac:dyDescent="0.25">
      <c r="D659" s="3"/>
      <c r="E659" s="3"/>
      <c r="F659" s="3"/>
    </row>
    <row r="660" spans="4:6" ht="12.75" customHeight="1" x14ac:dyDescent="0.25">
      <c r="D660" s="3"/>
      <c r="E660" s="3"/>
      <c r="F660" s="3"/>
    </row>
    <row r="661" spans="4:6" ht="12.75" customHeight="1" x14ac:dyDescent="0.25">
      <c r="D661" s="3"/>
      <c r="E661" s="3"/>
      <c r="F661" s="3"/>
    </row>
    <row r="662" spans="4:6" ht="12.75" customHeight="1" x14ac:dyDescent="0.25">
      <c r="D662" s="3"/>
      <c r="E662" s="3"/>
      <c r="F662" s="3"/>
    </row>
    <row r="663" spans="4:6" ht="12.75" customHeight="1" x14ac:dyDescent="0.25">
      <c r="D663" s="3"/>
      <c r="E663" s="3"/>
      <c r="F663" s="3"/>
    </row>
    <row r="664" spans="4:6" ht="12.75" customHeight="1" x14ac:dyDescent="0.25">
      <c r="D664" s="3"/>
      <c r="E664" s="3"/>
      <c r="F664" s="3"/>
    </row>
    <row r="665" spans="4:6" ht="12.75" customHeight="1" x14ac:dyDescent="0.25">
      <c r="D665" s="3"/>
      <c r="E665" s="3"/>
      <c r="F665" s="3"/>
    </row>
    <row r="666" spans="4:6" ht="12.75" customHeight="1" x14ac:dyDescent="0.25">
      <c r="D666" s="3"/>
      <c r="E666" s="3"/>
      <c r="F666" s="3"/>
    </row>
    <row r="667" spans="4:6" ht="12.75" customHeight="1" x14ac:dyDescent="0.25">
      <c r="D667" s="3"/>
      <c r="E667" s="3"/>
      <c r="F667" s="3"/>
    </row>
    <row r="668" spans="4:6" ht="12.75" customHeight="1" x14ac:dyDescent="0.25">
      <c r="D668" s="3"/>
      <c r="E668" s="3"/>
      <c r="F668" s="3"/>
    </row>
    <row r="669" spans="4:6" ht="12.75" customHeight="1" x14ac:dyDescent="0.25">
      <c r="D669" s="3"/>
      <c r="E669" s="3"/>
      <c r="F669" s="3"/>
    </row>
    <row r="670" spans="4:6" ht="12.75" customHeight="1" x14ac:dyDescent="0.25">
      <c r="D670" s="3"/>
      <c r="E670" s="3"/>
      <c r="F670" s="3"/>
    </row>
    <row r="671" spans="4:6" ht="12.75" customHeight="1" x14ac:dyDescent="0.25">
      <c r="D671" s="3"/>
      <c r="E671" s="3"/>
      <c r="F671" s="3"/>
    </row>
    <row r="672" spans="4:6" ht="12.75" customHeight="1" x14ac:dyDescent="0.25">
      <c r="D672" s="3"/>
      <c r="E672" s="3"/>
      <c r="F672" s="3"/>
    </row>
    <row r="673" spans="4:6" ht="12.75" customHeight="1" x14ac:dyDescent="0.25">
      <c r="D673" s="3"/>
      <c r="E673" s="3"/>
      <c r="F673" s="3"/>
    </row>
    <row r="674" spans="4:6" ht="12.75" customHeight="1" x14ac:dyDescent="0.25">
      <c r="D674" s="3"/>
      <c r="E674" s="3"/>
      <c r="F674" s="3"/>
    </row>
    <row r="675" spans="4:6" ht="12.75" customHeight="1" x14ac:dyDescent="0.25">
      <c r="D675" s="3"/>
      <c r="E675" s="3"/>
      <c r="F675" s="3"/>
    </row>
    <row r="676" spans="4:6" ht="12.75" customHeight="1" x14ac:dyDescent="0.25">
      <c r="D676" s="3"/>
      <c r="E676" s="3"/>
      <c r="F676" s="3"/>
    </row>
    <row r="677" spans="4:6" ht="12.75" customHeight="1" x14ac:dyDescent="0.25">
      <c r="D677" s="3"/>
      <c r="E677" s="3"/>
      <c r="F677" s="3"/>
    </row>
    <row r="678" spans="4:6" ht="12.75" customHeight="1" x14ac:dyDescent="0.25">
      <c r="D678" s="3"/>
      <c r="E678" s="3"/>
      <c r="F678" s="3"/>
    </row>
    <row r="679" spans="4:6" ht="12.75" customHeight="1" x14ac:dyDescent="0.25">
      <c r="D679" s="3"/>
      <c r="E679" s="3"/>
      <c r="F679" s="3"/>
    </row>
    <row r="680" spans="4:6" ht="12.75" customHeight="1" x14ac:dyDescent="0.25">
      <c r="D680" s="3"/>
      <c r="E680" s="3"/>
      <c r="F680" s="3"/>
    </row>
    <row r="681" spans="4:6" ht="12.75" customHeight="1" x14ac:dyDescent="0.25">
      <c r="D681" s="3"/>
      <c r="E681" s="3"/>
      <c r="F681" s="3"/>
    </row>
    <row r="682" spans="4:6" ht="12.75" customHeight="1" x14ac:dyDescent="0.25">
      <c r="D682" s="3"/>
      <c r="E682" s="3"/>
      <c r="F682" s="3"/>
    </row>
    <row r="683" spans="4:6" ht="12.75" customHeight="1" x14ac:dyDescent="0.25">
      <c r="D683" s="3"/>
      <c r="E683" s="3"/>
      <c r="F683" s="3"/>
    </row>
    <row r="684" spans="4:6" ht="12.75" customHeight="1" x14ac:dyDescent="0.25">
      <c r="D684" s="3"/>
      <c r="E684" s="3"/>
      <c r="F684" s="3"/>
    </row>
    <row r="685" spans="4:6" ht="12.75" customHeight="1" x14ac:dyDescent="0.25">
      <c r="D685" s="3"/>
      <c r="E685" s="3"/>
      <c r="F685" s="3"/>
    </row>
    <row r="686" spans="4:6" ht="12.75" customHeight="1" x14ac:dyDescent="0.25">
      <c r="D686" s="3"/>
      <c r="E686" s="3"/>
      <c r="F686" s="3"/>
    </row>
    <row r="687" spans="4:6" ht="12.75" customHeight="1" x14ac:dyDescent="0.25">
      <c r="D687" s="3"/>
      <c r="E687" s="3"/>
      <c r="F687" s="3"/>
    </row>
    <row r="688" spans="4:6" ht="12.75" customHeight="1" x14ac:dyDescent="0.25">
      <c r="D688" s="3"/>
      <c r="E688" s="3"/>
      <c r="F688" s="3"/>
    </row>
    <row r="689" spans="4:6" ht="12.75" customHeight="1" x14ac:dyDescent="0.25">
      <c r="D689" s="3"/>
      <c r="E689" s="3"/>
      <c r="F689" s="3"/>
    </row>
    <row r="690" spans="4:6" ht="12.75" customHeight="1" x14ac:dyDescent="0.25">
      <c r="D690" s="3"/>
      <c r="E690" s="3"/>
      <c r="F690" s="3"/>
    </row>
    <row r="691" spans="4:6" ht="12.75" customHeight="1" x14ac:dyDescent="0.25">
      <c r="D691" s="3"/>
      <c r="E691" s="3"/>
      <c r="F691" s="3"/>
    </row>
    <row r="692" spans="4:6" ht="12.75" customHeight="1" x14ac:dyDescent="0.25">
      <c r="D692" s="3"/>
      <c r="E692" s="3"/>
      <c r="F692" s="3"/>
    </row>
    <row r="693" spans="4:6" ht="12.75" customHeight="1" x14ac:dyDescent="0.25">
      <c r="D693" s="3"/>
      <c r="E693" s="3"/>
      <c r="F693" s="3"/>
    </row>
    <row r="694" spans="4:6" ht="12.75" customHeight="1" x14ac:dyDescent="0.25">
      <c r="D694" s="3"/>
      <c r="E694" s="3"/>
      <c r="F694" s="3"/>
    </row>
    <row r="695" spans="4:6" ht="12.75" customHeight="1" x14ac:dyDescent="0.25">
      <c r="D695" s="3"/>
      <c r="E695" s="3"/>
      <c r="F695" s="3"/>
    </row>
    <row r="696" spans="4:6" ht="12.75" customHeight="1" x14ac:dyDescent="0.25">
      <c r="D696" s="3"/>
      <c r="E696" s="3"/>
      <c r="F696" s="3"/>
    </row>
    <row r="697" spans="4:6" ht="12.75" customHeight="1" x14ac:dyDescent="0.25">
      <c r="D697" s="3"/>
      <c r="E697" s="3"/>
      <c r="F697" s="3"/>
    </row>
    <row r="698" spans="4:6" ht="12.75" customHeight="1" x14ac:dyDescent="0.25">
      <c r="D698" s="3"/>
      <c r="E698" s="3"/>
      <c r="F698" s="3"/>
    </row>
    <row r="699" spans="4:6" ht="12.75" customHeight="1" x14ac:dyDescent="0.25">
      <c r="D699" s="3"/>
      <c r="E699" s="3"/>
      <c r="F699" s="3"/>
    </row>
    <row r="700" spans="4:6" ht="12.75" customHeight="1" x14ac:dyDescent="0.25">
      <c r="D700" s="3"/>
      <c r="E700" s="3"/>
      <c r="F700" s="3"/>
    </row>
    <row r="701" spans="4:6" ht="12.75" customHeight="1" x14ac:dyDescent="0.25">
      <c r="D701" s="3"/>
      <c r="E701" s="3"/>
      <c r="F701" s="3"/>
    </row>
    <row r="702" spans="4:6" ht="12.75" customHeight="1" x14ac:dyDescent="0.25">
      <c r="D702" s="3"/>
      <c r="E702" s="3"/>
      <c r="F702" s="3"/>
    </row>
    <row r="703" spans="4:6" ht="12.75" customHeight="1" x14ac:dyDescent="0.25">
      <c r="D703" s="3"/>
      <c r="E703" s="3"/>
      <c r="F703" s="3"/>
    </row>
    <row r="704" spans="4:6" ht="12.75" customHeight="1" x14ac:dyDescent="0.25">
      <c r="D704" s="3"/>
      <c r="E704" s="3"/>
      <c r="F704" s="3"/>
    </row>
    <row r="705" spans="4:6" ht="12.75" customHeight="1" x14ac:dyDescent="0.25">
      <c r="D705" s="3"/>
      <c r="E705" s="3"/>
      <c r="F705" s="3"/>
    </row>
    <row r="706" spans="4:6" ht="12.75" customHeight="1" x14ac:dyDescent="0.25">
      <c r="D706" s="3"/>
      <c r="E706" s="3"/>
      <c r="F706" s="3"/>
    </row>
    <row r="707" spans="4:6" ht="12.75" customHeight="1" x14ac:dyDescent="0.25">
      <c r="D707" s="3"/>
      <c r="E707" s="3"/>
      <c r="F707" s="3"/>
    </row>
    <row r="708" spans="4:6" ht="12.75" customHeight="1" x14ac:dyDescent="0.25">
      <c r="D708" s="3"/>
      <c r="E708" s="3"/>
      <c r="F708" s="3"/>
    </row>
    <row r="709" spans="4:6" ht="12.75" customHeight="1" x14ac:dyDescent="0.25">
      <c r="D709" s="3"/>
      <c r="E709" s="3"/>
      <c r="F709" s="3"/>
    </row>
    <row r="710" spans="4:6" ht="12.75" customHeight="1" x14ac:dyDescent="0.25">
      <c r="D710" s="3"/>
      <c r="E710" s="3"/>
      <c r="F710" s="3"/>
    </row>
    <row r="711" spans="4:6" ht="12.75" customHeight="1" x14ac:dyDescent="0.25">
      <c r="D711" s="3"/>
      <c r="E711" s="3"/>
      <c r="F711" s="3"/>
    </row>
    <row r="712" spans="4:6" ht="12.75" customHeight="1" x14ac:dyDescent="0.25">
      <c r="D712" s="3"/>
      <c r="E712" s="3"/>
      <c r="F712" s="3"/>
    </row>
    <row r="713" spans="4:6" ht="12.75" customHeight="1" x14ac:dyDescent="0.25">
      <c r="D713" s="3"/>
      <c r="E713" s="3"/>
      <c r="F713" s="3"/>
    </row>
    <row r="714" spans="4:6" ht="12.75" customHeight="1" x14ac:dyDescent="0.25">
      <c r="D714" s="3"/>
      <c r="E714" s="3"/>
      <c r="F714" s="3"/>
    </row>
    <row r="715" spans="4:6" ht="12.75" customHeight="1" x14ac:dyDescent="0.25">
      <c r="D715" s="3"/>
      <c r="E715" s="3"/>
      <c r="F715" s="3"/>
    </row>
    <row r="716" spans="4:6" ht="12.75" customHeight="1" x14ac:dyDescent="0.25">
      <c r="D716" s="3"/>
      <c r="E716" s="3"/>
      <c r="F716" s="3"/>
    </row>
    <row r="717" spans="4:6" ht="12.75" customHeight="1" x14ac:dyDescent="0.25">
      <c r="D717" s="3"/>
      <c r="E717" s="3"/>
      <c r="F717" s="3"/>
    </row>
    <row r="718" spans="4:6" ht="12.75" customHeight="1" x14ac:dyDescent="0.25">
      <c r="D718" s="3"/>
      <c r="E718" s="3"/>
      <c r="F718" s="3"/>
    </row>
    <row r="719" spans="4:6" ht="12.75" customHeight="1" x14ac:dyDescent="0.25">
      <c r="D719" s="3"/>
      <c r="E719" s="3"/>
      <c r="F719" s="3"/>
    </row>
    <row r="720" spans="4:6" ht="12.75" customHeight="1" x14ac:dyDescent="0.25">
      <c r="D720" s="3"/>
      <c r="E720" s="3"/>
      <c r="F720" s="3"/>
    </row>
    <row r="721" spans="4:6" ht="12.75" customHeight="1" x14ac:dyDescent="0.25">
      <c r="D721" s="3"/>
      <c r="E721" s="3"/>
      <c r="F721" s="3"/>
    </row>
    <row r="722" spans="4:6" ht="12.75" customHeight="1" x14ac:dyDescent="0.25">
      <c r="D722" s="3"/>
      <c r="E722" s="3"/>
      <c r="F722" s="3"/>
    </row>
    <row r="723" spans="4:6" ht="12.75" customHeight="1" x14ac:dyDescent="0.25">
      <c r="D723" s="3"/>
      <c r="E723" s="3"/>
      <c r="F723" s="3"/>
    </row>
    <row r="724" spans="4:6" ht="12.75" customHeight="1" x14ac:dyDescent="0.25">
      <c r="D724" s="3"/>
      <c r="E724" s="3"/>
      <c r="F724" s="3"/>
    </row>
    <row r="725" spans="4:6" ht="12.75" customHeight="1" x14ac:dyDescent="0.25">
      <c r="D725" s="3"/>
      <c r="E725" s="3"/>
      <c r="F725" s="3"/>
    </row>
    <row r="726" spans="4:6" ht="12.75" customHeight="1" x14ac:dyDescent="0.25">
      <c r="D726" s="3"/>
      <c r="E726" s="3"/>
      <c r="F726" s="3"/>
    </row>
    <row r="727" spans="4:6" ht="12.75" customHeight="1" x14ac:dyDescent="0.25">
      <c r="D727" s="3"/>
      <c r="E727" s="3"/>
      <c r="F727" s="3"/>
    </row>
    <row r="728" spans="4:6" ht="12.75" customHeight="1" x14ac:dyDescent="0.25">
      <c r="D728" s="3"/>
      <c r="E728" s="3"/>
      <c r="F728" s="3"/>
    </row>
    <row r="729" spans="4:6" ht="12.75" customHeight="1" x14ac:dyDescent="0.25">
      <c r="D729" s="3"/>
      <c r="E729" s="3"/>
      <c r="F729" s="3"/>
    </row>
    <row r="730" spans="4:6" ht="12.75" customHeight="1" x14ac:dyDescent="0.25">
      <c r="D730" s="3"/>
      <c r="E730" s="3"/>
      <c r="F730" s="3"/>
    </row>
    <row r="731" spans="4:6" ht="12.75" customHeight="1" x14ac:dyDescent="0.25">
      <c r="D731" s="3"/>
      <c r="E731" s="3"/>
      <c r="F731" s="3"/>
    </row>
    <row r="732" spans="4:6" ht="12.75" customHeight="1" x14ac:dyDescent="0.25">
      <c r="D732" s="3"/>
      <c r="E732" s="3"/>
      <c r="F732" s="3"/>
    </row>
    <row r="733" spans="4:6" ht="12.75" customHeight="1" x14ac:dyDescent="0.25">
      <c r="D733" s="3"/>
      <c r="E733" s="3"/>
      <c r="F733" s="3"/>
    </row>
    <row r="734" spans="4:6" ht="12.75" customHeight="1" x14ac:dyDescent="0.25">
      <c r="D734" s="3"/>
      <c r="E734" s="3"/>
      <c r="F734" s="3"/>
    </row>
    <row r="735" spans="4:6" ht="12.75" customHeight="1" x14ac:dyDescent="0.25">
      <c r="D735" s="3"/>
      <c r="E735" s="3"/>
      <c r="F735" s="3"/>
    </row>
    <row r="736" spans="4:6" ht="12.75" customHeight="1" x14ac:dyDescent="0.25">
      <c r="D736" s="3"/>
      <c r="E736" s="3"/>
      <c r="F736" s="3"/>
    </row>
    <row r="737" spans="4:6" ht="12.75" customHeight="1" x14ac:dyDescent="0.25">
      <c r="D737" s="3"/>
      <c r="E737" s="3"/>
      <c r="F737" s="3"/>
    </row>
    <row r="738" spans="4:6" ht="12.75" customHeight="1" x14ac:dyDescent="0.25">
      <c r="D738" s="3"/>
      <c r="E738" s="3"/>
      <c r="F738" s="3"/>
    </row>
    <row r="739" spans="4:6" ht="12.75" customHeight="1" x14ac:dyDescent="0.25">
      <c r="D739" s="3"/>
      <c r="E739" s="3"/>
      <c r="F739" s="3"/>
    </row>
    <row r="740" spans="4:6" ht="12.75" customHeight="1" x14ac:dyDescent="0.25">
      <c r="D740" s="3"/>
      <c r="E740" s="3"/>
      <c r="F740" s="3"/>
    </row>
    <row r="741" spans="4:6" ht="12.75" customHeight="1" x14ac:dyDescent="0.25">
      <c r="D741" s="3"/>
      <c r="E741" s="3"/>
      <c r="F741" s="3"/>
    </row>
    <row r="742" spans="4:6" ht="12.75" customHeight="1" x14ac:dyDescent="0.25">
      <c r="D742" s="3"/>
      <c r="E742" s="3"/>
      <c r="F742" s="3"/>
    </row>
    <row r="743" spans="4:6" ht="12.75" customHeight="1" x14ac:dyDescent="0.25">
      <c r="D743" s="3"/>
      <c r="E743" s="3"/>
      <c r="F743" s="3"/>
    </row>
    <row r="744" spans="4:6" ht="12.75" customHeight="1" x14ac:dyDescent="0.25">
      <c r="D744" s="3"/>
      <c r="E744" s="3"/>
      <c r="F744" s="3"/>
    </row>
    <row r="745" spans="4:6" ht="12.75" customHeight="1" x14ac:dyDescent="0.25">
      <c r="D745" s="3"/>
      <c r="E745" s="3"/>
      <c r="F745" s="3"/>
    </row>
    <row r="746" spans="4:6" ht="12.75" customHeight="1" x14ac:dyDescent="0.25">
      <c r="D746" s="3"/>
      <c r="E746" s="3"/>
      <c r="F746" s="3"/>
    </row>
    <row r="747" spans="4:6" ht="12.75" customHeight="1" x14ac:dyDescent="0.25">
      <c r="D747" s="3"/>
      <c r="E747" s="3"/>
      <c r="F747" s="3"/>
    </row>
    <row r="748" spans="4:6" ht="12.75" customHeight="1" x14ac:dyDescent="0.25">
      <c r="D748" s="3"/>
      <c r="E748" s="3"/>
      <c r="F748" s="3"/>
    </row>
    <row r="749" spans="4:6" ht="12.75" customHeight="1" x14ac:dyDescent="0.25">
      <c r="D749" s="3"/>
      <c r="E749" s="3"/>
      <c r="F749" s="3"/>
    </row>
    <row r="750" spans="4:6" ht="12.75" customHeight="1" x14ac:dyDescent="0.25">
      <c r="D750" s="3"/>
      <c r="E750" s="3"/>
      <c r="F750" s="3"/>
    </row>
    <row r="751" spans="4:6" ht="12.75" customHeight="1" x14ac:dyDescent="0.25">
      <c r="D751" s="3"/>
      <c r="E751" s="3"/>
      <c r="F751" s="3"/>
    </row>
    <row r="752" spans="4:6" ht="12.75" customHeight="1" x14ac:dyDescent="0.25">
      <c r="D752" s="3"/>
      <c r="E752" s="3"/>
      <c r="F752" s="3"/>
    </row>
    <row r="753" spans="4:6" ht="12.75" customHeight="1" x14ac:dyDescent="0.25">
      <c r="D753" s="3"/>
      <c r="E753" s="3"/>
      <c r="F753" s="3"/>
    </row>
    <row r="754" spans="4:6" ht="12.75" customHeight="1" x14ac:dyDescent="0.25">
      <c r="D754" s="3"/>
      <c r="E754" s="3"/>
      <c r="F754" s="3"/>
    </row>
    <row r="755" spans="4:6" ht="12.75" customHeight="1" x14ac:dyDescent="0.25">
      <c r="D755" s="3"/>
      <c r="E755" s="3"/>
      <c r="F755" s="3"/>
    </row>
    <row r="756" spans="4:6" ht="12.75" customHeight="1" x14ac:dyDescent="0.25">
      <c r="D756" s="3"/>
      <c r="E756" s="3"/>
      <c r="F756" s="3"/>
    </row>
    <row r="757" spans="4:6" ht="12.75" customHeight="1" x14ac:dyDescent="0.25">
      <c r="D757" s="3"/>
      <c r="E757" s="3"/>
      <c r="F757" s="3"/>
    </row>
    <row r="758" spans="4:6" ht="12.75" customHeight="1" x14ac:dyDescent="0.25">
      <c r="D758" s="3"/>
      <c r="E758" s="3"/>
      <c r="F758" s="3"/>
    </row>
    <row r="759" spans="4:6" ht="12.75" customHeight="1" x14ac:dyDescent="0.25">
      <c r="D759" s="3"/>
      <c r="E759" s="3"/>
      <c r="F759" s="3"/>
    </row>
    <row r="760" spans="4:6" ht="12.75" customHeight="1" x14ac:dyDescent="0.25">
      <c r="D760" s="3"/>
      <c r="E760" s="3"/>
      <c r="F760" s="3"/>
    </row>
    <row r="761" spans="4:6" ht="12.75" customHeight="1" x14ac:dyDescent="0.25">
      <c r="D761" s="3"/>
      <c r="E761" s="3"/>
      <c r="F761" s="3"/>
    </row>
    <row r="762" spans="4:6" ht="12.75" customHeight="1" x14ac:dyDescent="0.25">
      <c r="D762" s="3"/>
      <c r="E762" s="3"/>
      <c r="F762" s="3"/>
    </row>
    <row r="763" spans="4:6" ht="12.75" customHeight="1" x14ac:dyDescent="0.25">
      <c r="D763" s="3"/>
      <c r="E763" s="3"/>
      <c r="F763" s="3"/>
    </row>
    <row r="764" spans="4:6" ht="12.75" customHeight="1" x14ac:dyDescent="0.25">
      <c r="D764" s="3"/>
      <c r="E764" s="3"/>
      <c r="F764" s="3"/>
    </row>
    <row r="765" spans="4:6" ht="12.75" customHeight="1" x14ac:dyDescent="0.25">
      <c r="D765" s="3"/>
      <c r="E765" s="3"/>
      <c r="F765" s="3"/>
    </row>
    <row r="766" spans="4:6" ht="12.75" customHeight="1" x14ac:dyDescent="0.25">
      <c r="D766" s="3"/>
      <c r="E766" s="3"/>
      <c r="F766" s="3"/>
    </row>
    <row r="767" spans="4:6" ht="12.75" customHeight="1" x14ac:dyDescent="0.25">
      <c r="D767" s="3"/>
      <c r="E767" s="3"/>
      <c r="F767" s="3"/>
    </row>
    <row r="768" spans="4:6" ht="12.75" customHeight="1" x14ac:dyDescent="0.25">
      <c r="D768" s="3"/>
      <c r="E768" s="3"/>
      <c r="F768" s="3"/>
    </row>
    <row r="769" spans="4:6" ht="12.75" customHeight="1" x14ac:dyDescent="0.25">
      <c r="D769" s="3"/>
      <c r="E769" s="3"/>
      <c r="F769" s="3"/>
    </row>
    <row r="770" spans="4:6" ht="12.75" customHeight="1" x14ac:dyDescent="0.25">
      <c r="D770" s="3"/>
      <c r="E770" s="3"/>
      <c r="F770" s="3"/>
    </row>
    <row r="771" spans="4:6" ht="12.75" customHeight="1" x14ac:dyDescent="0.25">
      <c r="D771" s="3"/>
      <c r="E771" s="3"/>
      <c r="F771" s="3"/>
    </row>
    <row r="772" spans="4:6" ht="12.75" customHeight="1" x14ac:dyDescent="0.25">
      <c r="D772" s="3"/>
      <c r="E772" s="3"/>
      <c r="F772" s="3"/>
    </row>
    <row r="773" spans="4:6" ht="12.75" customHeight="1" x14ac:dyDescent="0.25">
      <c r="D773" s="3"/>
      <c r="E773" s="3"/>
      <c r="F773" s="3"/>
    </row>
    <row r="774" spans="4:6" ht="12.75" customHeight="1" x14ac:dyDescent="0.25">
      <c r="D774" s="3"/>
      <c r="E774" s="3"/>
      <c r="F774" s="3"/>
    </row>
    <row r="775" spans="4:6" ht="12.75" customHeight="1" x14ac:dyDescent="0.25">
      <c r="D775" s="3"/>
      <c r="E775" s="3"/>
      <c r="F775" s="3"/>
    </row>
    <row r="776" spans="4:6" ht="12.75" customHeight="1" x14ac:dyDescent="0.25">
      <c r="D776" s="3"/>
      <c r="E776" s="3"/>
      <c r="F776" s="3"/>
    </row>
    <row r="777" spans="4:6" ht="12.75" customHeight="1" x14ac:dyDescent="0.25">
      <c r="D777" s="3"/>
      <c r="E777" s="3"/>
      <c r="F777" s="3"/>
    </row>
    <row r="778" spans="4:6" ht="12.75" customHeight="1" x14ac:dyDescent="0.25">
      <c r="D778" s="3"/>
      <c r="E778" s="3"/>
      <c r="F778" s="3"/>
    </row>
    <row r="779" spans="4:6" ht="12.75" customHeight="1" x14ac:dyDescent="0.25">
      <c r="D779" s="3"/>
      <c r="E779" s="3"/>
      <c r="F779" s="3"/>
    </row>
    <row r="780" spans="4:6" ht="12.75" customHeight="1" x14ac:dyDescent="0.25">
      <c r="D780" s="3"/>
      <c r="E780" s="3"/>
      <c r="F780" s="3"/>
    </row>
    <row r="781" spans="4:6" ht="12.75" customHeight="1" x14ac:dyDescent="0.25">
      <c r="D781" s="3"/>
      <c r="E781" s="3"/>
      <c r="F781" s="3"/>
    </row>
    <row r="782" spans="4:6" ht="12.75" customHeight="1" x14ac:dyDescent="0.25">
      <c r="D782" s="3"/>
      <c r="E782" s="3"/>
      <c r="F782" s="3"/>
    </row>
    <row r="783" spans="4:6" ht="12.75" customHeight="1" x14ac:dyDescent="0.25">
      <c r="D783" s="3"/>
      <c r="E783" s="3"/>
      <c r="F783" s="3"/>
    </row>
    <row r="784" spans="4:6" ht="12.75" customHeight="1" x14ac:dyDescent="0.25">
      <c r="D784" s="3"/>
      <c r="E784" s="3"/>
      <c r="F784" s="3"/>
    </row>
    <row r="785" spans="4:6" ht="12.75" customHeight="1" x14ac:dyDescent="0.25">
      <c r="D785" s="3"/>
      <c r="E785" s="3"/>
      <c r="F785" s="3"/>
    </row>
    <row r="786" spans="4:6" ht="12.75" customHeight="1" x14ac:dyDescent="0.25">
      <c r="D786" s="3"/>
      <c r="E786" s="3"/>
      <c r="F786" s="3"/>
    </row>
    <row r="787" spans="4:6" ht="12.75" customHeight="1" x14ac:dyDescent="0.25">
      <c r="D787" s="3"/>
      <c r="E787" s="3"/>
      <c r="F787" s="3"/>
    </row>
    <row r="788" spans="4:6" ht="12.75" customHeight="1" x14ac:dyDescent="0.25">
      <c r="D788" s="3"/>
      <c r="E788" s="3"/>
      <c r="F788" s="3"/>
    </row>
    <row r="789" spans="4:6" ht="12.75" customHeight="1" x14ac:dyDescent="0.25">
      <c r="D789" s="3"/>
      <c r="E789" s="3"/>
      <c r="F789" s="3"/>
    </row>
    <row r="790" spans="4:6" ht="12.75" customHeight="1" x14ac:dyDescent="0.25">
      <c r="D790" s="3"/>
      <c r="E790" s="3"/>
      <c r="F790" s="3"/>
    </row>
    <row r="791" spans="4:6" ht="12.75" customHeight="1" x14ac:dyDescent="0.25">
      <c r="D791" s="3"/>
      <c r="E791" s="3"/>
      <c r="F791" s="3"/>
    </row>
    <row r="792" spans="4:6" ht="12.75" customHeight="1" x14ac:dyDescent="0.25">
      <c r="D792" s="3"/>
      <c r="E792" s="3"/>
      <c r="F792" s="3"/>
    </row>
    <row r="793" spans="4:6" ht="12.75" customHeight="1" x14ac:dyDescent="0.25">
      <c r="D793" s="3"/>
      <c r="E793" s="3"/>
      <c r="F793" s="3"/>
    </row>
    <row r="794" spans="4:6" ht="12.75" customHeight="1" x14ac:dyDescent="0.25">
      <c r="D794" s="3"/>
      <c r="E794" s="3"/>
      <c r="F794" s="3"/>
    </row>
    <row r="795" spans="4:6" ht="12.75" customHeight="1" x14ac:dyDescent="0.25">
      <c r="D795" s="3"/>
      <c r="E795" s="3"/>
      <c r="F795" s="3"/>
    </row>
    <row r="796" spans="4:6" ht="12.75" customHeight="1" x14ac:dyDescent="0.25">
      <c r="D796" s="3"/>
      <c r="E796" s="3"/>
      <c r="F796" s="3"/>
    </row>
    <row r="797" spans="4:6" ht="12.75" customHeight="1" x14ac:dyDescent="0.25">
      <c r="D797" s="3"/>
      <c r="E797" s="3"/>
      <c r="F797" s="3"/>
    </row>
    <row r="798" spans="4:6" ht="12.75" customHeight="1" x14ac:dyDescent="0.25">
      <c r="D798" s="3"/>
      <c r="E798" s="3"/>
      <c r="F798" s="3"/>
    </row>
    <row r="799" spans="4:6" ht="12.75" customHeight="1" x14ac:dyDescent="0.25">
      <c r="D799" s="3"/>
      <c r="E799" s="3"/>
      <c r="F799" s="3"/>
    </row>
    <row r="800" spans="4:6" ht="12.75" customHeight="1" x14ac:dyDescent="0.25">
      <c r="D800" s="3"/>
      <c r="E800" s="3"/>
      <c r="F800" s="3"/>
    </row>
    <row r="801" spans="4:6" ht="12.75" customHeight="1" x14ac:dyDescent="0.25">
      <c r="D801" s="3"/>
      <c r="E801" s="3"/>
      <c r="F801" s="3"/>
    </row>
    <row r="802" spans="4:6" ht="12.75" customHeight="1" x14ac:dyDescent="0.25">
      <c r="D802" s="3"/>
      <c r="E802" s="3"/>
      <c r="F802" s="3"/>
    </row>
    <row r="803" spans="4:6" ht="12.75" customHeight="1" x14ac:dyDescent="0.25">
      <c r="D803" s="3"/>
      <c r="E803" s="3"/>
      <c r="F803" s="3"/>
    </row>
    <row r="804" spans="4:6" ht="12.75" customHeight="1" x14ac:dyDescent="0.25">
      <c r="D804" s="3"/>
      <c r="E804" s="3"/>
      <c r="F804" s="3"/>
    </row>
    <row r="805" spans="4:6" ht="12.75" customHeight="1" x14ac:dyDescent="0.25">
      <c r="D805" s="3"/>
      <c r="E805" s="3"/>
      <c r="F805" s="3"/>
    </row>
    <row r="806" spans="4:6" ht="12.75" customHeight="1" x14ac:dyDescent="0.25">
      <c r="D806" s="3"/>
      <c r="E806" s="3"/>
      <c r="F806" s="3"/>
    </row>
    <row r="807" spans="4:6" ht="12.75" customHeight="1" x14ac:dyDescent="0.25">
      <c r="D807" s="3"/>
      <c r="E807" s="3"/>
      <c r="F807" s="3"/>
    </row>
    <row r="808" spans="4:6" ht="12.75" customHeight="1" x14ac:dyDescent="0.25">
      <c r="D808" s="3"/>
      <c r="E808" s="3"/>
      <c r="F808" s="3"/>
    </row>
    <row r="809" spans="4:6" ht="12.75" customHeight="1" x14ac:dyDescent="0.25">
      <c r="D809" s="3"/>
      <c r="E809" s="3"/>
      <c r="F809" s="3"/>
    </row>
    <row r="810" spans="4:6" ht="12.75" customHeight="1" x14ac:dyDescent="0.25">
      <c r="D810" s="3"/>
      <c r="E810" s="3"/>
      <c r="F810" s="3"/>
    </row>
    <row r="811" spans="4:6" ht="12.75" customHeight="1" x14ac:dyDescent="0.25">
      <c r="D811" s="3"/>
      <c r="E811" s="3"/>
      <c r="F811" s="3"/>
    </row>
    <row r="812" spans="4:6" ht="12.75" customHeight="1" x14ac:dyDescent="0.25">
      <c r="D812" s="3"/>
      <c r="E812" s="3"/>
      <c r="F812" s="3"/>
    </row>
    <row r="813" spans="4:6" ht="12.75" customHeight="1" x14ac:dyDescent="0.25">
      <c r="D813" s="3"/>
      <c r="E813" s="3"/>
      <c r="F813" s="3"/>
    </row>
    <row r="814" spans="4:6" ht="12.75" customHeight="1" x14ac:dyDescent="0.25">
      <c r="D814" s="3"/>
      <c r="E814" s="3"/>
      <c r="F814" s="3"/>
    </row>
    <row r="815" spans="4:6" ht="12.75" customHeight="1" x14ac:dyDescent="0.25">
      <c r="D815" s="3"/>
      <c r="E815" s="3"/>
      <c r="F815" s="3"/>
    </row>
    <row r="816" spans="4:6" ht="12.75" customHeight="1" x14ac:dyDescent="0.25">
      <c r="D816" s="3"/>
      <c r="E816" s="3"/>
      <c r="F816" s="3"/>
    </row>
    <row r="817" spans="4:6" ht="12.75" customHeight="1" x14ac:dyDescent="0.25">
      <c r="D817" s="3"/>
      <c r="E817" s="3"/>
      <c r="F817" s="3"/>
    </row>
    <row r="818" spans="4:6" ht="12.75" customHeight="1" x14ac:dyDescent="0.25">
      <c r="D818" s="3"/>
      <c r="E818" s="3"/>
      <c r="F818" s="3"/>
    </row>
    <row r="819" spans="4:6" ht="12.75" customHeight="1" x14ac:dyDescent="0.25">
      <c r="D819" s="3"/>
      <c r="E819" s="3"/>
      <c r="F819" s="3"/>
    </row>
    <row r="820" spans="4:6" ht="12.75" customHeight="1" x14ac:dyDescent="0.25">
      <c r="D820" s="3"/>
      <c r="E820" s="3"/>
      <c r="F820" s="3"/>
    </row>
    <row r="821" spans="4:6" ht="12.75" customHeight="1" x14ac:dyDescent="0.25">
      <c r="D821" s="3"/>
      <c r="E821" s="3"/>
      <c r="F821" s="3"/>
    </row>
    <row r="822" spans="4:6" ht="12.75" customHeight="1" x14ac:dyDescent="0.25">
      <c r="D822" s="3"/>
      <c r="E822" s="3"/>
      <c r="F822" s="3"/>
    </row>
    <row r="823" spans="4:6" ht="12.75" customHeight="1" x14ac:dyDescent="0.25">
      <c r="D823" s="3"/>
      <c r="E823" s="3"/>
      <c r="F823" s="3"/>
    </row>
    <row r="824" spans="4:6" ht="12.75" customHeight="1" x14ac:dyDescent="0.25">
      <c r="D824" s="3"/>
      <c r="E824" s="3"/>
      <c r="F824" s="3"/>
    </row>
    <row r="825" spans="4:6" ht="12.75" customHeight="1" x14ac:dyDescent="0.25">
      <c r="D825" s="3"/>
      <c r="E825" s="3"/>
      <c r="F825" s="3"/>
    </row>
    <row r="826" spans="4:6" ht="12.75" customHeight="1" x14ac:dyDescent="0.25">
      <c r="D826" s="3"/>
      <c r="E826" s="3"/>
      <c r="F826" s="3"/>
    </row>
    <row r="827" spans="4:6" ht="12.75" customHeight="1" x14ac:dyDescent="0.25">
      <c r="D827" s="3"/>
      <c r="E827" s="3"/>
      <c r="F827" s="3"/>
    </row>
    <row r="828" spans="4:6" ht="12.75" customHeight="1" x14ac:dyDescent="0.25">
      <c r="D828" s="3"/>
      <c r="E828" s="3"/>
      <c r="F828" s="3"/>
    </row>
    <row r="829" spans="4:6" ht="12.75" customHeight="1" x14ac:dyDescent="0.25">
      <c r="D829" s="3"/>
      <c r="E829" s="3"/>
      <c r="F829" s="3"/>
    </row>
    <row r="830" spans="4:6" ht="12.75" customHeight="1" x14ac:dyDescent="0.25">
      <c r="D830" s="3"/>
      <c r="E830" s="3"/>
      <c r="F830" s="3"/>
    </row>
    <row r="831" spans="4:6" ht="12.75" customHeight="1" x14ac:dyDescent="0.25">
      <c r="D831" s="3"/>
      <c r="E831" s="3"/>
      <c r="F831" s="3"/>
    </row>
    <row r="832" spans="4:6" ht="12.75" customHeight="1" x14ac:dyDescent="0.25">
      <c r="D832" s="3"/>
      <c r="E832" s="3"/>
      <c r="F832" s="3"/>
    </row>
    <row r="833" spans="4:6" ht="12.75" customHeight="1" x14ac:dyDescent="0.25">
      <c r="D833" s="3"/>
      <c r="E833" s="3"/>
      <c r="F833" s="3"/>
    </row>
    <row r="834" spans="4:6" ht="12.75" customHeight="1" x14ac:dyDescent="0.25">
      <c r="D834" s="3"/>
      <c r="E834" s="3"/>
      <c r="F834" s="3"/>
    </row>
    <row r="835" spans="4:6" ht="12.75" customHeight="1" x14ac:dyDescent="0.25">
      <c r="D835" s="3"/>
      <c r="E835" s="3"/>
      <c r="F835" s="3"/>
    </row>
    <row r="836" spans="4:6" ht="12.75" customHeight="1" x14ac:dyDescent="0.25">
      <c r="D836" s="3"/>
      <c r="E836" s="3"/>
      <c r="F836" s="3"/>
    </row>
    <row r="837" spans="4:6" ht="12.75" customHeight="1" x14ac:dyDescent="0.25">
      <c r="D837" s="3"/>
      <c r="E837" s="3"/>
      <c r="F837" s="3"/>
    </row>
    <row r="838" spans="4:6" ht="12.75" customHeight="1" x14ac:dyDescent="0.25">
      <c r="D838" s="3"/>
      <c r="E838" s="3"/>
      <c r="F838" s="3"/>
    </row>
    <row r="839" spans="4:6" ht="12.75" customHeight="1" x14ac:dyDescent="0.25">
      <c r="D839" s="3"/>
      <c r="E839" s="3"/>
      <c r="F839" s="3"/>
    </row>
    <row r="840" spans="4:6" ht="12.75" customHeight="1" x14ac:dyDescent="0.25">
      <c r="D840" s="3"/>
      <c r="E840" s="3"/>
      <c r="F840" s="3"/>
    </row>
    <row r="841" spans="4:6" ht="12.75" customHeight="1" x14ac:dyDescent="0.25">
      <c r="D841" s="3"/>
      <c r="E841" s="3"/>
      <c r="F841" s="3"/>
    </row>
    <row r="842" spans="4:6" ht="12.75" customHeight="1" x14ac:dyDescent="0.25">
      <c r="D842" s="3"/>
      <c r="E842" s="3"/>
      <c r="F842" s="3"/>
    </row>
    <row r="843" spans="4:6" ht="12.75" customHeight="1" x14ac:dyDescent="0.25">
      <c r="D843" s="3"/>
      <c r="E843" s="3"/>
      <c r="F843" s="3"/>
    </row>
    <row r="844" spans="4:6" ht="12.75" customHeight="1" x14ac:dyDescent="0.25">
      <c r="D844" s="3"/>
      <c r="E844" s="3"/>
      <c r="F844" s="3"/>
    </row>
    <row r="845" spans="4:6" ht="12.75" customHeight="1" x14ac:dyDescent="0.25">
      <c r="D845" s="3"/>
      <c r="E845" s="3"/>
      <c r="F845" s="3"/>
    </row>
    <row r="846" spans="4:6" ht="12.75" customHeight="1" x14ac:dyDescent="0.25">
      <c r="D846" s="3"/>
      <c r="E846" s="3"/>
      <c r="F846" s="3"/>
    </row>
    <row r="847" spans="4:6" ht="12.75" customHeight="1" x14ac:dyDescent="0.25">
      <c r="D847" s="3"/>
      <c r="E847" s="3"/>
      <c r="F847" s="3"/>
    </row>
    <row r="848" spans="4:6" ht="12.75" customHeight="1" x14ac:dyDescent="0.25">
      <c r="D848" s="3"/>
      <c r="E848" s="3"/>
      <c r="F848" s="3"/>
    </row>
    <row r="849" spans="4:6" ht="12.75" customHeight="1" x14ac:dyDescent="0.25">
      <c r="D849" s="3"/>
      <c r="E849" s="3"/>
      <c r="F849" s="3"/>
    </row>
    <row r="850" spans="4:6" ht="12.75" customHeight="1" x14ac:dyDescent="0.25">
      <c r="D850" s="3"/>
      <c r="E850" s="3"/>
      <c r="F850" s="3"/>
    </row>
    <row r="851" spans="4:6" ht="12.75" customHeight="1" x14ac:dyDescent="0.25">
      <c r="D851" s="3"/>
      <c r="E851" s="3"/>
      <c r="F851" s="3"/>
    </row>
    <row r="852" spans="4:6" ht="12.75" customHeight="1" x14ac:dyDescent="0.25">
      <c r="D852" s="3"/>
      <c r="E852" s="3"/>
      <c r="F852" s="3"/>
    </row>
    <row r="853" spans="4:6" ht="12.75" customHeight="1" x14ac:dyDescent="0.25">
      <c r="D853" s="3"/>
      <c r="E853" s="3"/>
      <c r="F853" s="3"/>
    </row>
    <row r="854" spans="4:6" ht="12.75" customHeight="1" x14ac:dyDescent="0.25">
      <c r="D854" s="3"/>
      <c r="E854" s="3"/>
      <c r="F854" s="3"/>
    </row>
    <row r="855" spans="4:6" ht="12.75" customHeight="1" x14ac:dyDescent="0.25">
      <c r="D855" s="3"/>
      <c r="E855" s="3"/>
      <c r="F855" s="3"/>
    </row>
    <row r="856" spans="4:6" ht="12.75" customHeight="1" x14ac:dyDescent="0.25">
      <c r="D856" s="3"/>
      <c r="E856" s="3"/>
      <c r="F856" s="3"/>
    </row>
    <row r="857" spans="4:6" ht="12.75" customHeight="1" x14ac:dyDescent="0.25">
      <c r="D857" s="3"/>
      <c r="E857" s="3"/>
      <c r="F857" s="3"/>
    </row>
    <row r="858" spans="4:6" ht="12.75" customHeight="1" x14ac:dyDescent="0.25">
      <c r="D858" s="3"/>
      <c r="E858" s="3"/>
      <c r="F858" s="3"/>
    </row>
    <row r="859" spans="4:6" ht="12.75" customHeight="1" x14ac:dyDescent="0.25">
      <c r="D859" s="3"/>
      <c r="E859" s="3"/>
      <c r="F859" s="3"/>
    </row>
    <row r="860" spans="4:6" ht="12.75" customHeight="1" x14ac:dyDescent="0.25">
      <c r="D860" s="3"/>
      <c r="E860" s="3"/>
      <c r="F860" s="3"/>
    </row>
    <row r="861" spans="4:6" ht="12.75" customHeight="1" x14ac:dyDescent="0.25">
      <c r="D861" s="3"/>
      <c r="E861" s="3"/>
      <c r="F861" s="3"/>
    </row>
    <row r="862" spans="4:6" ht="12.75" customHeight="1" x14ac:dyDescent="0.25">
      <c r="D862" s="3"/>
      <c r="E862" s="3"/>
      <c r="F862" s="3"/>
    </row>
    <row r="863" spans="4:6" ht="12.75" customHeight="1" x14ac:dyDescent="0.25">
      <c r="D863" s="3"/>
      <c r="E863" s="3"/>
      <c r="F863" s="3"/>
    </row>
    <row r="864" spans="4:6" ht="12.75" customHeight="1" x14ac:dyDescent="0.25">
      <c r="D864" s="3"/>
      <c r="E864" s="3"/>
      <c r="F864" s="3"/>
    </row>
    <row r="865" spans="4:6" ht="12.75" customHeight="1" x14ac:dyDescent="0.25">
      <c r="D865" s="3"/>
      <c r="E865" s="3"/>
      <c r="F865" s="3"/>
    </row>
    <row r="866" spans="4:6" ht="12.75" customHeight="1" x14ac:dyDescent="0.25">
      <c r="D866" s="3"/>
      <c r="E866" s="3"/>
      <c r="F866" s="3"/>
    </row>
    <row r="867" spans="4:6" ht="12.75" customHeight="1" x14ac:dyDescent="0.25">
      <c r="D867" s="3"/>
      <c r="E867" s="3"/>
      <c r="F867" s="3"/>
    </row>
    <row r="868" spans="4:6" ht="12.75" customHeight="1" x14ac:dyDescent="0.25">
      <c r="D868" s="3"/>
      <c r="E868" s="3"/>
      <c r="F868" s="3"/>
    </row>
    <row r="869" spans="4:6" ht="12.75" customHeight="1" x14ac:dyDescent="0.25">
      <c r="D869" s="3"/>
      <c r="E869" s="3"/>
      <c r="F869" s="3"/>
    </row>
    <row r="870" spans="4:6" ht="12.75" customHeight="1" x14ac:dyDescent="0.25">
      <c r="D870" s="3"/>
      <c r="E870" s="3"/>
      <c r="F870" s="3"/>
    </row>
    <row r="871" spans="4:6" ht="12.75" customHeight="1" x14ac:dyDescent="0.25">
      <c r="D871" s="3"/>
      <c r="E871" s="3"/>
      <c r="F871" s="3"/>
    </row>
    <row r="872" spans="4:6" ht="12.75" customHeight="1" x14ac:dyDescent="0.25">
      <c r="D872" s="3"/>
      <c r="E872" s="3"/>
      <c r="F872" s="3"/>
    </row>
    <row r="873" spans="4:6" ht="12.75" customHeight="1" x14ac:dyDescent="0.25">
      <c r="D873" s="3"/>
      <c r="E873" s="3"/>
      <c r="F873" s="3"/>
    </row>
    <row r="874" spans="4:6" ht="12.75" customHeight="1" x14ac:dyDescent="0.25">
      <c r="D874" s="3"/>
      <c r="E874" s="3"/>
      <c r="F874" s="3"/>
    </row>
    <row r="875" spans="4:6" ht="12.75" customHeight="1" x14ac:dyDescent="0.25">
      <c r="D875" s="3"/>
      <c r="E875" s="3"/>
      <c r="F875" s="3"/>
    </row>
    <row r="876" spans="4:6" ht="12.75" customHeight="1" x14ac:dyDescent="0.25">
      <c r="D876" s="3"/>
      <c r="E876" s="3"/>
      <c r="F876" s="3"/>
    </row>
    <row r="877" spans="4:6" ht="12.75" customHeight="1" x14ac:dyDescent="0.25">
      <c r="D877" s="3"/>
      <c r="E877" s="3"/>
      <c r="F877" s="3"/>
    </row>
    <row r="878" spans="4:6" ht="12.75" customHeight="1" x14ac:dyDescent="0.25">
      <c r="D878" s="3"/>
      <c r="E878" s="3"/>
      <c r="F878" s="3"/>
    </row>
    <row r="879" spans="4:6" ht="12.75" customHeight="1" x14ac:dyDescent="0.25">
      <c r="D879" s="3"/>
      <c r="E879" s="3"/>
      <c r="F879" s="3"/>
    </row>
    <row r="880" spans="4:6" ht="12.75" customHeight="1" x14ac:dyDescent="0.25">
      <c r="D880" s="3"/>
      <c r="E880" s="3"/>
      <c r="F880" s="3"/>
    </row>
    <row r="881" spans="4:6" ht="12.75" customHeight="1" x14ac:dyDescent="0.25">
      <c r="D881" s="3"/>
      <c r="E881" s="3"/>
      <c r="F881" s="3"/>
    </row>
    <row r="882" spans="4:6" ht="12.75" customHeight="1" x14ac:dyDescent="0.25">
      <c r="D882" s="3"/>
      <c r="E882" s="3"/>
      <c r="F882" s="3"/>
    </row>
    <row r="883" spans="4:6" ht="12.75" customHeight="1" x14ac:dyDescent="0.25">
      <c r="D883" s="3"/>
      <c r="E883" s="3"/>
      <c r="F883" s="3"/>
    </row>
    <row r="884" spans="4:6" ht="12.75" customHeight="1" x14ac:dyDescent="0.25">
      <c r="D884" s="3"/>
      <c r="E884" s="3"/>
      <c r="F884" s="3"/>
    </row>
    <row r="885" spans="4:6" ht="12.75" customHeight="1" x14ac:dyDescent="0.25">
      <c r="D885" s="3"/>
      <c r="E885" s="3"/>
      <c r="F885" s="3"/>
    </row>
    <row r="886" spans="4:6" ht="12.75" customHeight="1" x14ac:dyDescent="0.25">
      <c r="D886" s="3"/>
      <c r="E886" s="3"/>
      <c r="F886" s="3"/>
    </row>
    <row r="887" spans="4:6" ht="12.75" customHeight="1" x14ac:dyDescent="0.25">
      <c r="D887" s="3"/>
      <c r="E887" s="3"/>
      <c r="F887" s="3"/>
    </row>
    <row r="888" spans="4:6" ht="12.75" customHeight="1" x14ac:dyDescent="0.25">
      <c r="D888" s="3"/>
      <c r="E888" s="3"/>
      <c r="F888" s="3"/>
    </row>
    <row r="889" spans="4:6" ht="12.75" customHeight="1" x14ac:dyDescent="0.25">
      <c r="D889" s="3"/>
      <c r="E889" s="3"/>
      <c r="F889" s="3"/>
    </row>
    <row r="890" spans="4:6" ht="12.75" customHeight="1" x14ac:dyDescent="0.25">
      <c r="D890" s="3"/>
      <c r="E890" s="3"/>
      <c r="F890" s="3"/>
    </row>
    <row r="891" spans="4:6" ht="12.75" customHeight="1" x14ac:dyDescent="0.25">
      <c r="D891" s="3"/>
      <c r="E891" s="3"/>
      <c r="F891" s="3"/>
    </row>
    <row r="892" spans="4:6" ht="12.75" customHeight="1" x14ac:dyDescent="0.25">
      <c r="D892" s="3"/>
      <c r="E892" s="3"/>
      <c r="F892" s="3"/>
    </row>
    <row r="893" spans="4:6" ht="12.75" customHeight="1" x14ac:dyDescent="0.25">
      <c r="D893" s="3"/>
      <c r="E893" s="3"/>
      <c r="F893" s="3"/>
    </row>
    <row r="894" spans="4:6" ht="12.75" customHeight="1" x14ac:dyDescent="0.25">
      <c r="D894" s="3"/>
      <c r="E894" s="3"/>
      <c r="F894" s="3"/>
    </row>
    <row r="895" spans="4:6" ht="12.75" customHeight="1" x14ac:dyDescent="0.25">
      <c r="D895" s="3"/>
      <c r="E895" s="3"/>
      <c r="F895" s="3"/>
    </row>
    <row r="896" spans="4:6" ht="12.75" customHeight="1" x14ac:dyDescent="0.25">
      <c r="D896" s="3"/>
      <c r="E896" s="3"/>
      <c r="F896" s="3"/>
    </row>
    <row r="897" spans="4:6" ht="12.75" customHeight="1" x14ac:dyDescent="0.25">
      <c r="D897" s="3"/>
      <c r="E897" s="3"/>
      <c r="F897" s="3"/>
    </row>
    <row r="898" spans="4:6" ht="12.75" customHeight="1" x14ac:dyDescent="0.25">
      <c r="D898" s="3"/>
      <c r="E898" s="3"/>
      <c r="F898" s="3"/>
    </row>
    <row r="899" spans="4:6" ht="12.75" customHeight="1" x14ac:dyDescent="0.25">
      <c r="D899" s="3"/>
      <c r="E899" s="3"/>
      <c r="F899" s="3"/>
    </row>
    <row r="900" spans="4:6" ht="12.75" customHeight="1" x14ac:dyDescent="0.25">
      <c r="D900" s="3"/>
      <c r="E900" s="3"/>
      <c r="F900" s="3"/>
    </row>
    <row r="901" spans="4:6" ht="12.75" customHeight="1" x14ac:dyDescent="0.25">
      <c r="D901" s="3"/>
      <c r="E901" s="3"/>
      <c r="F901" s="3"/>
    </row>
    <row r="902" spans="4:6" ht="12.75" customHeight="1" x14ac:dyDescent="0.25">
      <c r="D902" s="3"/>
      <c r="E902" s="3"/>
      <c r="F902" s="3"/>
    </row>
    <row r="903" spans="4:6" ht="12.75" customHeight="1" x14ac:dyDescent="0.25">
      <c r="D903" s="3"/>
      <c r="E903" s="3"/>
      <c r="F903" s="3"/>
    </row>
    <row r="904" spans="4:6" ht="12.75" customHeight="1" x14ac:dyDescent="0.25">
      <c r="D904" s="3"/>
      <c r="E904" s="3"/>
      <c r="F904" s="3"/>
    </row>
    <row r="905" spans="4:6" ht="12.75" customHeight="1" x14ac:dyDescent="0.25">
      <c r="D905" s="3"/>
      <c r="E905" s="3"/>
      <c r="F905" s="3"/>
    </row>
    <row r="906" spans="4:6" ht="12.75" customHeight="1" x14ac:dyDescent="0.25">
      <c r="D906" s="3"/>
      <c r="E906" s="3"/>
      <c r="F906" s="3"/>
    </row>
    <row r="907" spans="4:6" ht="12.75" customHeight="1" x14ac:dyDescent="0.25">
      <c r="D907" s="3"/>
      <c r="E907" s="3"/>
      <c r="F907" s="3"/>
    </row>
    <row r="908" spans="4:6" ht="12.75" customHeight="1" x14ac:dyDescent="0.25">
      <c r="D908" s="3"/>
      <c r="E908" s="3"/>
      <c r="F908" s="3"/>
    </row>
    <row r="909" spans="4:6" ht="12.75" customHeight="1" x14ac:dyDescent="0.25">
      <c r="D909" s="3"/>
      <c r="E909" s="3"/>
      <c r="F909" s="3"/>
    </row>
    <row r="910" spans="4:6" ht="12.75" customHeight="1" x14ac:dyDescent="0.25">
      <c r="D910" s="3"/>
      <c r="E910" s="3"/>
      <c r="F910" s="3"/>
    </row>
    <row r="911" spans="4:6" ht="12.75" customHeight="1" x14ac:dyDescent="0.25">
      <c r="D911" s="3"/>
      <c r="E911" s="3"/>
      <c r="F911" s="3"/>
    </row>
    <row r="912" spans="4:6" ht="12.75" customHeight="1" x14ac:dyDescent="0.25">
      <c r="D912" s="3"/>
      <c r="E912" s="3"/>
      <c r="F912" s="3"/>
    </row>
    <row r="913" spans="4:6" ht="12.75" customHeight="1" x14ac:dyDescent="0.25">
      <c r="D913" s="3"/>
      <c r="E913" s="3"/>
      <c r="F913" s="3"/>
    </row>
    <row r="914" spans="4:6" ht="12.75" customHeight="1" x14ac:dyDescent="0.25">
      <c r="D914" s="3"/>
      <c r="E914" s="3"/>
      <c r="F914" s="3"/>
    </row>
    <row r="915" spans="4:6" ht="12.75" customHeight="1" x14ac:dyDescent="0.25">
      <c r="D915" s="3"/>
      <c r="E915" s="3"/>
      <c r="F915" s="3"/>
    </row>
    <row r="916" spans="4:6" ht="12.75" customHeight="1" x14ac:dyDescent="0.25">
      <c r="D916" s="3"/>
      <c r="E916" s="3"/>
      <c r="F916" s="3"/>
    </row>
    <row r="917" spans="4:6" ht="12.75" customHeight="1" x14ac:dyDescent="0.25">
      <c r="D917" s="3"/>
      <c r="E917" s="3"/>
      <c r="F917" s="3"/>
    </row>
    <row r="918" spans="4:6" ht="12.75" customHeight="1" x14ac:dyDescent="0.25">
      <c r="D918" s="3"/>
      <c r="E918" s="3"/>
      <c r="F918" s="3"/>
    </row>
    <row r="919" spans="4:6" ht="12.75" customHeight="1" x14ac:dyDescent="0.25">
      <c r="D919" s="3"/>
      <c r="E919" s="3"/>
      <c r="F919" s="3"/>
    </row>
    <row r="920" spans="4:6" ht="12.75" customHeight="1" x14ac:dyDescent="0.25">
      <c r="D920" s="3"/>
      <c r="E920" s="3"/>
      <c r="F920" s="3"/>
    </row>
    <row r="921" spans="4:6" ht="12.75" customHeight="1" x14ac:dyDescent="0.25">
      <c r="D921" s="3"/>
      <c r="E921" s="3"/>
      <c r="F921" s="3"/>
    </row>
    <row r="922" spans="4:6" ht="12.75" customHeight="1" x14ac:dyDescent="0.25">
      <c r="D922" s="3"/>
      <c r="E922" s="3"/>
      <c r="F922" s="3"/>
    </row>
    <row r="923" spans="4:6" ht="12.75" customHeight="1" x14ac:dyDescent="0.25">
      <c r="D923" s="3"/>
      <c r="E923" s="3"/>
      <c r="F923" s="3"/>
    </row>
    <row r="924" spans="4:6" ht="12.75" customHeight="1" x14ac:dyDescent="0.25">
      <c r="D924" s="3"/>
      <c r="E924" s="3"/>
      <c r="F924" s="3"/>
    </row>
    <row r="925" spans="4:6" ht="12.75" customHeight="1" x14ac:dyDescent="0.25">
      <c r="D925" s="3"/>
      <c r="E925" s="3"/>
      <c r="F925" s="3"/>
    </row>
    <row r="926" spans="4:6" ht="12.75" customHeight="1" x14ac:dyDescent="0.25">
      <c r="D926" s="3"/>
      <c r="E926" s="3"/>
      <c r="F926" s="3"/>
    </row>
    <row r="927" spans="4:6" ht="12.75" customHeight="1" x14ac:dyDescent="0.25">
      <c r="D927" s="3"/>
      <c r="E927" s="3"/>
      <c r="F927" s="3"/>
    </row>
    <row r="928" spans="4:6" ht="12.75" customHeight="1" x14ac:dyDescent="0.25">
      <c r="D928" s="3"/>
      <c r="E928" s="3"/>
      <c r="F928" s="3"/>
    </row>
    <row r="929" spans="4:6" ht="12.75" customHeight="1" x14ac:dyDescent="0.25">
      <c r="D929" s="3"/>
      <c r="E929" s="3"/>
      <c r="F929" s="3"/>
    </row>
    <row r="930" spans="4:6" ht="12.75" customHeight="1" x14ac:dyDescent="0.25">
      <c r="D930" s="3"/>
      <c r="E930" s="3"/>
      <c r="F930" s="3"/>
    </row>
    <row r="931" spans="4:6" ht="12.75" customHeight="1" x14ac:dyDescent="0.25">
      <c r="D931" s="3"/>
      <c r="E931" s="3"/>
      <c r="F931" s="3"/>
    </row>
    <row r="932" spans="4:6" ht="12.75" customHeight="1" x14ac:dyDescent="0.25">
      <c r="D932" s="3"/>
      <c r="E932" s="3"/>
      <c r="F932" s="3"/>
    </row>
    <row r="933" spans="4:6" ht="12.75" customHeight="1" x14ac:dyDescent="0.25">
      <c r="D933" s="3"/>
      <c r="E933" s="3"/>
      <c r="F933" s="3"/>
    </row>
    <row r="934" spans="4:6" ht="12.75" customHeight="1" x14ac:dyDescent="0.25">
      <c r="D934" s="3"/>
      <c r="E934" s="3"/>
      <c r="F934" s="3"/>
    </row>
    <row r="935" spans="4:6" ht="12.75" customHeight="1" x14ac:dyDescent="0.25">
      <c r="D935" s="3"/>
      <c r="E935" s="3"/>
      <c r="F935" s="3"/>
    </row>
    <row r="936" spans="4:6" ht="12.75" customHeight="1" x14ac:dyDescent="0.25">
      <c r="D936" s="3"/>
      <c r="E936" s="3"/>
      <c r="F936" s="3"/>
    </row>
    <row r="937" spans="4:6" ht="12.75" customHeight="1" x14ac:dyDescent="0.25">
      <c r="D937" s="3"/>
      <c r="E937" s="3"/>
      <c r="F937" s="3"/>
    </row>
    <row r="938" spans="4:6" ht="12.75" customHeight="1" x14ac:dyDescent="0.25">
      <c r="D938" s="3"/>
      <c r="E938" s="3"/>
      <c r="F938" s="3"/>
    </row>
    <row r="939" spans="4:6" ht="12.75" customHeight="1" x14ac:dyDescent="0.25">
      <c r="D939" s="3"/>
      <c r="E939" s="3"/>
      <c r="F939" s="3"/>
    </row>
    <row r="940" spans="4:6" ht="12.75" customHeight="1" x14ac:dyDescent="0.25">
      <c r="D940" s="3"/>
      <c r="E940" s="3"/>
      <c r="F940" s="3"/>
    </row>
    <row r="941" spans="4:6" ht="12.75" customHeight="1" x14ac:dyDescent="0.25">
      <c r="D941" s="3"/>
      <c r="E941" s="3"/>
      <c r="F941" s="3"/>
    </row>
    <row r="942" spans="4:6" ht="12.75" customHeight="1" x14ac:dyDescent="0.25">
      <c r="D942" s="3"/>
      <c r="E942" s="3"/>
      <c r="F942" s="3"/>
    </row>
    <row r="943" spans="4:6" ht="12.75" customHeight="1" x14ac:dyDescent="0.25">
      <c r="D943" s="3"/>
      <c r="E943" s="3"/>
      <c r="F943" s="3"/>
    </row>
    <row r="944" spans="4:6" ht="12.75" customHeight="1" x14ac:dyDescent="0.25">
      <c r="D944" s="3"/>
      <c r="E944" s="3"/>
      <c r="F944" s="3"/>
    </row>
    <row r="945" spans="4:6" ht="12.75" customHeight="1" x14ac:dyDescent="0.25">
      <c r="D945" s="3"/>
      <c r="E945" s="3"/>
      <c r="F945" s="3"/>
    </row>
    <row r="946" spans="4:6" ht="12.75" customHeight="1" x14ac:dyDescent="0.25">
      <c r="D946" s="3"/>
      <c r="E946" s="3"/>
      <c r="F946" s="3"/>
    </row>
    <row r="947" spans="4:6" ht="12.75" customHeight="1" x14ac:dyDescent="0.25">
      <c r="D947" s="3"/>
      <c r="E947" s="3"/>
      <c r="F947" s="3"/>
    </row>
    <row r="948" spans="4:6" ht="12.75" customHeight="1" x14ac:dyDescent="0.25">
      <c r="D948" s="3"/>
      <c r="E948" s="3"/>
      <c r="F948" s="3"/>
    </row>
    <row r="949" spans="4:6" ht="12.75" customHeight="1" x14ac:dyDescent="0.25">
      <c r="D949" s="3"/>
      <c r="E949" s="3"/>
      <c r="F949" s="3"/>
    </row>
    <row r="950" spans="4:6" ht="12.75" customHeight="1" x14ac:dyDescent="0.25">
      <c r="D950" s="3"/>
      <c r="E950" s="3"/>
      <c r="F950" s="3"/>
    </row>
    <row r="951" spans="4:6" ht="12.75" customHeight="1" x14ac:dyDescent="0.25">
      <c r="D951" s="3"/>
      <c r="E951" s="3"/>
      <c r="F951" s="3"/>
    </row>
    <row r="952" spans="4:6" ht="12.75" customHeight="1" x14ac:dyDescent="0.25">
      <c r="D952" s="3"/>
      <c r="E952" s="3"/>
      <c r="F952" s="3"/>
    </row>
    <row r="953" spans="4:6" ht="12.75" customHeight="1" x14ac:dyDescent="0.25">
      <c r="D953" s="3"/>
      <c r="E953" s="3"/>
      <c r="F953" s="3"/>
    </row>
    <row r="954" spans="4:6" ht="12.75" customHeight="1" x14ac:dyDescent="0.25">
      <c r="D954" s="3"/>
      <c r="E954" s="3"/>
      <c r="F954" s="3"/>
    </row>
    <row r="955" spans="4:6" ht="12.75" customHeight="1" x14ac:dyDescent="0.25">
      <c r="D955" s="3"/>
      <c r="E955" s="3"/>
      <c r="F955" s="3"/>
    </row>
    <row r="956" spans="4:6" ht="12.75" customHeight="1" x14ac:dyDescent="0.25">
      <c r="D956" s="3"/>
      <c r="E956" s="3"/>
      <c r="F956" s="3"/>
    </row>
    <row r="957" spans="4:6" ht="12.75" customHeight="1" x14ac:dyDescent="0.25">
      <c r="D957" s="3"/>
      <c r="E957" s="3"/>
      <c r="F957" s="3"/>
    </row>
    <row r="958" spans="4:6" ht="12.75" customHeight="1" x14ac:dyDescent="0.25">
      <c r="D958" s="3"/>
      <c r="E958" s="3"/>
      <c r="F958" s="3"/>
    </row>
    <row r="959" spans="4:6" ht="12.75" customHeight="1" x14ac:dyDescent="0.25">
      <c r="D959" s="3"/>
      <c r="E959" s="3"/>
      <c r="F959" s="3"/>
    </row>
    <row r="960" spans="4:6" ht="12.75" customHeight="1" x14ac:dyDescent="0.25">
      <c r="D960" s="3"/>
      <c r="E960" s="3"/>
      <c r="F960" s="3"/>
    </row>
    <row r="961" spans="4:6" ht="12.75" customHeight="1" x14ac:dyDescent="0.25">
      <c r="D961" s="3"/>
      <c r="E961" s="3"/>
      <c r="F961" s="3"/>
    </row>
    <row r="962" spans="4:6" ht="12.75" customHeight="1" x14ac:dyDescent="0.25">
      <c r="D962" s="3"/>
      <c r="E962" s="3"/>
      <c r="F962" s="3"/>
    </row>
    <row r="963" spans="4:6" ht="12.75" customHeight="1" x14ac:dyDescent="0.25">
      <c r="D963" s="3"/>
      <c r="E963" s="3"/>
      <c r="F963" s="3"/>
    </row>
    <row r="964" spans="4:6" ht="12.75" customHeight="1" x14ac:dyDescent="0.25">
      <c r="D964" s="3"/>
      <c r="E964" s="3"/>
      <c r="F964" s="3"/>
    </row>
    <row r="965" spans="4:6" ht="12.75" customHeight="1" x14ac:dyDescent="0.25">
      <c r="D965" s="3"/>
      <c r="E965" s="3"/>
      <c r="F965" s="3"/>
    </row>
    <row r="966" spans="4:6" ht="12.75" customHeight="1" x14ac:dyDescent="0.25">
      <c r="D966" s="3"/>
      <c r="E966" s="3"/>
      <c r="F966" s="3"/>
    </row>
    <row r="967" spans="4:6" ht="12.75" customHeight="1" x14ac:dyDescent="0.25">
      <c r="D967" s="3"/>
      <c r="E967" s="3"/>
      <c r="F967" s="3"/>
    </row>
    <row r="968" spans="4:6" ht="12.75" customHeight="1" x14ac:dyDescent="0.25">
      <c r="D968" s="3"/>
      <c r="E968" s="3"/>
      <c r="F968" s="3"/>
    </row>
    <row r="969" spans="4:6" ht="12.75" customHeight="1" x14ac:dyDescent="0.25">
      <c r="D969" s="3"/>
      <c r="E969" s="3"/>
      <c r="F969" s="3"/>
    </row>
    <row r="970" spans="4:6" ht="12.75" customHeight="1" x14ac:dyDescent="0.25">
      <c r="D970" s="3"/>
      <c r="E970" s="3"/>
      <c r="F970" s="3"/>
    </row>
    <row r="971" spans="4:6" ht="12.75" customHeight="1" x14ac:dyDescent="0.25">
      <c r="D971" s="3"/>
      <c r="E971" s="3"/>
      <c r="F971" s="3"/>
    </row>
    <row r="972" spans="4:6" ht="12.75" customHeight="1" x14ac:dyDescent="0.25">
      <c r="D972" s="3"/>
      <c r="E972" s="3"/>
      <c r="F972" s="3"/>
    </row>
    <row r="973" spans="4:6" ht="12.75" customHeight="1" x14ac:dyDescent="0.25">
      <c r="D973" s="3"/>
      <c r="E973" s="3"/>
      <c r="F973" s="3"/>
    </row>
    <row r="974" spans="4:6" ht="12.75" customHeight="1" x14ac:dyDescent="0.25">
      <c r="D974" s="3"/>
      <c r="E974" s="3"/>
      <c r="F974" s="3"/>
    </row>
    <row r="975" spans="4:6" ht="12.75" customHeight="1" x14ac:dyDescent="0.25">
      <c r="D975" s="3"/>
      <c r="E975" s="3"/>
      <c r="F975" s="3"/>
    </row>
    <row r="976" spans="4:6" ht="12.75" customHeight="1" x14ac:dyDescent="0.25">
      <c r="D976" s="3"/>
      <c r="E976" s="3"/>
      <c r="F976" s="3"/>
    </row>
    <row r="977" spans="4:6" ht="12.75" customHeight="1" x14ac:dyDescent="0.25">
      <c r="D977" s="3"/>
      <c r="E977" s="3"/>
      <c r="F977" s="3"/>
    </row>
    <row r="978" spans="4:6" ht="12.75" customHeight="1" x14ac:dyDescent="0.25">
      <c r="D978" s="3"/>
      <c r="E978" s="3"/>
      <c r="F978" s="3"/>
    </row>
    <row r="979" spans="4:6" ht="12.75" customHeight="1" x14ac:dyDescent="0.25">
      <c r="D979" s="3"/>
      <c r="E979" s="3"/>
      <c r="F979" s="3"/>
    </row>
    <row r="980" spans="4:6" ht="12.75" customHeight="1" x14ac:dyDescent="0.25">
      <c r="D980" s="3"/>
      <c r="E980" s="3"/>
      <c r="F980" s="3"/>
    </row>
    <row r="981" spans="4:6" ht="12.75" customHeight="1" x14ac:dyDescent="0.25">
      <c r="D981" s="3"/>
      <c r="E981" s="3"/>
      <c r="F981" s="3"/>
    </row>
    <row r="982" spans="4:6" ht="12.75" customHeight="1" x14ac:dyDescent="0.25">
      <c r="D982" s="3"/>
      <c r="E982" s="3"/>
      <c r="F982" s="3"/>
    </row>
    <row r="983" spans="4:6" ht="12.75" customHeight="1" x14ac:dyDescent="0.25">
      <c r="D983" s="3"/>
      <c r="E983" s="3"/>
      <c r="F983" s="3"/>
    </row>
    <row r="984" spans="4:6" ht="12.75" customHeight="1" x14ac:dyDescent="0.25">
      <c r="D984" s="3"/>
      <c r="E984" s="3"/>
      <c r="F984" s="3"/>
    </row>
    <row r="985" spans="4:6" ht="12.75" customHeight="1" x14ac:dyDescent="0.25">
      <c r="D985" s="3"/>
      <c r="E985" s="3"/>
      <c r="F985" s="3"/>
    </row>
    <row r="986" spans="4:6" ht="12.75" customHeight="1" x14ac:dyDescent="0.25">
      <c r="D986" s="3"/>
      <c r="E986" s="3"/>
      <c r="F986" s="3"/>
    </row>
    <row r="987" spans="4:6" ht="12.75" customHeight="1" x14ac:dyDescent="0.25">
      <c r="D987" s="3"/>
      <c r="E987" s="3"/>
      <c r="F987" s="3"/>
    </row>
    <row r="988" spans="4:6" ht="12.75" customHeight="1" x14ac:dyDescent="0.25">
      <c r="D988" s="3"/>
      <c r="E988" s="3"/>
      <c r="F988" s="3"/>
    </row>
    <row r="989" spans="4:6" ht="12.75" customHeight="1" x14ac:dyDescent="0.25">
      <c r="D989" s="3"/>
      <c r="E989" s="3"/>
      <c r="F989" s="3"/>
    </row>
    <row r="990" spans="4:6" ht="12.75" customHeight="1" x14ac:dyDescent="0.25">
      <c r="D990" s="3"/>
      <c r="E990" s="3"/>
      <c r="F990" s="3"/>
    </row>
    <row r="991" spans="4:6" ht="12.75" customHeight="1" x14ac:dyDescent="0.25">
      <c r="D991" s="3"/>
      <c r="E991" s="3"/>
      <c r="F991" s="3"/>
    </row>
    <row r="992" spans="4:6" ht="12.75" customHeight="1" x14ac:dyDescent="0.25">
      <c r="D992" s="3"/>
      <c r="E992" s="3"/>
      <c r="F992" s="3"/>
    </row>
    <row r="993" spans="4:6" ht="12.75" customHeight="1" x14ac:dyDescent="0.25">
      <c r="D993" s="3"/>
      <c r="E993" s="3"/>
      <c r="F993" s="3"/>
    </row>
    <row r="994" spans="4:6" ht="12.75" customHeight="1" x14ac:dyDescent="0.25">
      <c r="D994" s="3"/>
      <c r="E994" s="3"/>
      <c r="F994" s="3"/>
    </row>
    <row r="995" spans="4:6" ht="12.75" customHeight="1" x14ac:dyDescent="0.25">
      <c r="D995" s="3"/>
      <c r="E995" s="3"/>
      <c r="F995" s="3"/>
    </row>
    <row r="996" spans="4:6" ht="12.75" customHeight="1" x14ac:dyDescent="0.25">
      <c r="D996" s="3"/>
      <c r="E996" s="3"/>
      <c r="F996" s="3"/>
    </row>
    <row r="997" spans="4:6" ht="12.75" customHeight="1" x14ac:dyDescent="0.25">
      <c r="D997" s="3"/>
      <c r="E997" s="3"/>
      <c r="F997" s="3"/>
    </row>
    <row r="998" spans="4:6" ht="12.75" customHeight="1" x14ac:dyDescent="0.25">
      <c r="D998" s="3"/>
      <c r="E998" s="3"/>
      <c r="F998" s="3"/>
    </row>
    <row r="999" spans="4:6" ht="12.75" customHeight="1" x14ac:dyDescent="0.25">
      <c r="D999" s="3"/>
      <c r="E999" s="3"/>
      <c r="F999" s="3"/>
    </row>
    <row r="1000" spans="4:6" ht="12.75" customHeight="1" x14ac:dyDescent="0.25">
      <c r="D1000" s="3"/>
      <c r="E1000" s="3"/>
      <c r="F1000" s="3"/>
    </row>
  </sheetData>
  <mergeCells count="4">
    <mergeCell ref="I3:M5"/>
    <mergeCell ref="I6:M8"/>
    <mergeCell ref="I10:M12"/>
    <mergeCell ref="I13:M15"/>
  </mergeCells>
  <conditionalFormatting sqref="G3:G15 G17:G1000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G3:G15 G17:G1000">
    <cfRule type="cellIs" dxfId="21" priority="2" stopIfTrue="1" operator="equal">
      <formula>"error"</formula>
    </cfRule>
  </conditionalFormatting>
  <conditionalFormatting sqref="G3:G15 G17:G1000">
    <cfRule type="cellIs" dxfId="20" priority="3" stopIfTrue="1" operator="equal">
      <formula>"OK"</formula>
    </cfRule>
  </conditionalFormatting>
  <conditionalFormatting sqref="I16:M17 I13">
    <cfRule type="colorScale" priority="4">
      <colorScale>
        <cfvo type="formula" val="0.19"/>
        <cfvo type="formula" val="0.2"/>
        <cfvo type="formula" val="0.5"/>
        <color rgb="FF92D050"/>
        <color rgb="FFFFEB84"/>
        <color rgb="FFD99594"/>
      </colorScale>
    </cfRule>
  </conditionalFormatting>
  <conditionalFormatting sqref="I6:M8">
    <cfRule type="colorScale" priority="5">
      <colorScale>
        <cfvo type="formula" val="0.19"/>
        <cfvo type="formula" val="0.2"/>
        <cfvo type="formula" val="0.5"/>
        <color rgb="FF92D050"/>
        <color rgb="FFFFEB84"/>
        <color rgb="FFD99594"/>
      </colorScale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00"/>
  <sheetViews>
    <sheetView workbookViewId="0">
      <selection activeCell="D17" sqref="D17"/>
    </sheetView>
  </sheetViews>
  <sheetFormatPr baseColWidth="10" defaultColWidth="12.6328125" defaultRowHeight="15" customHeight="1" x14ac:dyDescent="0.25"/>
  <cols>
    <col min="1" max="1" width="10.6328125" customWidth="1"/>
    <col min="2" max="2" width="13" customWidth="1"/>
    <col min="3" max="3" width="11.7265625" customWidth="1"/>
    <col min="4" max="4" width="18" customWidth="1"/>
    <col min="5" max="5" width="3" hidden="1" customWidth="1"/>
    <col min="6" max="6" width="3.6328125" hidden="1" customWidth="1"/>
    <col min="7" max="7" width="20.08984375" customWidth="1"/>
    <col min="8" max="8" width="3.90625" customWidth="1"/>
    <col min="9" max="26" width="10.6328125" customWidth="1"/>
  </cols>
  <sheetData>
    <row r="1" spans="2:13" ht="12.75" customHeight="1" x14ac:dyDescent="0.25">
      <c r="D1" s="3"/>
      <c r="E1" s="3"/>
      <c r="F1" s="3"/>
    </row>
    <row r="2" spans="2:13" ht="12.75" customHeight="1" x14ac:dyDescent="0.25">
      <c r="D2" s="3"/>
      <c r="E2" s="3"/>
      <c r="F2" s="3"/>
    </row>
    <row r="3" spans="2:13" ht="18" x14ac:dyDescent="0.4">
      <c r="B3" s="28" t="s">
        <v>28</v>
      </c>
      <c r="C3" s="21" t="s">
        <v>23</v>
      </c>
      <c r="D3" s="21" t="s">
        <v>24</v>
      </c>
      <c r="E3" s="21"/>
      <c r="F3" s="21"/>
      <c r="G3" s="21"/>
      <c r="H3" s="3"/>
      <c r="I3" s="48" t="s">
        <v>25</v>
      </c>
      <c r="J3" s="49"/>
      <c r="K3" s="49"/>
      <c r="L3" s="49"/>
      <c r="M3" s="50"/>
    </row>
    <row r="4" spans="2:13" ht="19.5" customHeight="1" x14ac:dyDescent="0.4">
      <c r="B4" s="21">
        <v>1</v>
      </c>
      <c r="C4" s="21">
        <v>10</v>
      </c>
      <c r="D4" s="21">
        <v>9</v>
      </c>
      <c r="E4" s="21">
        <f>C4-TOTAL!G4</f>
        <v>0</v>
      </c>
      <c r="F4" s="21">
        <f>D4-TOTAL!H4</f>
        <v>0</v>
      </c>
      <c r="G4" s="21" t="str">
        <f t="shared" ref="G4:G14" si="0">IF(AND(E4=0,F4=0),IF(B4="T","OKPELEA","OK"),IF(B4="T","ERRORPELEA","ERROR"))</f>
        <v>OK</v>
      </c>
      <c r="H4" s="3"/>
      <c r="I4" s="51"/>
      <c r="J4" s="52"/>
      <c r="K4" s="52"/>
      <c r="L4" s="52"/>
      <c r="M4" s="53"/>
    </row>
    <row r="5" spans="2:13" ht="19.5" customHeight="1" x14ac:dyDescent="0.4">
      <c r="B5" s="21">
        <v>2</v>
      </c>
      <c r="C5" s="21">
        <v>10</v>
      </c>
      <c r="D5" s="21">
        <v>9</v>
      </c>
      <c r="E5" s="21">
        <f>C5-TOTAL!G5</f>
        <v>0</v>
      </c>
      <c r="F5" s="21">
        <f>D5-TOTAL!H5</f>
        <v>0</v>
      </c>
      <c r="G5" s="21" t="str">
        <f t="shared" si="0"/>
        <v>OK</v>
      </c>
      <c r="H5" s="3"/>
      <c r="I5" s="54"/>
      <c r="J5" s="55"/>
      <c r="K5" s="55"/>
      <c r="L5" s="55"/>
      <c r="M5" s="56"/>
    </row>
    <row r="6" spans="2:13" ht="19.5" customHeight="1" x14ac:dyDescent="0.4">
      <c r="B6" s="21">
        <v>3</v>
      </c>
      <c r="C6" s="21">
        <v>10</v>
      </c>
      <c r="D6" s="21">
        <v>9</v>
      </c>
      <c r="E6" s="21">
        <f>C6-TOTAL!G6</f>
        <v>0</v>
      </c>
      <c r="F6" s="21">
        <f>D6-TOTAL!H6</f>
        <v>0</v>
      </c>
      <c r="G6" s="21" t="str">
        <f t="shared" si="0"/>
        <v>OK</v>
      </c>
      <c r="H6" s="3"/>
      <c r="I6" s="57">
        <f>COUNTIF(G4:G13,"ERROR")*1/10</f>
        <v>0</v>
      </c>
      <c r="J6" s="49"/>
      <c r="K6" s="49"/>
      <c r="L6" s="49"/>
      <c r="M6" s="50"/>
    </row>
    <row r="7" spans="2:13" ht="19.5" customHeight="1" x14ac:dyDescent="0.4">
      <c r="B7" s="21">
        <v>4</v>
      </c>
      <c r="C7" s="23">
        <v>9</v>
      </c>
      <c r="D7" s="23">
        <v>10</v>
      </c>
      <c r="E7" s="21">
        <f>C7-TOTAL!G7</f>
        <v>0</v>
      </c>
      <c r="F7" s="21">
        <f>D7-TOTAL!H7</f>
        <v>0</v>
      </c>
      <c r="G7" s="21" t="str">
        <f t="shared" si="0"/>
        <v>OK</v>
      </c>
      <c r="H7" s="3"/>
      <c r="I7" s="51"/>
      <c r="J7" s="52"/>
      <c r="K7" s="52"/>
      <c r="L7" s="52"/>
      <c r="M7" s="53"/>
    </row>
    <row r="8" spans="2:13" ht="19.5" customHeight="1" x14ac:dyDescent="0.4">
      <c r="B8" s="21">
        <v>5</v>
      </c>
      <c r="C8" s="23">
        <v>9</v>
      </c>
      <c r="D8" s="23">
        <v>10</v>
      </c>
      <c r="E8" s="21">
        <f>C8-TOTAL!G8</f>
        <v>0</v>
      </c>
      <c r="F8" s="21">
        <f>D8-TOTAL!H8</f>
        <v>0</v>
      </c>
      <c r="G8" s="21" t="str">
        <f t="shared" si="0"/>
        <v>OK</v>
      </c>
      <c r="H8" s="3"/>
      <c r="I8" s="54"/>
      <c r="J8" s="55"/>
      <c r="K8" s="55"/>
      <c r="L8" s="55"/>
      <c r="M8" s="56"/>
    </row>
    <row r="9" spans="2:13" ht="19.5" customHeight="1" x14ac:dyDescent="0.4">
      <c r="B9" s="21">
        <v>6</v>
      </c>
      <c r="C9" s="23">
        <v>10</v>
      </c>
      <c r="D9" s="23">
        <v>9</v>
      </c>
      <c r="E9" s="21">
        <f>C9-TOTAL!G9</f>
        <v>0</v>
      </c>
      <c r="F9" s="21">
        <f>D9-TOTAL!H9</f>
        <v>0</v>
      </c>
      <c r="G9" s="21" t="str">
        <f t="shared" si="0"/>
        <v>OK</v>
      </c>
      <c r="H9" s="3"/>
    </row>
    <row r="10" spans="2:13" ht="19.5" customHeight="1" x14ac:dyDescent="0.4">
      <c r="B10" s="21">
        <v>7</v>
      </c>
      <c r="C10" s="21">
        <v>10</v>
      </c>
      <c r="D10" s="21">
        <v>9</v>
      </c>
      <c r="E10" s="21">
        <f>C10-TOTAL!G10</f>
        <v>0</v>
      </c>
      <c r="F10" s="21">
        <f>D10-TOTAL!H10</f>
        <v>0</v>
      </c>
      <c r="G10" s="21" t="str">
        <f t="shared" si="0"/>
        <v>OK</v>
      </c>
      <c r="H10" s="3"/>
      <c r="I10" s="48" t="s">
        <v>26</v>
      </c>
      <c r="J10" s="49"/>
      <c r="K10" s="49"/>
      <c r="L10" s="49"/>
      <c r="M10" s="50"/>
    </row>
    <row r="11" spans="2:13" ht="19.5" customHeight="1" x14ac:dyDescent="0.4">
      <c r="B11" s="21">
        <v>8</v>
      </c>
      <c r="C11" s="21">
        <v>10</v>
      </c>
      <c r="D11" s="21">
        <v>9</v>
      </c>
      <c r="E11" s="21">
        <f>C11-TOTAL!G11</f>
        <v>0</v>
      </c>
      <c r="F11" s="21">
        <f>D11-TOTAL!H11</f>
        <v>0</v>
      </c>
      <c r="G11" s="21" t="str">
        <f t="shared" si="0"/>
        <v>OK</v>
      </c>
      <c r="H11" s="3"/>
      <c r="I11" s="51"/>
      <c r="J11" s="52"/>
      <c r="K11" s="52"/>
      <c r="L11" s="52"/>
      <c r="M11" s="53"/>
    </row>
    <row r="12" spans="2:13" ht="19.5" customHeight="1" x14ac:dyDescent="0.4">
      <c r="B12" s="21">
        <v>9</v>
      </c>
      <c r="C12" s="21">
        <v>10</v>
      </c>
      <c r="D12" s="21">
        <v>9</v>
      </c>
      <c r="E12" s="21">
        <f>C12-TOTAL!G12</f>
        <v>0</v>
      </c>
      <c r="F12" s="21">
        <f>D12-TOTAL!H12</f>
        <v>0</v>
      </c>
      <c r="G12" s="21" t="str">
        <f t="shared" si="0"/>
        <v>OK</v>
      </c>
      <c r="H12" s="3"/>
      <c r="I12" s="54"/>
      <c r="J12" s="55"/>
      <c r="K12" s="55"/>
      <c r="L12" s="55"/>
      <c r="M12" s="56"/>
    </row>
    <row r="13" spans="2:13" ht="19.5" customHeight="1" x14ac:dyDescent="0.4">
      <c r="B13" s="21">
        <v>10</v>
      </c>
      <c r="C13" s="21">
        <v>10</v>
      </c>
      <c r="D13" s="21">
        <v>9</v>
      </c>
      <c r="E13" s="21">
        <f>C13-TOTAL!G13</f>
        <v>0</v>
      </c>
      <c r="F13" s="21">
        <f>D13-TOTAL!H13</f>
        <v>0</v>
      </c>
      <c r="G13" s="21" t="str">
        <f t="shared" si="0"/>
        <v>OK</v>
      </c>
      <c r="H13" s="3"/>
      <c r="I13" s="57">
        <f>IF(AND('JUEZ 2'!C4&lt;&gt;'JUEZ 1'!C4,'JUEZ 2'!C4&lt;&gt;'JUEZ 3'!C4),0.1,0) + IF(AND('JUEZ 2'!C5&lt;&gt;'JUEZ 1'!C5,'JUEZ 2'!C5&lt;&gt;'JUEZ 3'!C5),0.1,0) + IF(AND('JUEZ 2'!C6&lt;&gt;'JUEZ 1'!C6,'JUEZ 2'!C6&lt;&gt;'JUEZ 3'!C6),0.1,0) + IF(AND('JUEZ 2'!C7&lt;&gt;'JUEZ 1'!C7,'JUEZ 2'!C7&lt;&gt;'JUEZ 3'!C7),0.1,0) + IF(AND('JUEZ 2'!C8&lt;&gt;'JUEZ 1'!C8,'JUEZ 2'!C8&lt;&gt;'JUEZ 3'!C8),0.1,0)+ IF(AND('JUEZ 2'!C9&lt;&gt;'JUEZ 1'!C9,'JUEZ 2'!C9&lt;&gt;'JUEZ 3'!C9),0.1,0)+ IF(AND('JUEZ 2'!C10&lt;&gt;'JUEZ 1'!C10,'JUEZ 2'!C10&lt;&gt;'JUEZ 3'!C10),0.1,0)+ IF(AND('JUEZ 2'!C11&lt;&gt;'JUEZ 1'!C11,'JUEZ 2'!C11&lt;&gt;'JUEZ 3'!C11),0.1,0)+ IF(AND('JUEZ 2'!C12&lt;&gt;'JUEZ 1'!C12,'JUEZ 2'!C12&lt;&gt;'JUEZ 3'!C12),0.1,0)+ IF(AND('JUEZ 2'!C13&lt;&gt;'JUEZ 1'!C13,'JUEZ 2'!C13&lt;&gt;'JUEZ 3'!C13),0.1,0)</f>
        <v>0</v>
      </c>
      <c r="J13" s="49"/>
      <c r="K13" s="49"/>
      <c r="L13" s="49"/>
      <c r="M13" s="50"/>
    </row>
    <row r="14" spans="2:13" ht="19.5" customHeight="1" x14ac:dyDescent="0.4">
      <c r="B14" s="21" t="s">
        <v>3</v>
      </c>
      <c r="C14" s="21">
        <f t="shared" ref="C14:D14" si="1">SUM(C4:C13)</f>
        <v>98</v>
      </c>
      <c r="D14" s="21">
        <f t="shared" si="1"/>
        <v>92</v>
      </c>
      <c r="E14" s="21">
        <f>C14-TOTAL!G14</f>
        <v>0</v>
      </c>
      <c r="F14" s="21">
        <f>D14-TOTAL!H14</f>
        <v>0</v>
      </c>
      <c r="G14" s="21" t="str">
        <f t="shared" si="0"/>
        <v>OKPELEA</v>
      </c>
      <c r="H14" s="3"/>
      <c r="I14" s="51"/>
      <c r="J14" s="52"/>
      <c r="K14" s="52"/>
      <c r="L14" s="52"/>
      <c r="M14" s="53"/>
    </row>
    <row r="15" spans="2:13" ht="19.5" customHeight="1" x14ac:dyDescent="0.4">
      <c r="B15" s="29"/>
      <c r="C15" s="29"/>
      <c r="D15" s="21" t="s">
        <v>27</v>
      </c>
      <c r="E15" s="21"/>
      <c r="F15" s="21"/>
      <c r="G15" s="21">
        <f>COUNTIF(G4:G13,"error")</f>
        <v>0</v>
      </c>
      <c r="I15" s="54"/>
      <c r="J15" s="55"/>
      <c r="K15" s="55"/>
      <c r="L15" s="55"/>
      <c r="M15" s="56"/>
    </row>
    <row r="16" spans="2:13" ht="12.75" customHeight="1" x14ac:dyDescent="0.25">
      <c r="D16" s="3"/>
      <c r="E16" s="3"/>
      <c r="F16" s="3"/>
    </row>
    <row r="17" spans="4:6" ht="12.75" customHeight="1" x14ac:dyDescent="0.25">
      <c r="D17" s="3"/>
      <c r="E17" s="3"/>
      <c r="F17" s="3"/>
    </row>
    <row r="18" spans="4:6" ht="12.75" customHeight="1" x14ac:dyDescent="0.25">
      <c r="D18" s="3"/>
      <c r="E18" s="3"/>
      <c r="F18" s="3"/>
    </row>
    <row r="19" spans="4:6" ht="12.75" customHeight="1" x14ac:dyDescent="0.25">
      <c r="D19" s="3"/>
      <c r="E19" s="3"/>
      <c r="F19" s="3"/>
    </row>
    <row r="20" spans="4:6" ht="12.75" customHeight="1" x14ac:dyDescent="0.25">
      <c r="D20" s="3"/>
      <c r="E20" s="3"/>
      <c r="F20" s="3"/>
    </row>
    <row r="21" spans="4:6" ht="12.75" customHeight="1" x14ac:dyDescent="0.25">
      <c r="D21" s="3"/>
      <c r="E21" s="3"/>
      <c r="F21" s="3"/>
    </row>
    <row r="22" spans="4:6" ht="12.75" customHeight="1" x14ac:dyDescent="0.25">
      <c r="D22" s="3"/>
      <c r="E22" s="3"/>
      <c r="F22" s="3"/>
    </row>
    <row r="23" spans="4:6" ht="12.75" customHeight="1" x14ac:dyDescent="0.25">
      <c r="D23" s="3"/>
      <c r="E23" s="3"/>
      <c r="F23" s="3"/>
    </row>
    <row r="24" spans="4:6" ht="12.75" customHeight="1" x14ac:dyDescent="0.25">
      <c r="D24" s="3"/>
      <c r="E24" s="3"/>
      <c r="F24" s="3"/>
    </row>
    <row r="25" spans="4:6" ht="12.75" customHeight="1" x14ac:dyDescent="0.25">
      <c r="D25" s="3"/>
      <c r="E25" s="3"/>
      <c r="F25" s="3"/>
    </row>
    <row r="26" spans="4:6" ht="12.75" customHeight="1" x14ac:dyDescent="0.25">
      <c r="D26" s="3"/>
      <c r="E26" s="3"/>
      <c r="F26" s="3"/>
    </row>
    <row r="27" spans="4:6" ht="12.75" customHeight="1" x14ac:dyDescent="0.25">
      <c r="D27" s="3"/>
      <c r="E27" s="3"/>
      <c r="F27" s="3"/>
    </row>
    <row r="28" spans="4:6" ht="12.75" customHeight="1" x14ac:dyDescent="0.25">
      <c r="D28" s="3"/>
      <c r="E28" s="3"/>
      <c r="F28" s="3"/>
    </row>
    <row r="29" spans="4:6" ht="12.75" customHeight="1" x14ac:dyDescent="0.25">
      <c r="D29" s="3"/>
      <c r="E29" s="3"/>
      <c r="F29" s="3"/>
    </row>
    <row r="30" spans="4:6" ht="12.75" customHeight="1" x14ac:dyDescent="0.25">
      <c r="D30" s="3"/>
      <c r="E30" s="3"/>
      <c r="F30" s="3"/>
    </row>
    <row r="31" spans="4:6" ht="12.75" customHeight="1" x14ac:dyDescent="0.25">
      <c r="D31" s="3"/>
      <c r="E31" s="3"/>
      <c r="F31" s="3"/>
    </row>
    <row r="32" spans="4:6" ht="12.75" customHeight="1" x14ac:dyDescent="0.25">
      <c r="D32" s="3"/>
      <c r="E32" s="3"/>
      <c r="F32" s="3"/>
    </row>
    <row r="33" spans="4:6" ht="12.75" customHeight="1" x14ac:dyDescent="0.25">
      <c r="D33" s="3"/>
      <c r="E33" s="3"/>
      <c r="F33" s="3"/>
    </row>
    <row r="34" spans="4:6" ht="12.75" customHeight="1" x14ac:dyDescent="0.25">
      <c r="D34" s="3"/>
      <c r="E34" s="3"/>
      <c r="F34" s="3"/>
    </row>
    <row r="35" spans="4:6" ht="12.75" customHeight="1" x14ac:dyDescent="0.25">
      <c r="D35" s="3"/>
      <c r="E35" s="3"/>
      <c r="F35" s="3"/>
    </row>
    <row r="36" spans="4:6" ht="12.75" customHeight="1" x14ac:dyDescent="0.25">
      <c r="D36" s="3"/>
      <c r="E36" s="3"/>
      <c r="F36" s="3"/>
    </row>
    <row r="37" spans="4:6" ht="12.75" customHeight="1" x14ac:dyDescent="0.25">
      <c r="D37" s="3"/>
      <c r="E37" s="3"/>
      <c r="F37" s="3"/>
    </row>
    <row r="38" spans="4:6" ht="12.75" customHeight="1" x14ac:dyDescent="0.25">
      <c r="D38" s="3"/>
      <c r="E38" s="3"/>
      <c r="F38" s="3"/>
    </row>
    <row r="39" spans="4:6" ht="12.75" customHeight="1" x14ac:dyDescent="0.25">
      <c r="D39" s="3"/>
      <c r="E39" s="3"/>
      <c r="F39" s="3"/>
    </row>
    <row r="40" spans="4:6" ht="12.75" customHeight="1" x14ac:dyDescent="0.25">
      <c r="D40" s="3"/>
      <c r="E40" s="3"/>
      <c r="F40" s="3"/>
    </row>
    <row r="41" spans="4:6" ht="12.75" customHeight="1" x14ac:dyDescent="0.25">
      <c r="D41" s="3"/>
      <c r="E41" s="3"/>
      <c r="F41" s="3"/>
    </row>
    <row r="42" spans="4:6" ht="12.75" customHeight="1" x14ac:dyDescent="0.25">
      <c r="D42" s="3"/>
      <c r="E42" s="3"/>
      <c r="F42" s="3"/>
    </row>
    <row r="43" spans="4:6" ht="12.75" customHeight="1" x14ac:dyDescent="0.25">
      <c r="D43" s="3"/>
      <c r="E43" s="3"/>
      <c r="F43" s="3"/>
    </row>
    <row r="44" spans="4:6" ht="12.75" customHeight="1" x14ac:dyDescent="0.25">
      <c r="D44" s="3"/>
      <c r="E44" s="3"/>
      <c r="F44" s="3"/>
    </row>
    <row r="45" spans="4:6" ht="12.75" customHeight="1" x14ac:dyDescent="0.25">
      <c r="D45" s="3"/>
      <c r="E45" s="3"/>
      <c r="F45" s="3"/>
    </row>
    <row r="46" spans="4:6" ht="12.75" customHeight="1" x14ac:dyDescent="0.25">
      <c r="D46" s="3"/>
      <c r="E46" s="3"/>
      <c r="F46" s="3"/>
    </row>
    <row r="47" spans="4:6" ht="12.75" customHeight="1" x14ac:dyDescent="0.25">
      <c r="D47" s="3"/>
      <c r="E47" s="3"/>
      <c r="F47" s="3"/>
    </row>
    <row r="48" spans="4:6" ht="12.75" customHeight="1" x14ac:dyDescent="0.25">
      <c r="D48" s="3"/>
      <c r="E48" s="3"/>
      <c r="F48" s="3"/>
    </row>
    <row r="49" spans="4:6" ht="12.75" customHeight="1" x14ac:dyDescent="0.25">
      <c r="D49" s="3"/>
      <c r="E49" s="3"/>
      <c r="F49" s="3"/>
    </row>
    <row r="50" spans="4:6" ht="12.75" customHeight="1" x14ac:dyDescent="0.25">
      <c r="D50" s="3"/>
      <c r="E50" s="3"/>
      <c r="F50" s="3"/>
    </row>
    <row r="51" spans="4:6" ht="12.75" customHeight="1" x14ac:dyDescent="0.25">
      <c r="D51" s="3"/>
      <c r="E51" s="3"/>
      <c r="F51" s="3"/>
    </row>
    <row r="52" spans="4:6" ht="12.75" customHeight="1" x14ac:dyDescent="0.25">
      <c r="D52" s="3"/>
      <c r="E52" s="3"/>
      <c r="F52" s="3"/>
    </row>
    <row r="53" spans="4:6" ht="12.75" customHeight="1" x14ac:dyDescent="0.25">
      <c r="D53" s="3"/>
      <c r="E53" s="3"/>
      <c r="F53" s="3"/>
    </row>
    <row r="54" spans="4:6" ht="12.75" customHeight="1" x14ac:dyDescent="0.25">
      <c r="D54" s="3"/>
      <c r="E54" s="3"/>
      <c r="F54" s="3"/>
    </row>
    <row r="55" spans="4:6" ht="12.75" customHeight="1" x14ac:dyDescent="0.25">
      <c r="D55" s="3"/>
      <c r="E55" s="3"/>
      <c r="F55" s="3"/>
    </row>
    <row r="56" spans="4:6" ht="12.75" customHeight="1" x14ac:dyDescent="0.25">
      <c r="D56" s="3"/>
      <c r="E56" s="3"/>
      <c r="F56" s="3"/>
    </row>
    <row r="57" spans="4:6" ht="12.75" customHeight="1" x14ac:dyDescent="0.25">
      <c r="D57" s="3"/>
      <c r="E57" s="3"/>
      <c r="F57" s="3"/>
    </row>
    <row r="58" spans="4:6" ht="12.75" customHeight="1" x14ac:dyDescent="0.25">
      <c r="D58" s="3"/>
      <c r="E58" s="3"/>
      <c r="F58" s="3"/>
    </row>
    <row r="59" spans="4:6" ht="12.75" customHeight="1" x14ac:dyDescent="0.25">
      <c r="D59" s="3"/>
      <c r="E59" s="3"/>
      <c r="F59" s="3"/>
    </row>
    <row r="60" spans="4:6" ht="12.75" customHeight="1" x14ac:dyDescent="0.25">
      <c r="D60" s="3"/>
      <c r="E60" s="3"/>
      <c r="F60" s="3"/>
    </row>
    <row r="61" spans="4:6" ht="12.75" customHeight="1" x14ac:dyDescent="0.25">
      <c r="D61" s="3"/>
      <c r="E61" s="3"/>
      <c r="F61" s="3"/>
    </row>
    <row r="62" spans="4:6" ht="12.75" customHeight="1" x14ac:dyDescent="0.25">
      <c r="D62" s="3"/>
      <c r="E62" s="3"/>
      <c r="F62" s="3"/>
    </row>
    <row r="63" spans="4:6" ht="12.75" customHeight="1" x14ac:dyDescent="0.25">
      <c r="D63" s="3"/>
      <c r="E63" s="3"/>
      <c r="F63" s="3"/>
    </row>
    <row r="64" spans="4:6" ht="12.75" customHeight="1" x14ac:dyDescent="0.25">
      <c r="D64" s="3"/>
      <c r="E64" s="3"/>
      <c r="F64" s="3"/>
    </row>
    <row r="65" spans="4:6" ht="12.75" customHeight="1" x14ac:dyDescent="0.25">
      <c r="D65" s="3"/>
      <c r="E65" s="3"/>
      <c r="F65" s="3"/>
    </row>
    <row r="66" spans="4:6" ht="12.75" customHeight="1" x14ac:dyDescent="0.25">
      <c r="D66" s="3"/>
      <c r="E66" s="3"/>
      <c r="F66" s="3"/>
    </row>
    <row r="67" spans="4:6" ht="12.75" customHeight="1" x14ac:dyDescent="0.25">
      <c r="D67" s="3"/>
      <c r="E67" s="3"/>
      <c r="F67" s="3"/>
    </row>
    <row r="68" spans="4:6" ht="12.75" customHeight="1" x14ac:dyDescent="0.25">
      <c r="D68" s="3"/>
      <c r="E68" s="3"/>
      <c r="F68" s="3"/>
    </row>
    <row r="69" spans="4:6" ht="12.75" customHeight="1" x14ac:dyDescent="0.25">
      <c r="D69" s="3"/>
      <c r="E69" s="3"/>
      <c r="F69" s="3"/>
    </row>
    <row r="70" spans="4:6" ht="12.75" customHeight="1" x14ac:dyDescent="0.25">
      <c r="D70" s="3"/>
      <c r="E70" s="3"/>
      <c r="F70" s="3"/>
    </row>
    <row r="71" spans="4:6" ht="12.75" customHeight="1" x14ac:dyDescent="0.25">
      <c r="D71" s="3"/>
      <c r="E71" s="3"/>
      <c r="F71" s="3"/>
    </row>
    <row r="72" spans="4:6" ht="12.75" customHeight="1" x14ac:dyDescent="0.25">
      <c r="D72" s="3"/>
      <c r="E72" s="3"/>
      <c r="F72" s="3"/>
    </row>
    <row r="73" spans="4:6" ht="12.75" customHeight="1" x14ac:dyDescent="0.25">
      <c r="D73" s="3"/>
      <c r="E73" s="3"/>
      <c r="F73" s="3"/>
    </row>
    <row r="74" spans="4:6" ht="12.75" customHeight="1" x14ac:dyDescent="0.25">
      <c r="D74" s="3"/>
      <c r="E74" s="3"/>
      <c r="F74" s="3"/>
    </row>
    <row r="75" spans="4:6" ht="12.75" customHeight="1" x14ac:dyDescent="0.25">
      <c r="D75" s="3"/>
      <c r="E75" s="3"/>
      <c r="F75" s="3"/>
    </row>
    <row r="76" spans="4:6" ht="12.75" customHeight="1" x14ac:dyDescent="0.25">
      <c r="D76" s="3"/>
      <c r="E76" s="3"/>
      <c r="F76" s="3"/>
    </row>
    <row r="77" spans="4:6" ht="12.75" customHeight="1" x14ac:dyDescent="0.25">
      <c r="D77" s="3"/>
      <c r="E77" s="3"/>
      <c r="F77" s="3"/>
    </row>
    <row r="78" spans="4:6" ht="12.75" customHeight="1" x14ac:dyDescent="0.25">
      <c r="D78" s="3"/>
      <c r="E78" s="3"/>
      <c r="F78" s="3"/>
    </row>
    <row r="79" spans="4:6" ht="12.75" customHeight="1" x14ac:dyDescent="0.25">
      <c r="D79" s="3"/>
      <c r="E79" s="3"/>
      <c r="F79" s="3"/>
    </row>
    <row r="80" spans="4:6" ht="12.75" customHeight="1" x14ac:dyDescent="0.25">
      <c r="D80" s="3"/>
      <c r="E80" s="3"/>
      <c r="F80" s="3"/>
    </row>
    <row r="81" spans="4:6" ht="12.75" customHeight="1" x14ac:dyDescent="0.25">
      <c r="D81" s="3"/>
      <c r="E81" s="3"/>
      <c r="F81" s="3"/>
    </row>
    <row r="82" spans="4:6" ht="12.75" customHeight="1" x14ac:dyDescent="0.25">
      <c r="D82" s="3"/>
      <c r="E82" s="3"/>
      <c r="F82" s="3"/>
    </row>
    <row r="83" spans="4:6" ht="12.75" customHeight="1" x14ac:dyDescent="0.25">
      <c r="D83" s="3"/>
      <c r="E83" s="3"/>
      <c r="F83" s="3"/>
    </row>
    <row r="84" spans="4:6" ht="12.75" customHeight="1" x14ac:dyDescent="0.25">
      <c r="D84" s="3"/>
      <c r="E84" s="3"/>
      <c r="F84" s="3"/>
    </row>
    <row r="85" spans="4:6" ht="12.75" customHeight="1" x14ac:dyDescent="0.25">
      <c r="D85" s="3"/>
      <c r="E85" s="3"/>
      <c r="F85" s="3"/>
    </row>
    <row r="86" spans="4:6" ht="12.75" customHeight="1" x14ac:dyDescent="0.25">
      <c r="D86" s="3"/>
      <c r="E86" s="3"/>
      <c r="F86" s="3"/>
    </row>
    <row r="87" spans="4:6" ht="12.75" customHeight="1" x14ac:dyDescent="0.25">
      <c r="D87" s="3"/>
      <c r="E87" s="3"/>
      <c r="F87" s="3"/>
    </row>
    <row r="88" spans="4:6" ht="12.75" customHeight="1" x14ac:dyDescent="0.25">
      <c r="D88" s="3"/>
      <c r="E88" s="3"/>
      <c r="F88" s="3"/>
    </row>
    <row r="89" spans="4:6" ht="12.75" customHeight="1" x14ac:dyDescent="0.25">
      <c r="D89" s="3"/>
      <c r="E89" s="3"/>
      <c r="F89" s="3"/>
    </row>
    <row r="90" spans="4:6" ht="12.75" customHeight="1" x14ac:dyDescent="0.25">
      <c r="D90" s="3"/>
      <c r="E90" s="3"/>
      <c r="F90" s="3"/>
    </row>
    <row r="91" spans="4:6" ht="12.75" customHeight="1" x14ac:dyDescent="0.25">
      <c r="D91" s="3"/>
      <c r="E91" s="3"/>
      <c r="F91" s="3"/>
    </row>
    <row r="92" spans="4:6" ht="12.75" customHeight="1" x14ac:dyDescent="0.25">
      <c r="D92" s="3"/>
      <c r="E92" s="3"/>
      <c r="F92" s="3"/>
    </row>
    <row r="93" spans="4:6" ht="12.75" customHeight="1" x14ac:dyDescent="0.25">
      <c r="D93" s="3"/>
      <c r="E93" s="3"/>
      <c r="F93" s="3"/>
    </row>
    <row r="94" spans="4:6" ht="12.75" customHeight="1" x14ac:dyDescent="0.25">
      <c r="D94" s="3"/>
      <c r="E94" s="3"/>
      <c r="F94" s="3"/>
    </row>
    <row r="95" spans="4:6" ht="12.75" customHeight="1" x14ac:dyDescent="0.25">
      <c r="D95" s="3"/>
      <c r="E95" s="3"/>
      <c r="F95" s="3"/>
    </row>
    <row r="96" spans="4:6" ht="12.75" customHeight="1" x14ac:dyDescent="0.25">
      <c r="D96" s="3"/>
      <c r="E96" s="3"/>
      <c r="F96" s="3"/>
    </row>
    <row r="97" spans="4:6" ht="12.75" customHeight="1" x14ac:dyDescent="0.25">
      <c r="D97" s="3"/>
      <c r="E97" s="3"/>
      <c r="F97" s="3"/>
    </row>
    <row r="98" spans="4:6" ht="12.75" customHeight="1" x14ac:dyDescent="0.25">
      <c r="D98" s="3"/>
      <c r="E98" s="3"/>
      <c r="F98" s="3"/>
    </row>
    <row r="99" spans="4:6" ht="12.75" customHeight="1" x14ac:dyDescent="0.25">
      <c r="D99" s="3"/>
      <c r="E99" s="3"/>
      <c r="F99" s="3"/>
    </row>
    <row r="100" spans="4:6" ht="12.75" customHeight="1" x14ac:dyDescent="0.25">
      <c r="D100" s="3"/>
      <c r="E100" s="3"/>
      <c r="F100" s="3"/>
    </row>
    <row r="101" spans="4:6" ht="12.75" customHeight="1" x14ac:dyDescent="0.25">
      <c r="D101" s="3"/>
      <c r="E101" s="3"/>
      <c r="F101" s="3"/>
    </row>
    <row r="102" spans="4:6" ht="12.75" customHeight="1" x14ac:dyDescent="0.25">
      <c r="D102" s="3"/>
      <c r="E102" s="3"/>
      <c r="F102" s="3"/>
    </row>
    <row r="103" spans="4:6" ht="12.75" customHeight="1" x14ac:dyDescent="0.25">
      <c r="D103" s="3"/>
      <c r="E103" s="3"/>
      <c r="F103" s="3"/>
    </row>
    <row r="104" spans="4:6" ht="12.75" customHeight="1" x14ac:dyDescent="0.25">
      <c r="D104" s="3"/>
      <c r="E104" s="3"/>
      <c r="F104" s="3"/>
    </row>
    <row r="105" spans="4:6" ht="12.75" customHeight="1" x14ac:dyDescent="0.25">
      <c r="D105" s="3"/>
      <c r="E105" s="3"/>
      <c r="F105" s="3"/>
    </row>
    <row r="106" spans="4:6" ht="12.75" customHeight="1" x14ac:dyDescent="0.25">
      <c r="D106" s="3"/>
      <c r="E106" s="3"/>
      <c r="F106" s="3"/>
    </row>
    <row r="107" spans="4:6" ht="12.75" customHeight="1" x14ac:dyDescent="0.25">
      <c r="D107" s="3"/>
      <c r="E107" s="3"/>
      <c r="F107" s="3"/>
    </row>
    <row r="108" spans="4:6" ht="12.75" customHeight="1" x14ac:dyDescent="0.25">
      <c r="D108" s="3"/>
      <c r="E108" s="3"/>
      <c r="F108" s="3"/>
    </row>
    <row r="109" spans="4:6" ht="12.75" customHeight="1" x14ac:dyDescent="0.25">
      <c r="D109" s="3"/>
      <c r="E109" s="3"/>
      <c r="F109" s="3"/>
    </row>
    <row r="110" spans="4:6" ht="12.75" customHeight="1" x14ac:dyDescent="0.25">
      <c r="D110" s="3"/>
      <c r="E110" s="3"/>
      <c r="F110" s="3"/>
    </row>
    <row r="111" spans="4:6" ht="12.75" customHeight="1" x14ac:dyDescent="0.25">
      <c r="D111" s="3"/>
      <c r="E111" s="3"/>
      <c r="F111" s="3"/>
    </row>
    <row r="112" spans="4:6" ht="12.75" customHeight="1" x14ac:dyDescent="0.25">
      <c r="D112" s="3"/>
      <c r="E112" s="3"/>
      <c r="F112" s="3"/>
    </row>
    <row r="113" spans="4:6" ht="12.75" customHeight="1" x14ac:dyDescent="0.25">
      <c r="D113" s="3"/>
      <c r="E113" s="3"/>
      <c r="F113" s="3"/>
    </row>
    <row r="114" spans="4:6" ht="12.75" customHeight="1" x14ac:dyDescent="0.25">
      <c r="D114" s="3"/>
      <c r="E114" s="3"/>
      <c r="F114" s="3"/>
    </row>
    <row r="115" spans="4:6" ht="12.75" customHeight="1" x14ac:dyDescent="0.25">
      <c r="D115" s="3"/>
      <c r="E115" s="3"/>
      <c r="F115" s="3"/>
    </row>
    <row r="116" spans="4:6" ht="12.75" customHeight="1" x14ac:dyDescent="0.25">
      <c r="D116" s="3"/>
      <c r="E116" s="3"/>
      <c r="F116" s="3"/>
    </row>
    <row r="117" spans="4:6" ht="12.75" customHeight="1" x14ac:dyDescent="0.25">
      <c r="D117" s="3"/>
      <c r="E117" s="3"/>
      <c r="F117" s="3"/>
    </row>
    <row r="118" spans="4:6" ht="12.75" customHeight="1" x14ac:dyDescent="0.25">
      <c r="D118" s="3"/>
      <c r="E118" s="3"/>
      <c r="F118" s="3"/>
    </row>
    <row r="119" spans="4:6" ht="12.75" customHeight="1" x14ac:dyDescent="0.25">
      <c r="D119" s="3"/>
      <c r="E119" s="3"/>
      <c r="F119" s="3"/>
    </row>
    <row r="120" spans="4:6" ht="12.75" customHeight="1" x14ac:dyDescent="0.25">
      <c r="D120" s="3"/>
      <c r="E120" s="3"/>
      <c r="F120" s="3"/>
    </row>
    <row r="121" spans="4:6" ht="12.75" customHeight="1" x14ac:dyDescent="0.25">
      <c r="D121" s="3"/>
      <c r="E121" s="3"/>
      <c r="F121" s="3"/>
    </row>
    <row r="122" spans="4:6" ht="12.75" customHeight="1" x14ac:dyDescent="0.25">
      <c r="D122" s="3"/>
      <c r="E122" s="3"/>
      <c r="F122" s="3"/>
    </row>
    <row r="123" spans="4:6" ht="12.75" customHeight="1" x14ac:dyDescent="0.25">
      <c r="D123" s="3"/>
      <c r="E123" s="3"/>
      <c r="F123" s="3"/>
    </row>
    <row r="124" spans="4:6" ht="12.75" customHeight="1" x14ac:dyDescent="0.25">
      <c r="D124" s="3"/>
      <c r="E124" s="3"/>
      <c r="F124" s="3"/>
    </row>
    <row r="125" spans="4:6" ht="12.75" customHeight="1" x14ac:dyDescent="0.25">
      <c r="D125" s="3"/>
      <c r="E125" s="3"/>
      <c r="F125" s="3"/>
    </row>
    <row r="126" spans="4:6" ht="12.75" customHeight="1" x14ac:dyDescent="0.25">
      <c r="D126" s="3"/>
      <c r="E126" s="3"/>
      <c r="F126" s="3"/>
    </row>
    <row r="127" spans="4:6" ht="12.75" customHeight="1" x14ac:dyDescent="0.25">
      <c r="D127" s="3"/>
      <c r="E127" s="3"/>
      <c r="F127" s="3"/>
    </row>
    <row r="128" spans="4:6" ht="12.75" customHeight="1" x14ac:dyDescent="0.25">
      <c r="D128" s="3"/>
      <c r="E128" s="3"/>
      <c r="F128" s="3"/>
    </row>
    <row r="129" spans="4:6" ht="12.75" customHeight="1" x14ac:dyDescent="0.25">
      <c r="D129" s="3"/>
      <c r="E129" s="3"/>
      <c r="F129" s="3"/>
    </row>
    <row r="130" spans="4:6" ht="12.75" customHeight="1" x14ac:dyDescent="0.25">
      <c r="D130" s="3"/>
      <c r="E130" s="3"/>
      <c r="F130" s="3"/>
    </row>
    <row r="131" spans="4:6" ht="12.75" customHeight="1" x14ac:dyDescent="0.25">
      <c r="D131" s="3"/>
      <c r="E131" s="3"/>
      <c r="F131" s="3"/>
    </row>
    <row r="132" spans="4:6" ht="12.75" customHeight="1" x14ac:dyDescent="0.25">
      <c r="D132" s="3"/>
      <c r="E132" s="3"/>
      <c r="F132" s="3"/>
    </row>
    <row r="133" spans="4:6" ht="12.75" customHeight="1" x14ac:dyDescent="0.25">
      <c r="D133" s="3"/>
      <c r="E133" s="3"/>
      <c r="F133" s="3"/>
    </row>
    <row r="134" spans="4:6" ht="12.75" customHeight="1" x14ac:dyDescent="0.25">
      <c r="D134" s="3"/>
      <c r="E134" s="3"/>
      <c r="F134" s="3"/>
    </row>
    <row r="135" spans="4:6" ht="12.75" customHeight="1" x14ac:dyDescent="0.25">
      <c r="D135" s="3"/>
      <c r="E135" s="3"/>
      <c r="F135" s="3"/>
    </row>
    <row r="136" spans="4:6" ht="12.75" customHeight="1" x14ac:dyDescent="0.25">
      <c r="D136" s="3"/>
      <c r="E136" s="3"/>
      <c r="F136" s="3"/>
    </row>
    <row r="137" spans="4:6" ht="12.75" customHeight="1" x14ac:dyDescent="0.25">
      <c r="D137" s="3"/>
      <c r="E137" s="3"/>
      <c r="F137" s="3"/>
    </row>
    <row r="138" spans="4:6" ht="12.75" customHeight="1" x14ac:dyDescent="0.25">
      <c r="D138" s="3"/>
      <c r="E138" s="3"/>
      <c r="F138" s="3"/>
    </row>
    <row r="139" spans="4:6" ht="12.75" customHeight="1" x14ac:dyDescent="0.25">
      <c r="D139" s="3"/>
      <c r="E139" s="3"/>
      <c r="F139" s="3"/>
    </row>
    <row r="140" spans="4:6" ht="12.75" customHeight="1" x14ac:dyDescent="0.25">
      <c r="D140" s="3"/>
      <c r="E140" s="3"/>
      <c r="F140" s="3"/>
    </row>
    <row r="141" spans="4:6" ht="12.75" customHeight="1" x14ac:dyDescent="0.25">
      <c r="D141" s="3"/>
      <c r="E141" s="3"/>
      <c r="F141" s="3"/>
    </row>
    <row r="142" spans="4:6" ht="12.75" customHeight="1" x14ac:dyDescent="0.25">
      <c r="D142" s="3"/>
      <c r="E142" s="3"/>
      <c r="F142" s="3"/>
    </row>
    <row r="143" spans="4:6" ht="12.75" customHeight="1" x14ac:dyDescent="0.25">
      <c r="D143" s="3"/>
      <c r="E143" s="3"/>
      <c r="F143" s="3"/>
    </row>
    <row r="144" spans="4:6" ht="12.75" customHeight="1" x14ac:dyDescent="0.25">
      <c r="D144" s="3"/>
      <c r="E144" s="3"/>
      <c r="F144" s="3"/>
    </row>
    <row r="145" spans="4:6" ht="12.75" customHeight="1" x14ac:dyDescent="0.25">
      <c r="D145" s="3"/>
      <c r="E145" s="3"/>
      <c r="F145" s="3"/>
    </row>
    <row r="146" spans="4:6" ht="12.75" customHeight="1" x14ac:dyDescent="0.25">
      <c r="D146" s="3"/>
      <c r="E146" s="3"/>
      <c r="F146" s="3"/>
    </row>
    <row r="147" spans="4:6" ht="12.75" customHeight="1" x14ac:dyDescent="0.25">
      <c r="D147" s="3"/>
      <c r="E147" s="3"/>
      <c r="F147" s="3"/>
    </row>
    <row r="148" spans="4:6" ht="12.75" customHeight="1" x14ac:dyDescent="0.25">
      <c r="D148" s="3"/>
      <c r="E148" s="3"/>
      <c r="F148" s="3"/>
    </row>
    <row r="149" spans="4:6" ht="12.75" customHeight="1" x14ac:dyDescent="0.25">
      <c r="D149" s="3"/>
      <c r="E149" s="3"/>
      <c r="F149" s="3"/>
    </row>
    <row r="150" spans="4:6" ht="12.75" customHeight="1" x14ac:dyDescent="0.25">
      <c r="D150" s="3"/>
      <c r="E150" s="3"/>
      <c r="F150" s="3"/>
    </row>
    <row r="151" spans="4:6" ht="12.75" customHeight="1" x14ac:dyDescent="0.25">
      <c r="D151" s="3"/>
      <c r="E151" s="3"/>
      <c r="F151" s="3"/>
    </row>
    <row r="152" spans="4:6" ht="12.75" customHeight="1" x14ac:dyDescent="0.25">
      <c r="D152" s="3"/>
      <c r="E152" s="3"/>
      <c r="F152" s="3"/>
    </row>
    <row r="153" spans="4:6" ht="12.75" customHeight="1" x14ac:dyDescent="0.25">
      <c r="D153" s="3"/>
      <c r="E153" s="3"/>
      <c r="F153" s="3"/>
    </row>
    <row r="154" spans="4:6" ht="12.75" customHeight="1" x14ac:dyDescent="0.25">
      <c r="D154" s="3"/>
      <c r="E154" s="3"/>
      <c r="F154" s="3"/>
    </row>
    <row r="155" spans="4:6" ht="12.75" customHeight="1" x14ac:dyDescent="0.25">
      <c r="D155" s="3"/>
      <c r="E155" s="3"/>
      <c r="F155" s="3"/>
    </row>
    <row r="156" spans="4:6" ht="12.75" customHeight="1" x14ac:dyDescent="0.25">
      <c r="D156" s="3"/>
      <c r="E156" s="3"/>
      <c r="F156" s="3"/>
    </row>
    <row r="157" spans="4:6" ht="12.75" customHeight="1" x14ac:dyDescent="0.25">
      <c r="D157" s="3"/>
      <c r="E157" s="3"/>
      <c r="F157" s="3"/>
    </row>
    <row r="158" spans="4:6" ht="12.75" customHeight="1" x14ac:dyDescent="0.25">
      <c r="D158" s="3"/>
      <c r="E158" s="3"/>
      <c r="F158" s="3"/>
    </row>
    <row r="159" spans="4:6" ht="12.75" customHeight="1" x14ac:dyDescent="0.25">
      <c r="D159" s="3"/>
      <c r="E159" s="3"/>
      <c r="F159" s="3"/>
    </row>
    <row r="160" spans="4:6" ht="12.75" customHeight="1" x14ac:dyDescent="0.25">
      <c r="D160" s="3"/>
      <c r="E160" s="3"/>
      <c r="F160" s="3"/>
    </row>
    <row r="161" spans="4:6" ht="12.75" customHeight="1" x14ac:dyDescent="0.25">
      <c r="D161" s="3"/>
      <c r="E161" s="3"/>
      <c r="F161" s="3"/>
    </row>
    <row r="162" spans="4:6" ht="12.75" customHeight="1" x14ac:dyDescent="0.25">
      <c r="D162" s="3"/>
      <c r="E162" s="3"/>
      <c r="F162" s="3"/>
    </row>
    <row r="163" spans="4:6" ht="12.75" customHeight="1" x14ac:dyDescent="0.25">
      <c r="D163" s="3"/>
      <c r="E163" s="3"/>
      <c r="F163" s="3"/>
    </row>
    <row r="164" spans="4:6" ht="12.75" customHeight="1" x14ac:dyDescent="0.25">
      <c r="D164" s="3"/>
      <c r="E164" s="3"/>
      <c r="F164" s="3"/>
    </row>
    <row r="165" spans="4:6" ht="12.75" customHeight="1" x14ac:dyDescent="0.25">
      <c r="D165" s="3"/>
      <c r="E165" s="3"/>
      <c r="F165" s="3"/>
    </row>
    <row r="166" spans="4:6" ht="12.75" customHeight="1" x14ac:dyDescent="0.25">
      <c r="D166" s="3"/>
      <c r="E166" s="3"/>
      <c r="F166" s="3"/>
    </row>
    <row r="167" spans="4:6" ht="12.75" customHeight="1" x14ac:dyDescent="0.25">
      <c r="D167" s="3"/>
      <c r="E167" s="3"/>
      <c r="F167" s="3"/>
    </row>
    <row r="168" spans="4:6" ht="12.75" customHeight="1" x14ac:dyDescent="0.25">
      <c r="D168" s="3"/>
      <c r="E168" s="3"/>
      <c r="F168" s="3"/>
    </row>
    <row r="169" spans="4:6" ht="12.75" customHeight="1" x14ac:dyDescent="0.25">
      <c r="D169" s="3"/>
      <c r="E169" s="3"/>
      <c r="F169" s="3"/>
    </row>
    <row r="170" spans="4:6" ht="12.75" customHeight="1" x14ac:dyDescent="0.25">
      <c r="D170" s="3"/>
      <c r="E170" s="3"/>
      <c r="F170" s="3"/>
    </row>
    <row r="171" spans="4:6" ht="12.75" customHeight="1" x14ac:dyDescent="0.25">
      <c r="D171" s="3"/>
      <c r="E171" s="3"/>
      <c r="F171" s="3"/>
    </row>
    <row r="172" spans="4:6" ht="12.75" customHeight="1" x14ac:dyDescent="0.25">
      <c r="D172" s="3"/>
      <c r="E172" s="3"/>
      <c r="F172" s="3"/>
    </row>
    <row r="173" spans="4:6" ht="12.75" customHeight="1" x14ac:dyDescent="0.25">
      <c r="D173" s="3"/>
      <c r="E173" s="3"/>
      <c r="F173" s="3"/>
    </row>
    <row r="174" spans="4:6" ht="12.75" customHeight="1" x14ac:dyDescent="0.25">
      <c r="D174" s="3"/>
      <c r="E174" s="3"/>
      <c r="F174" s="3"/>
    </row>
    <row r="175" spans="4:6" ht="12.75" customHeight="1" x14ac:dyDescent="0.25">
      <c r="D175" s="3"/>
      <c r="E175" s="3"/>
      <c r="F175" s="3"/>
    </row>
    <row r="176" spans="4:6" ht="12.75" customHeight="1" x14ac:dyDescent="0.25">
      <c r="D176" s="3"/>
      <c r="E176" s="3"/>
      <c r="F176" s="3"/>
    </row>
    <row r="177" spans="4:6" ht="12.75" customHeight="1" x14ac:dyDescent="0.25">
      <c r="D177" s="3"/>
      <c r="E177" s="3"/>
      <c r="F177" s="3"/>
    </row>
    <row r="178" spans="4:6" ht="12.75" customHeight="1" x14ac:dyDescent="0.25">
      <c r="D178" s="3"/>
      <c r="E178" s="3"/>
      <c r="F178" s="3"/>
    </row>
    <row r="179" spans="4:6" ht="12.75" customHeight="1" x14ac:dyDescent="0.25">
      <c r="D179" s="3"/>
      <c r="E179" s="3"/>
      <c r="F179" s="3"/>
    </row>
    <row r="180" spans="4:6" ht="12.75" customHeight="1" x14ac:dyDescent="0.25">
      <c r="D180" s="3"/>
      <c r="E180" s="3"/>
      <c r="F180" s="3"/>
    </row>
    <row r="181" spans="4:6" ht="12.75" customHeight="1" x14ac:dyDescent="0.25">
      <c r="D181" s="3"/>
      <c r="E181" s="3"/>
      <c r="F181" s="3"/>
    </row>
    <row r="182" spans="4:6" ht="12.75" customHeight="1" x14ac:dyDescent="0.25">
      <c r="D182" s="3"/>
      <c r="E182" s="3"/>
      <c r="F182" s="3"/>
    </row>
    <row r="183" spans="4:6" ht="12.75" customHeight="1" x14ac:dyDescent="0.25">
      <c r="D183" s="3"/>
      <c r="E183" s="3"/>
      <c r="F183" s="3"/>
    </row>
    <row r="184" spans="4:6" ht="12.75" customHeight="1" x14ac:dyDescent="0.25">
      <c r="D184" s="3"/>
      <c r="E184" s="3"/>
      <c r="F184" s="3"/>
    </row>
    <row r="185" spans="4:6" ht="12.75" customHeight="1" x14ac:dyDescent="0.25">
      <c r="D185" s="3"/>
      <c r="E185" s="3"/>
      <c r="F185" s="3"/>
    </row>
    <row r="186" spans="4:6" ht="12.75" customHeight="1" x14ac:dyDescent="0.25">
      <c r="D186" s="3"/>
      <c r="E186" s="3"/>
      <c r="F186" s="3"/>
    </row>
    <row r="187" spans="4:6" ht="12.75" customHeight="1" x14ac:dyDescent="0.25">
      <c r="D187" s="3"/>
      <c r="E187" s="3"/>
      <c r="F187" s="3"/>
    </row>
    <row r="188" spans="4:6" ht="12.75" customHeight="1" x14ac:dyDescent="0.25">
      <c r="D188" s="3"/>
      <c r="E188" s="3"/>
      <c r="F188" s="3"/>
    </row>
    <row r="189" spans="4:6" ht="12.75" customHeight="1" x14ac:dyDescent="0.25">
      <c r="D189" s="3"/>
      <c r="E189" s="3"/>
      <c r="F189" s="3"/>
    </row>
    <row r="190" spans="4:6" ht="12.75" customHeight="1" x14ac:dyDescent="0.25">
      <c r="D190" s="3"/>
      <c r="E190" s="3"/>
      <c r="F190" s="3"/>
    </row>
    <row r="191" spans="4:6" ht="12.75" customHeight="1" x14ac:dyDescent="0.25">
      <c r="D191" s="3"/>
      <c r="E191" s="3"/>
      <c r="F191" s="3"/>
    </row>
    <row r="192" spans="4:6" ht="12.75" customHeight="1" x14ac:dyDescent="0.25">
      <c r="D192" s="3"/>
      <c r="E192" s="3"/>
      <c r="F192" s="3"/>
    </row>
    <row r="193" spans="4:6" ht="12.75" customHeight="1" x14ac:dyDescent="0.25">
      <c r="D193" s="3"/>
      <c r="E193" s="3"/>
      <c r="F193" s="3"/>
    </row>
    <row r="194" spans="4:6" ht="12.75" customHeight="1" x14ac:dyDescent="0.25">
      <c r="D194" s="3"/>
      <c r="E194" s="3"/>
      <c r="F194" s="3"/>
    </row>
    <row r="195" spans="4:6" ht="12.75" customHeight="1" x14ac:dyDescent="0.25">
      <c r="D195" s="3"/>
      <c r="E195" s="3"/>
      <c r="F195" s="3"/>
    </row>
    <row r="196" spans="4:6" ht="12.75" customHeight="1" x14ac:dyDescent="0.25">
      <c r="D196" s="3"/>
      <c r="E196" s="3"/>
      <c r="F196" s="3"/>
    </row>
    <row r="197" spans="4:6" ht="12.75" customHeight="1" x14ac:dyDescent="0.25">
      <c r="D197" s="3"/>
      <c r="E197" s="3"/>
      <c r="F197" s="3"/>
    </row>
    <row r="198" spans="4:6" ht="12.75" customHeight="1" x14ac:dyDescent="0.25">
      <c r="D198" s="3"/>
      <c r="E198" s="3"/>
      <c r="F198" s="3"/>
    </row>
    <row r="199" spans="4:6" ht="12.75" customHeight="1" x14ac:dyDescent="0.25">
      <c r="D199" s="3"/>
      <c r="E199" s="3"/>
      <c r="F199" s="3"/>
    </row>
    <row r="200" spans="4:6" ht="12.75" customHeight="1" x14ac:dyDescent="0.25">
      <c r="D200" s="3"/>
      <c r="E200" s="3"/>
      <c r="F200" s="3"/>
    </row>
    <row r="201" spans="4:6" ht="12.75" customHeight="1" x14ac:dyDescent="0.25">
      <c r="D201" s="3"/>
      <c r="E201" s="3"/>
      <c r="F201" s="3"/>
    </row>
    <row r="202" spans="4:6" ht="12.75" customHeight="1" x14ac:dyDescent="0.25">
      <c r="D202" s="3"/>
      <c r="E202" s="3"/>
      <c r="F202" s="3"/>
    </row>
    <row r="203" spans="4:6" ht="12.75" customHeight="1" x14ac:dyDescent="0.25">
      <c r="D203" s="3"/>
      <c r="E203" s="3"/>
      <c r="F203" s="3"/>
    </row>
    <row r="204" spans="4:6" ht="12.75" customHeight="1" x14ac:dyDescent="0.25">
      <c r="D204" s="3"/>
      <c r="E204" s="3"/>
      <c r="F204" s="3"/>
    </row>
    <row r="205" spans="4:6" ht="12.75" customHeight="1" x14ac:dyDescent="0.25">
      <c r="D205" s="3"/>
      <c r="E205" s="3"/>
      <c r="F205" s="3"/>
    </row>
    <row r="206" spans="4:6" ht="12.75" customHeight="1" x14ac:dyDescent="0.25">
      <c r="D206" s="3"/>
      <c r="E206" s="3"/>
      <c r="F206" s="3"/>
    </row>
    <row r="207" spans="4:6" ht="12.75" customHeight="1" x14ac:dyDescent="0.25">
      <c r="D207" s="3"/>
      <c r="E207" s="3"/>
      <c r="F207" s="3"/>
    </row>
    <row r="208" spans="4:6" ht="12.75" customHeight="1" x14ac:dyDescent="0.25">
      <c r="D208" s="3"/>
      <c r="E208" s="3"/>
      <c r="F208" s="3"/>
    </row>
    <row r="209" spans="4:6" ht="12.75" customHeight="1" x14ac:dyDescent="0.25">
      <c r="D209" s="3"/>
      <c r="E209" s="3"/>
      <c r="F209" s="3"/>
    </row>
    <row r="210" spans="4:6" ht="12.75" customHeight="1" x14ac:dyDescent="0.25">
      <c r="D210" s="3"/>
      <c r="E210" s="3"/>
      <c r="F210" s="3"/>
    </row>
    <row r="211" spans="4:6" ht="12.75" customHeight="1" x14ac:dyDescent="0.25">
      <c r="D211" s="3"/>
      <c r="E211" s="3"/>
      <c r="F211" s="3"/>
    </row>
    <row r="212" spans="4:6" ht="12.75" customHeight="1" x14ac:dyDescent="0.25">
      <c r="D212" s="3"/>
      <c r="E212" s="3"/>
      <c r="F212" s="3"/>
    </row>
    <row r="213" spans="4:6" ht="12.75" customHeight="1" x14ac:dyDescent="0.25">
      <c r="D213" s="3"/>
      <c r="E213" s="3"/>
      <c r="F213" s="3"/>
    </row>
    <row r="214" spans="4:6" ht="12.75" customHeight="1" x14ac:dyDescent="0.25">
      <c r="D214" s="3"/>
      <c r="E214" s="3"/>
      <c r="F214" s="3"/>
    </row>
    <row r="215" spans="4:6" ht="12.75" customHeight="1" x14ac:dyDescent="0.25">
      <c r="D215" s="3"/>
      <c r="E215" s="3"/>
      <c r="F215" s="3"/>
    </row>
    <row r="216" spans="4:6" ht="12.75" customHeight="1" x14ac:dyDescent="0.25">
      <c r="D216" s="3"/>
      <c r="E216" s="3"/>
      <c r="F216" s="3"/>
    </row>
    <row r="217" spans="4:6" ht="12.75" customHeight="1" x14ac:dyDescent="0.25">
      <c r="D217" s="3"/>
      <c r="E217" s="3"/>
      <c r="F217" s="3"/>
    </row>
    <row r="218" spans="4:6" ht="12.75" customHeight="1" x14ac:dyDescent="0.25">
      <c r="D218" s="3"/>
      <c r="E218" s="3"/>
      <c r="F218" s="3"/>
    </row>
    <row r="219" spans="4:6" ht="12.75" customHeight="1" x14ac:dyDescent="0.25">
      <c r="D219" s="3"/>
      <c r="E219" s="3"/>
      <c r="F219" s="3"/>
    </row>
    <row r="220" spans="4:6" ht="12.75" customHeight="1" x14ac:dyDescent="0.25">
      <c r="D220" s="3"/>
      <c r="E220" s="3"/>
      <c r="F220" s="3"/>
    </row>
    <row r="221" spans="4:6" ht="12.75" customHeight="1" x14ac:dyDescent="0.25">
      <c r="D221" s="3"/>
      <c r="E221" s="3"/>
      <c r="F221" s="3"/>
    </row>
    <row r="222" spans="4:6" ht="12.75" customHeight="1" x14ac:dyDescent="0.25">
      <c r="D222" s="3"/>
      <c r="E222" s="3"/>
      <c r="F222" s="3"/>
    </row>
    <row r="223" spans="4:6" ht="12.75" customHeight="1" x14ac:dyDescent="0.25">
      <c r="D223" s="3"/>
      <c r="E223" s="3"/>
      <c r="F223" s="3"/>
    </row>
    <row r="224" spans="4:6" ht="12.75" customHeight="1" x14ac:dyDescent="0.25">
      <c r="D224" s="3"/>
      <c r="E224" s="3"/>
      <c r="F224" s="3"/>
    </row>
    <row r="225" spans="4:6" ht="12.75" customHeight="1" x14ac:dyDescent="0.25">
      <c r="D225" s="3"/>
      <c r="E225" s="3"/>
      <c r="F225" s="3"/>
    </row>
    <row r="226" spans="4:6" ht="12.75" customHeight="1" x14ac:dyDescent="0.25">
      <c r="D226" s="3"/>
      <c r="E226" s="3"/>
      <c r="F226" s="3"/>
    </row>
    <row r="227" spans="4:6" ht="12.75" customHeight="1" x14ac:dyDescent="0.25">
      <c r="D227" s="3"/>
      <c r="E227" s="3"/>
      <c r="F227" s="3"/>
    </row>
    <row r="228" spans="4:6" ht="12.75" customHeight="1" x14ac:dyDescent="0.25">
      <c r="D228" s="3"/>
      <c r="E228" s="3"/>
      <c r="F228" s="3"/>
    </row>
    <row r="229" spans="4:6" ht="12.75" customHeight="1" x14ac:dyDescent="0.25">
      <c r="D229" s="3"/>
      <c r="E229" s="3"/>
      <c r="F229" s="3"/>
    </row>
    <row r="230" spans="4:6" ht="12.75" customHeight="1" x14ac:dyDescent="0.25">
      <c r="D230" s="3"/>
      <c r="E230" s="3"/>
      <c r="F230" s="3"/>
    </row>
    <row r="231" spans="4:6" ht="12.75" customHeight="1" x14ac:dyDescent="0.25">
      <c r="D231" s="3"/>
      <c r="E231" s="3"/>
      <c r="F231" s="3"/>
    </row>
    <row r="232" spans="4:6" ht="12.75" customHeight="1" x14ac:dyDescent="0.25">
      <c r="D232" s="3"/>
      <c r="E232" s="3"/>
      <c r="F232" s="3"/>
    </row>
    <row r="233" spans="4:6" ht="12.75" customHeight="1" x14ac:dyDescent="0.25">
      <c r="D233" s="3"/>
      <c r="E233" s="3"/>
      <c r="F233" s="3"/>
    </row>
    <row r="234" spans="4:6" ht="12.75" customHeight="1" x14ac:dyDescent="0.25">
      <c r="D234" s="3"/>
      <c r="E234" s="3"/>
      <c r="F234" s="3"/>
    </row>
    <row r="235" spans="4:6" ht="12.75" customHeight="1" x14ac:dyDescent="0.25">
      <c r="D235" s="3"/>
      <c r="E235" s="3"/>
      <c r="F235" s="3"/>
    </row>
    <row r="236" spans="4:6" ht="12.75" customHeight="1" x14ac:dyDescent="0.25">
      <c r="D236" s="3"/>
      <c r="E236" s="3"/>
      <c r="F236" s="3"/>
    </row>
    <row r="237" spans="4:6" ht="12.75" customHeight="1" x14ac:dyDescent="0.25">
      <c r="D237" s="3"/>
      <c r="E237" s="3"/>
      <c r="F237" s="3"/>
    </row>
    <row r="238" spans="4:6" ht="12.75" customHeight="1" x14ac:dyDescent="0.25">
      <c r="D238" s="3"/>
      <c r="E238" s="3"/>
      <c r="F238" s="3"/>
    </row>
    <row r="239" spans="4:6" ht="12.75" customHeight="1" x14ac:dyDescent="0.25">
      <c r="D239" s="3"/>
      <c r="E239" s="3"/>
      <c r="F239" s="3"/>
    </row>
    <row r="240" spans="4:6" ht="12.75" customHeight="1" x14ac:dyDescent="0.25">
      <c r="D240" s="3"/>
      <c r="E240" s="3"/>
      <c r="F240" s="3"/>
    </row>
    <row r="241" spans="4:6" ht="12.75" customHeight="1" x14ac:dyDescent="0.25">
      <c r="D241" s="3"/>
      <c r="E241" s="3"/>
      <c r="F241" s="3"/>
    </row>
    <row r="242" spans="4:6" ht="12.75" customHeight="1" x14ac:dyDescent="0.25">
      <c r="D242" s="3"/>
      <c r="E242" s="3"/>
      <c r="F242" s="3"/>
    </row>
    <row r="243" spans="4:6" ht="12.75" customHeight="1" x14ac:dyDescent="0.25">
      <c r="D243" s="3"/>
      <c r="E243" s="3"/>
      <c r="F243" s="3"/>
    </row>
    <row r="244" spans="4:6" ht="12.75" customHeight="1" x14ac:dyDescent="0.25">
      <c r="D244" s="3"/>
      <c r="E244" s="3"/>
      <c r="F244" s="3"/>
    </row>
    <row r="245" spans="4:6" ht="12.75" customHeight="1" x14ac:dyDescent="0.25">
      <c r="D245" s="3"/>
      <c r="E245" s="3"/>
      <c r="F245" s="3"/>
    </row>
    <row r="246" spans="4:6" ht="12.75" customHeight="1" x14ac:dyDescent="0.25">
      <c r="D246" s="3"/>
      <c r="E246" s="3"/>
      <c r="F246" s="3"/>
    </row>
    <row r="247" spans="4:6" ht="12.75" customHeight="1" x14ac:dyDescent="0.25">
      <c r="D247" s="3"/>
      <c r="E247" s="3"/>
      <c r="F247" s="3"/>
    </row>
    <row r="248" spans="4:6" ht="12.75" customHeight="1" x14ac:dyDescent="0.25">
      <c r="D248" s="3"/>
      <c r="E248" s="3"/>
      <c r="F248" s="3"/>
    </row>
    <row r="249" spans="4:6" ht="12.75" customHeight="1" x14ac:dyDescent="0.25">
      <c r="D249" s="3"/>
      <c r="E249" s="3"/>
      <c r="F249" s="3"/>
    </row>
    <row r="250" spans="4:6" ht="12.75" customHeight="1" x14ac:dyDescent="0.25">
      <c r="D250" s="3"/>
      <c r="E250" s="3"/>
      <c r="F250" s="3"/>
    </row>
    <row r="251" spans="4:6" ht="12.75" customHeight="1" x14ac:dyDescent="0.25">
      <c r="D251" s="3"/>
      <c r="E251" s="3"/>
      <c r="F251" s="3"/>
    </row>
    <row r="252" spans="4:6" ht="12.75" customHeight="1" x14ac:dyDescent="0.25">
      <c r="D252" s="3"/>
      <c r="E252" s="3"/>
      <c r="F252" s="3"/>
    </row>
    <row r="253" spans="4:6" ht="12.75" customHeight="1" x14ac:dyDescent="0.25">
      <c r="D253" s="3"/>
      <c r="E253" s="3"/>
      <c r="F253" s="3"/>
    </row>
    <row r="254" spans="4:6" ht="12.75" customHeight="1" x14ac:dyDescent="0.25">
      <c r="D254" s="3"/>
      <c r="E254" s="3"/>
      <c r="F254" s="3"/>
    </row>
    <row r="255" spans="4:6" ht="12.75" customHeight="1" x14ac:dyDescent="0.25">
      <c r="D255" s="3"/>
      <c r="E255" s="3"/>
      <c r="F255" s="3"/>
    </row>
    <row r="256" spans="4:6" ht="12.75" customHeight="1" x14ac:dyDescent="0.25">
      <c r="D256" s="3"/>
      <c r="E256" s="3"/>
      <c r="F256" s="3"/>
    </row>
    <row r="257" spans="4:6" ht="12.75" customHeight="1" x14ac:dyDescent="0.25">
      <c r="D257" s="3"/>
      <c r="E257" s="3"/>
      <c r="F257" s="3"/>
    </row>
    <row r="258" spans="4:6" ht="12.75" customHeight="1" x14ac:dyDescent="0.25">
      <c r="D258" s="3"/>
      <c r="E258" s="3"/>
      <c r="F258" s="3"/>
    </row>
    <row r="259" spans="4:6" ht="12.75" customHeight="1" x14ac:dyDescent="0.25">
      <c r="D259" s="3"/>
      <c r="E259" s="3"/>
      <c r="F259" s="3"/>
    </row>
    <row r="260" spans="4:6" ht="12.75" customHeight="1" x14ac:dyDescent="0.25">
      <c r="D260" s="3"/>
      <c r="E260" s="3"/>
      <c r="F260" s="3"/>
    </row>
    <row r="261" spans="4:6" ht="12.75" customHeight="1" x14ac:dyDescent="0.25">
      <c r="D261" s="3"/>
      <c r="E261" s="3"/>
      <c r="F261" s="3"/>
    </row>
    <row r="262" spans="4:6" ht="12.75" customHeight="1" x14ac:dyDescent="0.25">
      <c r="D262" s="3"/>
      <c r="E262" s="3"/>
      <c r="F262" s="3"/>
    </row>
    <row r="263" spans="4:6" ht="12.75" customHeight="1" x14ac:dyDescent="0.25">
      <c r="D263" s="3"/>
      <c r="E263" s="3"/>
      <c r="F263" s="3"/>
    </row>
    <row r="264" spans="4:6" ht="12.75" customHeight="1" x14ac:dyDescent="0.25">
      <c r="D264" s="3"/>
      <c r="E264" s="3"/>
      <c r="F264" s="3"/>
    </row>
    <row r="265" spans="4:6" ht="12.75" customHeight="1" x14ac:dyDescent="0.25">
      <c r="D265" s="3"/>
      <c r="E265" s="3"/>
      <c r="F265" s="3"/>
    </row>
    <row r="266" spans="4:6" ht="12.75" customHeight="1" x14ac:dyDescent="0.25">
      <c r="D266" s="3"/>
      <c r="E266" s="3"/>
      <c r="F266" s="3"/>
    </row>
    <row r="267" spans="4:6" ht="12.75" customHeight="1" x14ac:dyDescent="0.25">
      <c r="D267" s="3"/>
      <c r="E267" s="3"/>
      <c r="F267" s="3"/>
    </row>
    <row r="268" spans="4:6" ht="12.75" customHeight="1" x14ac:dyDescent="0.25">
      <c r="D268" s="3"/>
      <c r="E268" s="3"/>
      <c r="F268" s="3"/>
    </row>
    <row r="269" spans="4:6" ht="12.75" customHeight="1" x14ac:dyDescent="0.25">
      <c r="D269" s="3"/>
      <c r="E269" s="3"/>
      <c r="F269" s="3"/>
    </row>
    <row r="270" spans="4:6" ht="12.75" customHeight="1" x14ac:dyDescent="0.25">
      <c r="D270" s="3"/>
      <c r="E270" s="3"/>
      <c r="F270" s="3"/>
    </row>
    <row r="271" spans="4:6" ht="12.75" customHeight="1" x14ac:dyDescent="0.25">
      <c r="D271" s="3"/>
      <c r="E271" s="3"/>
      <c r="F271" s="3"/>
    </row>
    <row r="272" spans="4:6" ht="12.75" customHeight="1" x14ac:dyDescent="0.25">
      <c r="D272" s="3"/>
      <c r="E272" s="3"/>
      <c r="F272" s="3"/>
    </row>
    <row r="273" spans="4:6" ht="12.75" customHeight="1" x14ac:dyDescent="0.25">
      <c r="D273" s="3"/>
      <c r="E273" s="3"/>
      <c r="F273" s="3"/>
    </row>
    <row r="274" spans="4:6" ht="12.75" customHeight="1" x14ac:dyDescent="0.25">
      <c r="D274" s="3"/>
      <c r="E274" s="3"/>
      <c r="F274" s="3"/>
    </row>
    <row r="275" spans="4:6" ht="12.75" customHeight="1" x14ac:dyDescent="0.25">
      <c r="D275" s="3"/>
      <c r="E275" s="3"/>
      <c r="F275" s="3"/>
    </row>
    <row r="276" spans="4:6" ht="12.75" customHeight="1" x14ac:dyDescent="0.25">
      <c r="D276" s="3"/>
      <c r="E276" s="3"/>
      <c r="F276" s="3"/>
    </row>
    <row r="277" spans="4:6" ht="12.75" customHeight="1" x14ac:dyDescent="0.25">
      <c r="D277" s="3"/>
      <c r="E277" s="3"/>
      <c r="F277" s="3"/>
    </row>
    <row r="278" spans="4:6" ht="12.75" customHeight="1" x14ac:dyDescent="0.25">
      <c r="D278" s="3"/>
      <c r="E278" s="3"/>
      <c r="F278" s="3"/>
    </row>
    <row r="279" spans="4:6" ht="12.75" customHeight="1" x14ac:dyDescent="0.25">
      <c r="D279" s="3"/>
      <c r="E279" s="3"/>
      <c r="F279" s="3"/>
    </row>
    <row r="280" spans="4:6" ht="12.75" customHeight="1" x14ac:dyDescent="0.25">
      <c r="D280" s="3"/>
      <c r="E280" s="3"/>
      <c r="F280" s="3"/>
    </row>
    <row r="281" spans="4:6" ht="12.75" customHeight="1" x14ac:dyDescent="0.25">
      <c r="D281" s="3"/>
      <c r="E281" s="3"/>
      <c r="F281" s="3"/>
    </row>
    <row r="282" spans="4:6" ht="12.75" customHeight="1" x14ac:dyDescent="0.25">
      <c r="D282" s="3"/>
      <c r="E282" s="3"/>
      <c r="F282" s="3"/>
    </row>
    <row r="283" spans="4:6" ht="12.75" customHeight="1" x14ac:dyDescent="0.25">
      <c r="D283" s="3"/>
      <c r="E283" s="3"/>
      <c r="F283" s="3"/>
    </row>
    <row r="284" spans="4:6" ht="12.75" customHeight="1" x14ac:dyDescent="0.25">
      <c r="D284" s="3"/>
      <c r="E284" s="3"/>
      <c r="F284" s="3"/>
    </row>
    <row r="285" spans="4:6" ht="12.75" customHeight="1" x14ac:dyDescent="0.25">
      <c r="D285" s="3"/>
      <c r="E285" s="3"/>
      <c r="F285" s="3"/>
    </row>
    <row r="286" spans="4:6" ht="12.75" customHeight="1" x14ac:dyDescent="0.25">
      <c r="D286" s="3"/>
      <c r="E286" s="3"/>
      <c r="F286" s="3"/>
    </row>
    <row r="287" spans="4:6" ht="12.75" customHeight="1" x14ac:dyDescent="0.25">
      <c r="D287" s="3"/>
      <c r="E287" s="3"/>
      <c r="F287" s="3"/>
    </row>
    <row r="288" spans="4:6" ht="12.75" customHeight="1" x14ac:dyDescent="0.25">
      <c r="D288" s="3"/>
      <c r="E288" s="3"/>
      <c r="F288" s="3"/>
    </row>
    <row r="289" spans="4:6" ht="12.75" customHeight="1" x14ac:dyDescent="0.25">
      <c r="D289" s="3"/>
      <c r="E289" s="3"/>
      <c r="F289" s="3"/>
    </row>
    <row r="290" spans="4:6" ht="12.75" customHeight="1" x14ac:dyDescent="0.25">
      <c r="D290" s="3"/>
      <c r="E290" s="3"/>
      <c r="F290" s="3"/>
    </row>
    <row r="291" spans="4:6" ht="12.75" customHeight="1" x14ac:dyDescent="0.25">
      <c r="D291" s="3"/>
      <c r="E291" s="3"/>
      <c r="F291" s="3"/>
    </row>
    <row r="292" spans="4:6" ht="12.75" customHeight="1" x14ac:dyDescent="0.25">
      <c r="D292" s="3"/>
      <c r="E292" s="3"/>
      <c r="F292" s="3"/>
    </row>
    <row r="293" spans="4:6" ht="12.75" customHeight="1" x14ac:dyDescent="0.25">
      <c r="D293" s="3"/>
      <c r="E293" s="3"/>
      <c r="F293" s="3"/>
    </row>
    <row r="294" spans="4:6" ht="12.75" customHeight="1" x14ac:dyDescent="0.25">
      <c r="D294" s="3"/>
      <c r="E294" s="3"/>
      <c r="F294" s="3"/>
    </row>
    <row r="295" spans="4:6" ht="12.75" customHeight="1" x14ac:dyDescent="0.25">
      <c r="D295" s="3"/>
      <c r="E295" s="3"/>
      <c r="F295" s="3"/>
    </row>
    <row r="296" spans="4:6" ht="12.75" customHeight="1" x14ac:dyDescent="0.25">
      <c r="D296" s="3"/>
      <c r="E296" s="3"/>
      <c r="F296" s="3"/>
    </row>
    <row r="297" spans="4:6" ht="12.75" customHeight="1" x14ac:dyDescent="0.25">
      <c r="D297" s="3"/>
      <c r="E297" s="3"/>
      <c r="F297" s="3"/>
    </row>
    <row r="298" spans="4:6" ht="12.75" customHeight="1" x14ac:dyDescent="0.25">
      <c r="D298" s="3"/>
      <c r="E298" s="3"/>
      <c r="F298" s="3"/>
    </row>
    <row r="299" spans="4:6" ht="12.75" customHeight="1" x14ac:dyDescent="0.25">
      <c r="D299" s="3"/>
      <c r="E299" s="3"/>
      <c r="F299" s="3"/>
    </row>
    <row r="300" spans="4:6" ht="12.75" customHeight="1" x14ac:dyDescent="0.25">
      <c r="D300" s="3"/>
      <c r="E300" s="3"/>
      <c r="F300" s="3"/>
    </row>
    <row r="301" spans="4:6" ht="12.75" customHeight="1" x14ac:dyDescent="0.25">
      <c r="D301" s="3"/>
      <c r="E301" s="3"/>
      <c r="F301" s="3"/>
    </row>
    <row r="302" spans="4:6" ht="12.75" customHeight="1" x14ac:dyDescent="0.25">
      <c r="D302" s="3"/>
      <c r="E302" s="3"/>
      <c r="F302" s="3"/>
    </row>
    <row r="303" spans="4:6" ht="12.75" customHeight="1" x14ac:dyDescent="0.25">
      <c r="D303" s="3"/>
      <c r="E303" s="3"/>
      <c r="F303" s="3"/>
    </row>
    <row r="304" spans="4:6" ht="12.75" customHeight="1" x14ac:dyDescent="0.25">
      <c r="D304" s="3"/>
      <c r="E304" s="3"/>
      <c r="F304" s="3"/>
    </row>
    <row r="305" spans="4:6" ht="12.75" customHeight="1" x14ac:dyDescent="0.25">
      <c r="D305" s="3"/>
      <c r="E305" s="3"/>
      <c r="F305" s="3"/>
    </row>
    <row r="306" spans="4:6" ht="12.75" customHeight="1" x14ac:dyDescent="0.25">
      <c r="D306" s="3"/>
      <c r="E306" s="3"/>
      <c r="F306" s="3"/>
    </row>
    <row r="307" spans="4:6" ht="12.75" customHeight="1" x14ac:dyDescent="0.25">
      <c r="D307" s="3"/>
      <c r="E307" s="3"/>
      <c r="F307" s="3"/>
    </row>
    <row r="308" spans="4:6" ht="12.75" customHeight="1" x14ac:dyDescent="0.25">
      <c r="D308" s="3"/>
      <c r="E308" s="3"/>
      <c r="F308" s="3"/>
    </row>
    <row r="309" spans="4:6" ht="12.75" customHeight="1" x14ac:dyDescent="0.25">
      <c r="D309" s="3"/>
      <c r="E309" s="3"/>
      <c r="F309" s="3"/>
    </row>
    <row r="310" spans="4:6" ht="12.75" customHeight="1" x14ac:dyDescent="0.25">
      <c r="D310" s="3"/>
      <c r="E310" s="3"/>
      <c r="F310" s="3"/>
    </row>
    <row r="311" spans="4:6" ht="12.75" customHeight="1" x14ac:dyDescent="0.25">
      <c r="D311" s="3"/>
      <c r="E311" s="3"/>
      <c r="F311" s="3"/>
    </row>
    <row r="312" spans="4:6" ht="12.75" customHeight="1" x14ac:dyDescent="0.25">
      <c r="D312" s="3"/>
      <c r="E312" s="3"/>
      <c r="F312" s="3"/>
    </row>
    <row r="313" spans="4:6" ht="12.75" customHeight="1" x14ac:dyDescent="0.25">
      <c r="D313" s="3"/>
      <c r="E313" s="3"/>
      <c r="F313" s="3"/>
    </row>
    <row r="314" spans="4:6" ht="12.75" customHeight="1" x14ac:dyDescent="0.25">
      <c r="D314" s="3"/>
      <c r="E314" s="3"/>
      <c r="F314" s="3"/>
    </row>
    <row r="315" spans="4:6" ht="12.75" customHeight="1" x14ac:dyDescent="0.25">
      <c r="D315" s="3"/>
      <c r="E315" s="3"/>
      <c r="F315" s="3"/>
    </row>
    <row r="316" spans="4:6" ht="12.75" customHeight="1" x14ac:dyDescent="0.25">
      <c r="D316" s="3"/>
      <c r="E316" s="3"/>
      <c r="F316" s="3"/>
    </row>
    <row r="317" spans="4:6" ht="12.75" customHeight="1" x14ac:dyDescent="0.25">
      <c r="D317" s="3"/>
      <c r="E317" s="3"/>
      <c r="F317" s="3"/>
    </row>
    <row r="318" spans="4:6" ht="12.75" customHeight="1" x14ac:dyDescent="0.25">
      <c r="D318" s="3"/>
      <c r="E318" s="3"/>
      <c r="F318" s="3"/>
    </row>
    <row r="319" spans="4:6" ht="12.75" customHeight="1" x14ac:dyDescent="0.25">
      <c r="D319" s="3"/>
      <c r="E319" s="3"/>
      <c r="F319" s="3"/>
    </row>
    <row r="320" spans="4:6" ht="12.75" customHeight="1" x14ac:dyDescent="0.25">
      <c r="D320" s="3"/>
      <c r="E320" s="3"/>
      <c r="F320" s="3"/>
    </row>
    <row r="321" spans="4:6" ht="12.75" customHeight="1" x14ac:dyDescent="0.25">
      <c r="D321" s="3"/>
      <c r="E321" s="3"/>
      <c r="F321" s="3"/>
    </row>
    <row r="322" spans="4:6" ht="12.75" customHeight="1" x14ac:dyDescent="0.25">
      <c r="D322" s="3"/>
      <c r="E322" s="3"/>
      <c r="F322" s="3"/>
    </row>
    <row r="323" spans="4:6" ht="12.75" customHeight="1" x14ac:dyDescent="0.25">
      <c r="D323" s="3"/>
      <c r="E323" s="3"/>
      <c r="F323" s="3"/>
    </row>
    <row r="324" spans="4:6" ht="12.75" customHeight="1" x14ac:dyDescent="0.25">
      <c r="D324" s="3"/>
      <c r="E324" s="3"/>
      <c r="F324" s="3"/>
    </row>
    <row r="325" spans="4:6" ht="12.75" customHeight="1" x14ac:dyDescent="0.25">
      <c r="D325" s="3"/>
      <c r="E325" s="3"/>
      <c r="F325" s="3"/>
    </row>
    <row r="326" spans="4:6" ht="12.75" customHeight="1" x14ac:dyDescent="0.25">
      <c r="D326" s="3"/>
      <c r="E326" s="3"/>
      <c r="F326" s="3"/>
    </row>
    <row r="327" spans="4:6" ht="12.75" customHeight="1" x14ac:dyDescent="0.25">
      <c r="D327" s="3"/>
      <c r="E327" s="3"/>
      <c r="F327" s="3"/>
    </row>
    <row r="328" spans="4:6" ht="12.75" customHeight="1" x14ac:dyDescent="0.25">
      <c r="D328" s="3"/>
      <c r="E328" s="3"/>
      <c r="F328" s="3"/>
    </row>
    <row r="329" spans="4:6" ht="12.75" customHeight="1" x14ac:dyDescent="0.25">
      <c r="D329" s="3"/>
      <c r="E329" s="3"/>
      <c r="F329" s="3"/>
    </row>
    <row r="330" spans="4:6" ht="12.75" customHeight="1" x14ac:dyDescent="0.25">
      <c r="D330" s="3"/>
      <c r="E330" s="3"/>
      <c r="F330" s="3"/>
    </row>
    <row r="331" spans="4:6" ht="12.75" customHeight="1" x14ac:dyDescent="0.25">
      <c r="D331" s="3"/>
      <c r="E331" s="3"/>
      <c r="F331" s="3"/>
    </row>
    <row r="332" spans="4:6" ht="12.75" customHeight="1" x14ac:dyDescent="0.25">
      <c r="D332" s="3"/>
      <c r="E332" s="3"/>
      <c r="F332" s="3"/>
    </row>
    <row r="333" spans="4:6" ht="12.75" customHeight="1" x14ac:dyDescent="0.25">
      <c r="D333" s="3"/>
      <c r="E333" s="3"/>
      <c r="F333" s="3"/>
    </row>
    <row r="334" spans="4:6" ht="12.75" customHeight="1" x14ac:dyDescent="0.25">
      <c r="D334" s="3"/>
      <c r="E334" s="3"/>
      <c r="F334" s="3"/>
    </row>
    <row r="335" spans="4:6" ht="12.75" customHeight="1" x14ac:dyDescent="0.25">
      <c r="D335" s="3"/>
      <c r="E335" s="3"/>
      <c r="F335" s="3"/>
    </row>
    <row r="336" spans="4:6" ht="12.75" customHeight="1" x14ac:dyDescent="0.25">
      <c r="D336" s="3"/>
      <c r="E336" s="3"/>
      <c r="F336" s="3"/>
    </row>
    <row r="337" spans="4:6" ht="12.75" customHeight="1" x14ac:dyDescent="0.25">
      <c r="D337" s="3"/>
      <c r="E337" s="3"/>
      <c r="F337" s="3"/>
    </row>
    <row r="338" spans="4:6" ht="12.75" customHeight="1" x14ac:dyDescent="0.25">
      <c r="D338" s="3"/>
      <c r="E338" s="3"/>
      <c r="F338" s="3"/>
    </row>
    <row r="339" spans="4:6" ht="12.75" customHeight="1" x14ac:dyDescent="0.25">
      <c r="D339" s="3"/>
      <c r="E339" s="3"/>
      <c r="F339" s="3"/>
    </row>
    <row r="340" spans="4:6" ht="12.75" customHeight="1" x14ac:dyDescent="0.25">
      <c r="D340" s="3"/>
      <c r="E340" s="3"/>
      <c r="F340" s="3"/>
    </row>
    <row r="341" spans="4:6" ht="12.75" customHeight="1" x14ac:dyDescent="0.25">
      <c r="D341" s="3"/>
      <c r="E341" s="3"/>
      <c r="F341" s="3"/>
    </row>
    <row r="342" spans="4:6" ht="12.75" customHeight="1" x14ac:dyDescent="0.25">
      <c r="D342" s="3"/>
      <c r="E342" s="3"/>
      <c r="F342" s="3"/>
    </row>
    <row r="343" spans="4:6" ht="12.75" customHeight="1" x14ac:dyDescent="0.25">
      <c r="D343" s="3"/>
      <c r="E343" s="3"/>
      <c r="F343" s="3"/>
    </row>
    <row r="344" spans="4:6" ht="12.75" customHeight="1" x14ac:dyDescent="0.25">
      <c r="D344" s="3"/>
      <c r="E344" s="3"/>
      <c r="F344" s="3"/>
    </row>
    <row r="345" spans="4:6" ht="12.75" customHeight="1" x14ac:dyDescent="0.25">
      <c r="D345" s="3"/>
      <c r="E345" s="3"/>
      <c r="F345" s="3"/>
    </row>
    <row r="346" spans="4:6" ht="12.75" customHeight="1" x14ac:dyDescent="0.25">
      <c r="D346" s="3"/>
      <c r="E346" s="3"/>
      <c r="F346" s="3"/>
    </row>
    <row r="347" spans="4:6" ht="12.75" customHeight="1" x14ac:dyDescent="0.25">
      <c r="D347" s="3"/>
      <c r="E347" s="3"/>
      <c r="F347" s="3"/>
    </row>
    <row r="348" spans="4:6" ht="12.75" customHeight="1" x14ac:dyDescent="0.25">
      <c r="D348" s="3"/>
      <c r="E348" s="3"/>
      <c r="F348" s="3"/>
    </row>
    <row r="349" spans="4:6" ht="12.75" customHeight="1" x14ac:dyDescent="0.25">
      <c r="D349" s="3"/>
      <c r="E349" s="3"/>
      <c r="F349" s="3"/>
    </row>
    <row r="350" spans="4:6" ht="12.75" customHeight="1" x14ac:dyDescent="0.25">
      <c r="D350" s="3"/>
      <c r="E350" s="3"/>
      <c r="F350" s="3"/>
    </row>
    <row r="351" spans="4:6" ht="12.75" customHeight="1" x14ac:dyDescent="0.25">
      <c r="D351" s="3"/>
      <c r="E351" s="3"/>
      <c r="F351" s="3"/>
    </row>
    <row r="352" spans="4:6" ht="12.75" customHeight="1" x14ac:dyDescent="0.25">
      <c r="D352" s="3"/>
      <c r="E352" s="3"/>
      <c r="F352" s="3"/>
    </row>
    <row r="353" spans="4:6" ht="12.75" customHeight="1" x14ac:dyDescent="0.25">
      <c r="D353" s="3"/>
      <c r="E353" s="3"/>
      <c r="F353" s="3"/>
    </row>
    <row r="354" spans="4:6" ht="12.75" customHeight="1" x14ac:dyDescent="0.25">
      <c r="D354" s="3"/>
      <c r="E354" s="3"/>
      <c r="F354" s="3"/>
    </row>
    <row r="355" spans="4:6" ht="12.75" customHeight="1" x14ac:dyDescent="0.25">
      <c r="D355" s="3"/>
      <c r="E355" s="3"/>
      <c r="F355" s="3"/>
    </row>
    <row r="356" spans="4:6" ht="12.75" customHeight="1" x14ac:dyDescent="0.25">
      <c r="D356" s="3"/>
      <c r="E356" s="3"/>
      <c r="F356" s="3"/>
    </row>
    <row r="357" spans="4:6" ht="12.75" customHeight="1" x14ac:dyDescent="0.25">
      <c r="D357" s="3"/>
      <c r="E357" s="3"/>
      <c r="F357" s="3"/>
    </row>
    <row r="358" spans="4:6" ht="12.75" customHeight="1" x14ac:dyDescent="0.25">
      <c r="D358" s="3"/>
      <c r="E358" s="3"/>
      <c r="F358" s="3"/>
    </row>
    <row r="359" spans="4:6" ht="12.75" customHeight="1" x14ac:dyDescent="0.25">
      <c r="D359" s="3"/>
      <c r="E359" s="3"/>
      <c r="F359" s="3"/>
    </row>
    <row r="360" spans="4:6" ht="12.75" customHeight="1" x14ac:dyDescent="0.25">
      <c r="D360" s="3"/>
      <c r="E360" s="3"/>
      <c r="F360" s="3"/>
    </row>
    <row r="361" spans="4:6" ht="12.75" customHeight="1" x14ac:dyDescent="0.25">
      <c r="D361" s="3"/>
      <c r="E361" s="3"/>
      <c r="F361" s="3"/>
    </row>
    <row r="362" spans="4:6" ht="12.75" customHeight="1" x14ac:dyDescent="0.25">
      <c r="D362" s="3"/>
      <c r="E362" s="3"/>
      <c r="F362" s="3"/>
    </row>
    <row r="363" spans="4:6" ht="12.75" customHeight="1" x14ac:dyDescent="0.25">
      <c r="D363" s="3"/>
      <c r="E363" s="3"/>
      <c r="F363" s="3"/>
    </row>
    <row r="364" spans="4:6" ht="12.75" customHeight="1" x14ac:dyDescent="0.25">
      <c r="D364" s="3"/>
      <c r="E364" s="3"/>
      <c r="F364" s="3"/>
    </row>
    <row r="365" spans="4:6" ht="12.75" customHeight="1" x14ac:dyDescent="0.25">
      <c r="D365" s="3"/>
      <c r="E365" s="3"/>
      <c r="F365" s="3"/>
    </row>
    <row r="366" spans="4:6" ht="12.75" customHeight="1" x14ac:dyDescent="0.25">
      <c r="D366" s="3"/>
      <c r="E366" s="3"/>
      <c r="F366" s="3"/>
    </row>
    <row r="367" spans="4:6" ht="12.75" customHeight="1" x14ac:dyDescent="0.25">
      <c r="D367" s="3"/>
      <c r="E367" s="3"/>
      <c r="F367" s="3"/>
    </row>
    <row r="368" spans="4:6" ht="12.75" customHeight="1" x14ac:dyDescent="0.25">
      <c r="D368" s="3"/>
      <c r="E368" s="3"/>
      <c r="F368" s="3"/>
    </row>
    <row r="369" spans="4:6" ht="12.75" customHeight="1" x14ac:dyDescent="0.25">
      <c r="D369" s="3"/>
      <c r="E369" s="3"/>
      <c r="F369" s="3"/>
    </row>
    <row r="370" spans="4:6" ht="12.75" customHeight="1" x14ac:dyDescent="0.25">
      <c r="D370" s="3"/>
      <c r="E370" s="3"/>
      <c r="F370" s="3"/>
    </row>
    <row r="371" spans="4:6" ht="12.75" customHeight="1" x14ac:dyDescent="0.25">
      <c r="D371" s="3"/>
      <c r="E371" s="3"/>
      <c r="F371" s="3"/>
    </row>
    <row r="372" spans="4:6" ht="12.75" customHeight="1" x14ac:dyDescent="0.25">
      <c r="D372" s="3"/>
      <c r="E372" s="3"/>
      <c r="F372" s="3"/>
    </row>
    <row r="373" spans="4:6" ht="12.75" customHeight="1" x14ac:dyDescent="0.25">
      <c r="D373" s="3"/>
      <c r="E373" s="3"/>
      <c r="F373" s="3"/>
    </row>
    <row r="374" spans="4:6" ht="12.75" customHeight="1" x14ac:dyDescent="0.25">
      <c r="D374" s="3"/>
      <c r="E374" s="3"/>
      <c r="F374" s="3"/>
    </row>
    <row r="375" spans="4:6" ht="12.75" customHeight="1" x14ac:dyDescent="0.25">
      <c r="D375" s="3"/>
      <c r="E375" s="3"/>
      <c r="F375" s="3"/>
    </row>
    <row r="376" spans="4:6" ht="12.75" customHeight="1" x14ac:dyDescent="0.25">
      <c r="D376" s="3"/>
      <c r="E376" s="3"/>
      <c r="F376" s="3"/>
    </row>
    <row r="377" spans="4:6" ht="12.75" customHeight="1" x14ac:dyDescent="0.25">
      <c r="D377" s="3"/>
      <c r="E377" s="3"/>
      <c r="F377" s="3"/>
    </row>
    <row r="378" spans="4:6" ht="12.75" customHeight="1" x14ac:dyDescent="0.25">
      <c r="D378" s="3"/>
      <c r="E378" s="3"/>
      <c r="F378" s="3"/>
    </row>
    <row r="379" spans="4:6" ht="12.75" customHeight="1" x14ac:dyDescent="0.25">
      <c r="D379" s="3"/>
      <c r="E379" s="3"/>
      <c r="F379" s="3"/>
    </row>
    <row r="380" spans="4:6" ht="12.75" customHeight="1" x14ac:dyDescent="0.25">
      <c r="D380" s="3"/>
      <c r="E380" s="3"/>
      <c r="F380" s="3"/>
    </row>
    <row r="381" spans="4:6" ht="12.75" customHeight="1" x14ac:dyDescent="0.25">
      <c r="D381" s="3"/>
      <c r="E381" s="3"/>
      <c r="F381" s="3"/>
    </row>
    <row r="382" spans="4:6" ht="12.75" customHeight="1" x14ac:dyDescent="0.25">
      <c r="D382" s="3"/>
      <c r="E382" s="3"/>
      <c r="F382" s="3"/>
    </row>
    <row r="383" spans="4:6" ht="12.75" customHeight="1" x14ac:dyDescent="0.25">
      <c r="D383" s="3"/>
      <c r="E383" s="3"/>
      <c r="F383" s="3"/>
    </row>
    <row r="384" spans="4:6" ht="12.75" customHeight="1" x14ac:dyDescent="0.25">
      <c r="D384" s="3"/>
      <c r="E384" s="3"/>
      <c r="F384" s="3"/>
    </row>
    <row r="385" spans="4:6" ht="12.75" customHeight="1" x14ac:dyDescent="0.25">
      <c r="D385" s="3"/>
      <c r="E385" s="3"/>
      <c r="F385" s="3"/>
    </row>
    <row r="386" spans="4:6" ht="12.75" customHeight="1" x14ac:dyDescent="0.25">
      <c r="D386" s="3"/>
      <c r="E386" s="3"/>
      <c r="F386" s="3"/>
    </row>
    <row r="387" spans="4:6" ht="12.75" customHeight="1" x14ac:dyDescent="0.25">
      <c r="D387" s="3"/>
      <c r="E387" s="3"/>
      <c r="F387" s="3"/>
    </row>
    <row r="388" spans="4:6" ht="12.75" customHeight="1" x14ac:dyDescent="0.25">
      <c r="D388" s="3"/>
      <c r="E388" s="3"/>
      <c r="F388" s="3"/>
    </row>
    <row r="389" spans="4:6" ht="12.75" customHeight="1" x14ac:dyDescent="0.25">
      <c r="D389" s="3"/>
      <c r="E389" s="3"/>
      <c r="F389" s="3"/>
    </row>
    <row r="390" spans="4:6" ht="12.75" customHeight="1" x14ac:dyDescent="0.25">
      <c r="D390" s="3"/>
      <c r="E390" s="3"/>
      <c r="F390" s="3"/>
    </row>
    <row r="391" spans="4:6" ht="12.75" customHeight="1" x14ac:dyDescent="0.25">
      <c r="D391" s="3"/>
      <c r="E391" s="3"/>
      <c r="F391" s="3"/>
    </row>
    <row r="392" spans="4:6" ht="12.75" customHeight="1" x14ac:dyDescent="0.25">
      <c r="D392" s="3"/>
      <c r="E392" s="3"/>
      <c r="F392" s="3"/>
    </row>
    <row r="393" spans="4:6" ht="12.75" customHeight="1" x14ac:dyDescent="0.25">
      <c r="D393" s="3"/>
      <c r="E393" s="3"/>
      <c r="F393" s="3"/>
    </row>
    <row r="394" spans="4:6" ht="12.75" customHeight="1" x14ac:dyDescent="0.25">
      <c r="D394" s="3"/>
      <c r="E394" s="3"/>
      <c r="F394" s="3"/>
    </row>
    <row r="395" spans="4:6" ht="12.75" customHeight="1" x14ac:dyDescent="0.25">
      <c r="D395" s="3"/>
      <c r="E395" s="3"/>
      <c r="F395" s="3"/>
    </row>
    <row r="396" spans="4:6" ht="12.75" customHeight="1" x14ac:dyDescent="0.25">
      <c r="D396" s="3"/>
      <c r="E396" s="3"/>
      <c r="F396" s="3"/>
    </row>
    <row r="397" spans="4:6" ht="12.75" customHeight="1" x14ac:dyDescent="0.25">
      <c r="D397" s="3"/>
      <c r="E397" s="3"/>
      <c r="F397" s="3"/>
    </row>
    <row r="398" spans="4:6" ht="12.75" customHeight="1" x14ac:dyDescent="0.25">
      <c r="D398" s="3"/>
      <c r="E398" s="3"/>
      <c r="F398" s="3"/>
    </row>
    <row r="399" spans="4:6" ht="12.75" customHeight="1" x14ac:dyDescent="0.25">
      <c r="D399" s="3"/>
      <c r="E399" s="3"/>
      <c r="F399" s="3"/>
    </row>
    <row r="400" spans="4:6" ht="12.75" customHeight="1" x14ac:dyDescent="0.25">
      <c r="D400" s="3"/>
      <c r="E400" s="3"/>
      <c r="F400" s="3"/>
    </row>
    <row r="401" spans="4:6" ht="12.75" customHeight="1" x14ac:dyDescent="0.25">
      <c r="D401" s="3"/>
      <c r="E401" s="3"/>
      <c r="F401" s="3"/>
    </row>
    <row r="402" spans="4:6" ht="12.75" customHeight="1" x14ac:dyDescent="0.25">
      <c r="D402" s="3"/>
      <c r="E402" s="3"/>
      <c r="F402" s="3"/>
    </row>
    <row r="403" spans="4:6" ht="12.75" customHeight="1" x14ac:dyDescent="0.25">
      <c r="D403" s="3"/>
      <c r="E403" s="3"/>
      <c r="F403" s="3"/>
    </row>
    <row r="404" spans="4:6" ht="12.75" customHeight="1" x14ac:dyDescent="0.25">
      <c r="D404" s="3"/>
      <c r="E404" s="3"/>
      <c r="F404" s="3"/>
    </row>
    <row r="405" spans="4:6" ht="12.75" customHeight="1" x14ac:dyDescent="0.25">
      <c r="D405" s="3"/>
      <c r="E405" s="3"/>
      <c r="F405" s="3"/>
    </row>
    <row r="406" spans="4:6" ht="12.75" customHeight="1" x14ac:dyDescent="0.25">
      <c r="D406" s="3"/>
      <c r="E406" s="3"/>
      <c r="F406" s="3"/>
    </row>
    <row r="407" spans="4:6" ht="12.75" customHeight="1" x14ac:dyDescent="0.25">
      <c r="D407" s="3"/>
      <c r="E407" s="3"/>
      <c r="F407" s="3"/>
    </row>
    <row r="408" spans="4:6" ht="12.75" customHeight="1" x14ac:dyDescent="0.25">
      <c r="D408" s="3"/>
      <c r="E408" s="3"/>
      <c r="F408" s="3"/>
    </row>
    <row r="409" spans="4:6" ht="12.75" customHeight="1" x14ac:dyDescent="0.25">
      <c r="D409" s="3"/>
      <c r="E409" s="3"/>
      <c r="F409" s="3"/>
    </row>
    <row r="410" spans="4:6" ht="12.75" customHeight="1" x14ac:dyDescent="0.25">
      <c r="D410" s="3"/>
      <c r="E410" s="3"/>
      <c r="F410" s="3"/>
    </row>
    <row r="411" spans="4:6" ht="12.75" customHeight="1" x14ac:dyDescent="0.25">
      <c r="D411" s="3"/>
      <c r="E411" s="3"/>
      <c r="F411" s="3"/>
    </row>
    <row r="412" spans="4:6" ht="12.75" customHeight="1" x14ac:dyDescent="0.25">
      <c r="D412" s="3"/>
      <c r="E412" s="3"/>
      <c r="F412" s="3"/>
    </row>
    <row r="413" spans="4:6" ht="12.75" customHeight="1" x14ac:dyDescent="0.25">
      <c r="D413" s="3"/>
      <c r="E413" s="3"/>
      <c r="F413" s="3"/>
    </row>
    <row r="414" spans="4:6" ht="12.75" customHeight="1" x14ac:dyDescent="0.25">
      <c r="D414" s="3"/>
      <c r="E414" s="3"/>
      <c r="F414" s="3"/>
    </row>
    <row r="415" spans="4:6" ht="12.75" customHeight="1" x14ac:dyDescent="0.25">
      <c r="D415" s="3"/>
      <c r="E415" s="3"/>
      <c r="F415" s="3"/>
    </row>
    <row r="416" spans="4:6" ht="12.75" customHeight="1" x14ac:dyDescent="0.25">
      <c r="D416" s="3"/>
      <c r="E416" s="3"/>
      <c r="F416" s="3"/>
    </row>
    <row r="417" spans="4:6" ht="12.75" customHeight="1" x14ac:dyDescent="0.25">
      <c r="D417" s="3"/>
      <c r="E417" s="3"/>
      <c r="F417" s="3"/>
    </row>
    <row r="418" spans="4:6" ht="12.75" customHeight="1" x14ac:dyDescent="0.25">
      <c r="D418" s="3"/>
      <c r="E418" s="3"/>
      <c r="F418" s="3"/>
    </row>
    <row r="419" spans="4:6" ht="12.75" customHeight="1" x14ac:dyDescent="0.25">
      <c r="D419" s="3"/>
      <c r="E419" s="3"/>
      <c r="F419" s="3"/>
    </row>
    <row r="420" spans="4:6" ht="12.75" customHeight="1" x14ac:dyDescent="0.25">
      <c r="D420" s="3"/>
      <c r="E420" s="3"/>
      <c r="F420" s="3"/>
    </row>
    <row r="421" spans="4:6" ht="12.75" customHeight="1" x14ac:dyDescent="0.25">
      <c r="D421" s="3"/>
      <c r="E421" s="3"/>
      <c r="F421" s="3"/>
    </row>
    <row r="422" spans="4:6" ht="12.75" customHeight="1" x14ac:dyDescent="0.25">
      <c r="D422" s="3"/>
      <c r="E422" s="3"/>
      <c r="F422" s="3"/>
    </row>
    <row r="423" spans="4:6" ht="12.75" customHeight="1" x14ac:dyDescent="0.25">
      <c r="D423" s="3"/>
      <c r="E423" s="3"/>
      <c r="F423" s="3"/>
    </row>
    <row r="424" spans="4:6" ht="12.75" customHeight="1" x14ac:dyDescent="0.25">
      <c r="D424" s="3"/>
      <c r="E424" s="3"/>
      <c r="F424" s="3"/>
    </row>
    <row r="425" spans="4:6" ht="12.75" customHeight="1" x14ac:dyDescent="0.25">
      <c r="D425" s="3"/>
      <c r="E425" s="3"/>
      <c r="F425" s="3"/>
    </row>
    <row r="426" spans="4:6" ht="12.75" customHeight="1" x14ac:dyDescent="0.25">
      <c r="D426" s="3"/>
      <c r="E426" s="3"/>
      <c r="F426" s="3"/>
    </row>
    <row r="427" spans="4:6" ht="12.75" customHeight="1" x14ac:dyDescent="0.25">
      <c r="D427" s="3"/>
      <c r="E427" s="3"/>
      <c r="F427" s="3"/>
    </row>
    <row r="428" spans="4:6" ht="12.75" customHeight="1" x14ac:dyDescent="0.25">
      <c r="D428" s="3"/>
      <c r="E428" s="3"/>
      <c r="F428" s="3"/>
    </row>
    <row r="429" spans="4:6" ht="12.75" customHeight="1" x14ac:dyDescent="0.25">
      <c r="D429" s="3"/>
      <c r="E429" s="3"/>
      <c r="F429" s="3"/>
    </row>
    <row r="430" spans="4:6" ht="12.75" customHeight="1" x14ac:dyDescent="0.25">
      <c r="D430" s="3"/>
      <c r="E430" s="3"/>
      <c r="F430" s="3"/>
    </row>
    <row r="431" spans="4:6" ht="12.75" customHeight="1" x14ac:dyDescent="0.25">
      <c r="D431" s="3"/>
      <c r="E431" s="3"/>
      <c r="F431" s="3"/>
    </row>
    <row r="432" spans="4:6" ht="12.75" customHeight="1" x14ac:dyDescent="0.25">
      <c r="D432" s="3"/>
      <c r="E432" s="3"/>
      <c r="F432" s="3"/>
    </row>
    <row r="433" spans="4:6" ht="12.75" customHeight="1" x14ac:dyDescent="0.25">
      <c r="D433" s="3"/>
      <c r="E433" s="3"/>
      <c r="F433" s="3"/>
    </row>
    <row r="434" spans="4:6" ht="12.75" customHeight="1" x14ac:dyDescent="0.25">
      <c r="D434" s="3"/>
      <c r="E434" s="3"/>
      <c r="F434" s="3"/>
    </row>
    <row r="435" spans="4:6" ht="12.75" customHeight="1" x14ac:dyDescent="0.25">
      <c r="D435" s="3"/>
      <c r="E435" s="3"/>
      <c r="F435" s="3"/>
    </row>
    <row r="436" spans="4:6" ht="12.75" customHeight="1" x14ac:dyDescent="0.25">
      <c r="D436" s="3"/>
      <c r="E436" s="3"/>
      <c r="F436" s="3"/>
    </row>
    <row r="437" spans="4:6" ht="12.75" customHeight="1" x14ac:dyDescent="0.25">
      <c r="D437" s="3"/>
      <c r="E437" s="3"/>
      <c r="F437" s="3"/>
    </row>
    <row r="438" spans="4:6" ht="12.75" customHeight="1" x14ac:dyDescent="0.25">
      <c r="D438" s="3"/>
      <c r="E438" s="3"/>
      <c r="F438" s="3"/>
    </row>
    <row r="439" spans="4:6" ht="12.75" customHeight="1" x14ac:dyDescent="0.25">
      <c r="D439" s="3"/>
      <c r="E439" s="3"/>
      <c r="F439" s="3"/>
    </row>
    <row r="440" spans="4:6" ht="12.75" customHeight="1" x14ac:dyDescent="0.25">
      <c r="D440" s="3"/>
      <c r="E440" s="3"/>
      <c r="F440" s="3"/>
    </row>
    <row r="441" spans="4:6" ht="12.75" customHeight="1" x14ac:dyDescent="0.25">
      <c r="D441" s="3"/>
      <c r="E441" s="3"/>
      <c r="F441" s="3"/>
    </row>
    <row r="442" spans="4:6" ht="12.75" customHeight="1" x14ac:dyDescent="0.25">
      <c r="D442" s="3"/>
      <c r="E442" s="3"/>
      <c r="F442" s="3"/>
    </row>
    <row r="443" spans="4:6" ht="12.75" customHeight="1" x14ac:dyDescent="0.25">
      <c r="D443" s="3"/>
      <c r="E443" s="3"/>
      <c r="F443" s="3"/>
    </row>
    <row r="444" spans="4:6" ht="12.75" customHeight="1" x14ac:dyDescent="0.25">
      <c r="D444" s="3"/>
      <c r="E444" s="3"/>
      <c r="F444" s="3"/>
    </row>
    <row r="445" spans="4:6" ht="12.75" customHeight="1" x14ac:dyDescent="0.25">
      <c r="D445" s="3"/>
      <c r="E445" s="3"/>
      <c r="F445" s="3"/>
    </row>
    <row r="446" spans="4:6" ht="12.75" customHeight="1" x14ac:dyDescent="0.25">
      <c r="D446" s="3"/>
      <c r="E446" s="3"/>
      <c r="F446" s="3"/>
    </row>
    <row r="447" spans="4:6" ht="12.75" customHeight="1" x14ac:dyDescent="0.25">
      <c r="D447" s="3"/>
      <c r="E447" s="3"/>
      <c r="F447" s="3"/>
    </row>
    <row r="448" spans="4:6" ht="12.75" customHeight="1" x14ac:dyDescent="0.25">
      <c r="D448" s="3"/>
      <c r="E448" s="3"/>
      <c r="F448" s="3"/>
    </row>
    <row r="449" spans="4:6" ht="12.75" customHeight="1" x14ac:dyDescent="0.25">
      <c r="D449" s="3"/>
      <c r="E449" s="3"/>
      <c r="F449" s="3"/>
    </row>
    <row r="450" spans="4:6" ht="12.75" customHeight="1" x14ac:dyDescent="0.25">
      <c r="D450" s="3"/>
      <c r="E450" s="3"/>
      <c r="F450" s="3"/>
    </row>
    <row r="451" spans="4:6" ht="12.75" customHeight="1" x14ac:dyDescent="0.25">
      <c r="D451" s="3"/>
      <c r="E451" s="3"/>
      <c r="F451" s="3"/>
    </row>
    <row r="452" spans="4:6" ht="12.75" customHeight="1" x14ac:dyDescent="0.25">
      <c r="D452" s="3"/>
      <c r="E452" s="3"/>
      <c r="F452" s="3"/>
    </row>
    <row r="453" spans="4:6" ht="12.75" customHeight="1" x14ac:dyDescent="0.25">
      <c r="D453" s="3"/>
      <c r="E453" s="3"/>
      <c r="F453" s="3"/>
    </row>
    <row r="454" spans="4:6" ht="12.75" customHeight="1" x14ac:dyDescent="0.25">
      <c r="D454" s="3"/>
      <c r="E454" s="3"/>
      <c r="F454" s="3"/>
    </row>
    <row r="455" spans="4:6" ht="12.75" customHeight="1" x14ac:dyDescent="0.25">
      <c r="D455" s="3"/>
      <c r="E455" s="3"/>
      <c r="F455" s="3"/>
    </row>
    <row r="456" spans="4:6" ht="12.75" customHeight="1" x14ac:dyDescent="0.25">
      <c r="D456" s="3"/>
      <c r="E456" s="3"/>
      <c r="F456" s="3"/>
    </row>
    <row r="457" spans="4:6" ht="12.75" customHeight="1" x14ac:dyDescent="0.25">
      <c r="D457" s="3"/>
      <c r="E457" s="3"/>
      <c r="F457" s="3"/>
    </row>
    <row r="458" spans="4:6" ht="12.75" customHeight="1" x14ac:dyDescent="0.25">
      <c r="D458" s="3"/>
      <c r="E458" s="3"/>
      <c r="F458" s="3"/>
    </row>
    <row r="459" spans="4:6" ht="12.75" customHeight="1" x14ac:dyDescent="0.25">
      <c r="D459" s="3"/>
      <c r="E459" s="3"/>
      <c r="F459" s="3"/>
    </row>
    <row r="460" spans="4:6" ht="12.75" customHeight="1" x14ac:dyDescent="0.25">
      <c r="D460" s="3"/>
      <c r="E460" s="3"/>
      <c r="F460" s="3"/>
    </row>
    <row r="461" spans="4:6" ht="12.75" customHeight="1" x14ac:dyDescent="0.25">
      <c r="D461" s="3"/>
      <c r="E461" s="3"/>
      <c r="F461" s="3"/>
    </row>
    <row r="462" spans="4:6" ht="12.75" customHeight="1" x14ac:dyDescent="0.25">
      <c r="D462" s="3"/>
      <c r="E462" s="3"/>
      <c r="F462" s="3"/>
    </row>
    <row r="463" spans="4:6" ht="12.75" customHeight="1" x14ac:dyDescent="0.25">
      <c r="D463" s="3"/>
      <c r="E463" s="3"/>
      <c r="F463" s="3"/>
    </row>
    <row r="464" spans="4:6" ht="12.75" customHeight="1" x14ac:dyDescent="0.25">
      <c r="D464" s="3"/>
      <c r="E464" s="3"/>
      <c r="F464" s="3"/>
    </row>
    <row r="465" spans="4:6" ht="12.75" customHeight="1" x14ac:dyDescent="0.25">
      <c r="D465" s="3"/>
      <c r="E465" s="3"/>
      <c r="F465" s="3"/>
    </row>
    <row r="466" spans="4:6" ht="12.75" customHeight="1" x14ac:dyDescent="0.25">
      <c r="D466" s="3"/>
      <c r="E466" s="3"/>
      <c r="F466" s="3"/>
    </row>
    <row r="467" spans="4:6" ht="12.75" customHeight="1" x14ac:dyDescent="0.25">
      <c r="D467" s="3"/>
      <c r="E467" s="3"/>
      <c r="F467" s="3"/>
    </row>
    <row r="468" spans="4:6" ht="12.75" customHeight="1" x14ac:dyDescent="0.25">
      <c r="D468" s="3"/>
      <c r="E468" s="3"/>
      <c r="F468" s="3"/>
    </row>
    <row r="469" spans="4:6" ht="12.75" customHeight="1" x14ac:dyDescent="0.25">
      <c r="D469" s="3"/>
      <c r="E469" s="3"/>
      <c r="F469" s="3"/>
    </row>
    <row r="470" spans="4:6" ht="12.75" customHeight="1" x14ac:dyDescent="0.25">
      <c r="D470" s="3"/>
      <c r="E470" s="3"/>
      <c r="F470" s="3"/>
    </row>
    <row r="471" spans="4:6" ht="12.75" customHeight="1" x14ac:dyDescent="0.25">
      <c r="D471" s="3"/>
      <c r="E471" s="3"/>
      <c r="F471" s="3"/>
    </row>
    <row r="472" spans="4:6" ht="12.75" customHeight="1" x14ac:dyDescent="0.25">
      <c r="D472" s="3"/>
      <c r="E472" s="3"/>
      <c r="F472" s="3"/>
    </row>
    <row r="473" spans="4:6" ht="12.75" customHeight="1" x14ac:dyDescent="0.25">
      <c r="D473" s="3"/>
      <c r="E473" s="3"/>
      <c r="F473" s="3"/>
    </row>
    <row r="474" spans="4:6" ht="12.75" customHeight="1" x14ac:dyDescent="0.25">
      <c r="D474" s="3"/>
      <c r="E474" s="3"/>
      <c r="F474" s="3"/>
    </row>
    <row r="475" spans="4:6" ht="12.75" customHeight="1" x14ac:dyDescent="0.25">
      <c r="D475" s="3"/>
      <c r="E475" s="3"/>
      <c r="F475" s="3"/>
    </row>
    <row r="476" spans="4:6" ht="12.75" customHeight="1" x14ac:dyDescent="0.25">
      <c r="D476" s="3"/>
      <c r="E476" s="3"/>
      <c r="F476" s="3"/>
    </row>
    <row r="477" spans="4:6" ht="12.75" customHeight="1" x14ac:dyDescent="0.25">
      <c r="D477" s="3"/>
      <c r="E477" s="3"/>
      <c r="F477" s="3"/>
    </row>
    <row r="478" spans="4:6" ht="12.75" customHeight="1" x14ac:dyDescent="0.25">
      <c r="D478" s="3"/>
      <c r="E478" s="3"/>
      <c r="F478" s="3"/>
    </row>
    <row r="479" spans="4:6" ht="12.75" customHeight="1" x14ac:dyDescent="0.25">
      <c r="D479" s="3"/>
      <c r="E479" s="3"/>
      <c r="F479" s="3"/>
    </row>
    <row r="480" spans="4:6" ht="12.75" customHeight="1" x14ac:dyDescent="0.25">
      <c r="D480" s="3"/>
      <c r="E480" s="3"/>
      <c r="F480" s="3"/>
    </row>
    <row r="481" spans="4:6" ht="12.75" customHeight="1" x14ac:dyDescent="0.25">
      <c r="D481" s="3"/>
      <c r="E481" s="3"/>
      <c r="F481" s="3"/>
    </row>
    <row r="482" spans="4:6" ht="12.75" customHeight="1" x14ac:dyDescent="0.25">
      <c r="D482" s="3"/>
      <c r="E482" s="3"/>
      <c r="F482" s="3"/>
    </row>
    <row r="483" spans="4:6" ht="12.75" customHeight="1" x14ac:dyDescent="0.25">
      <c r="D483" s="3"/>
      <c r="E483" s="3"/>
      <c r="F483" s="3"/>
    </row>
    <row r="484" spans="4:6" ht="12.75" customHeight="1" x14ac:dyDescent="0.25">
      <c r="D484" s="3"/>
      <c r="E484" s="3"/>
      <c r="F484" s="3"/>
    </row>
    <row r="485" spans="4:6" ht="12.75" customHeight="1" x14ac:dyDescent="0.25">
      <c r="D485" s="3"/>
      <c r="E485" s="3"/>
      <c r="F485" s="3"/>
    </row>
    <row r="486" spans="4:6" ht="12.75" customHeight="1" x14ac:dyDescent="0.25">
      <c r="D486" s="3"/>
      <c r="E486" s="3"/>
      <c r="F486" s="3"/>
    </row>
    <row r="487" spans="4:6" ht="12.75" customHeight="1" x14ac:dyDescent="0.25">
      <c r="D487" s="3"/>
      <c r="E487" s="3"/>
      <c r="F487" s="3"/>
    </row>
    <row r="488" spans="4:6" ht="12.75" customHeight="1" x14ac:dyDescent="0.25">
      <c r="D488" s="3"/>
      <c r="E488" s="3"/>
      <c r="F488" s="3"/>
    </row>
    <row r="489" spans="4:6" ht="12.75" customHeight="1" x14ac:dyDescent="0.25">
      <c r="D489" s="3"/>
      <c r="E489" s="3"/>
      <c r="F489" s="3"/>
    </row>
    <row r="490" spans="4:6" ht="12.75" customHeight="1" x14ac:dyDescent="0.25">
      <c r="D490" s="3"/>
      <c r="E490" s="3"/>
      <c r="F490" s="3"/>
    </row>
    <row r="491" spans="4:6" ht="12.75" customHeight="1" x14ac:dyDescent="0.25">
      <c r="D491" s="3"/>
      <c r="E491" s="3"/>
      <c r="F491" s="3"/>
    </row>
    <row r="492" spans="4:6" ht="12.75" customHeight="1" x14ac:dyDescent="0.25">
      <c r="D492" s="3"/>
      <c r="E492" s="3"/>
      <c r="F492" s="3"/>
    </row>
    <row r="493" spans="4:6" ht="12.75" customHeight="1" x14ac:dyDescent="0.25">
      <c r="D493" s="3"/>
      <c r="E493" s="3"/>
      <c r="F493" s="3"/>
    </row>
    <row r="494" spans="4:6" ht="12.75" customHeight="1" x14ac:dyDescent="0.25">
      <c r="D494" s="3"/>
      <c r="E494" s="3"/>
      <c r="F494" s="3"/>
    </row>
    <row r="495" spans="4:6" ht="12.75" customHeight="1" x14ac:dyDescent="0.25">
      <c r="D495" s="3"/>
      <c r="E495" s="3"/>
      <c r="F495" s="3"/>
    </row>
    <row r="496" spans="4:6" ht="12.75" customHeight="1" x14ac:dyDescent="0.25">
      <c r="D496" s="3"/>
      <c r="E496" s="3"/>
      <c r="F496" s="3"/>
    </row>
    <row r="497" spans="4:6" ht="12.75" customHeight="1" x14ac:dyDescent="0.25">
      <c r="D497" s="3"/>
      <c r="E497" s="3"/>
      <c r="F497" s="3"/>
    </row>
    <row r="498" spans="4:6" ht="12.75" customHeight="1" x14ac:dyDescent="0.25">
      <c r="D498" s="3"/>
      <c r="E498" s="3"/>
      <c r="F498" s="3"/>
    </row>
    <row r="499" spans="4:6" ht="12.75" customHeight="1" x14ac:dyDescent="0.25">
      <c r="D499" s="3"/>
      <c r="E499" s="3"/>
      <c r="F499" s="3"/>
    </row>
    <row r="500" spans="4:6" ht="12.75" customHeight="1" x14ac:dyDescent="0.25">
      <c r="D500" s="3"/>
      <c r="E500" s="3"/>
      <c r="F500" s="3"/>
    </row>
    <row r="501" spans="4:6" ht="12.75" customHeight="1" x14ac:dyDescent="0.25">
      <c r="D501" s="3"/>
      <c r="E501" s="3"/>
      <c r="F501" s="3"/>
    </row>
    <row r="502" spans="4:6" ht="12.75" customHeight="1" x14ac:dyDescent="0.25">
      <c r="D502" s="3"/>
      <c r="E502" s="3"/>
      <c r="F502" s="3"/>
    </row>
    <row r="503" spans="4:6" ht="12.75" customHeight="1" x14ac:dyDescent="0.25">
      <c r="D503" s="3"/>
      <c r="E503" s="3"/>
      <c r="F503" s="3"/>
    </row>
    <row r="504" spans="4:6" ht="12.75" customHeight="1" x14ac:dyDescent="0.25">
      <c r="D504" s="3"/>
      <c r="E504" s="3"/>
      <c r="F504" s="3"/>
    </row>
    <row r="505" spans="4:6" ht="12.75" customHeight="1" x14ac:dyDescent="0.25">
      <c r="D505" s="3"/>
      <c r="E505" s="3"/>
      <c r="F505" s="3"/>
    </row>
    <row r="506" spans="4:6" ht="12.75" customHeight="1" x14ac:dyDescent="0.25">
      <c r="D506" s="3"/>
      <c r="E506" s="3"/>
      <c r="F506" s="3"/>
    </row>
    <row r="507" spans="4:6" ht="12.75" customHeight="1" x14ac:dyDescent="0.25">
      <c r="D507" s="3"/>
      <c r="E507" s="3"/>
      <c r="F507" s="3"/>
    </row>
    <row r="508" spans="4:6" ht="12.75" customHeight="1" x14ac:dyDescent="0.25">
      <c r="D508" s="3"/>
      <c r="E508" s="3"/>
      <c r="F508" s="3"/>
    </row>
    <row r="509" spans="4:6" ht="12.75" customHeight="1" x14ac:dyDescent="0.25">
      <c r="D509" s="3"/>
      <c r="E509" s="3"/>
      <c r="F509" s="3"/>
    </row>
    <row r="510" spans="4:6" ht="12.75" customHeight="1" x14ac:dyDescent="0.25">
      <c r="D510" s="3"/>
      <c r="E510" s="3"/>
      <c r="F510" s="3"/>
    </row>
    <row r="511" spans="4:6" ht="12.75" customHeight="1" x14ac:dyDescent="0.25">
      <c r="D511" s="3"/>
      <c r="E511" s="3"/>
      <c r="F511" s="3"/>
    </row>
    <row r="512" spans="4:6" ht="12.75" customHeight="1" x14ac:dyDescent="0.25">
      <c r="D512" s="3"/>
      <c r="E512" s="3"/>
      <c r="F512" s="3"/>
    </row>
    <row r="513" spans="4:6" ht="12.75" customHeight="1" x14ac:dyDescent="0.25">
      <c r="D513" s="3"/>
      <c r="E513" s="3"/>
      <c r="F513" s="3"/>
    </row>
    <row r="514" spans="4:6" ht="12.75" customHeight="1" x14ac:dyDescent="0.25">
      <c r="D514" s="3"/>
      <c r="E514" s="3"/>
      <c r="F514" s="3"/>
    </row>
    <row r="515" spans="4:6" ht="12.75" customHeight="1" x14ac:dyDescent="0.25">
      <c r="D515" s="3"/>
      <c r="E515" s="3"/>
      <c r="F515" s="3"/>
    </row>
    <row r="516" spans="4:6" ht="12.75" customHeight="1" x14ac:dyDescent="0.25">
      <c r="D516" s="3"/>
      <c r="E516" s="3"/>
      <c r="F516" s="3"/>
    </row>
    <row r="517" spans="4:6" ht="12.75" customHeight="1" x14ac:dyDescent="0.25">
      <c r="D517" s="3"/>
      <c r="E517" s="3"/>
      <c r="F517" s="3"/>
    </row>
    <row r="518" spans="4:6" ht="12.75" customHeight="1" x14ac:dyDescent="0.25">
      <c r="D518" s="3"/>
      <c r="E518" s="3"/>
      <c r="F518" s="3"/>
    </row>
    <row r="519" spans="4:6" ht="12.75" customHeight="1" x14ac:dyDescent="0.25">
      <c r="D519" s="3"/>
      <c r="E519" s="3"/>
      <c r="F519" s="3"/>
    </row>
    <row r="520" spans="4:6" ht="12.75" customHeight="1" x14ac:dyDescent="0.25">
      <c r="D520" s="3"/>
      <c r="E520" s="3"/>
      <c r="F520" s="3"/>
    </row>
    <row r="521" spans="4:6" ht="12.75" customHeight="1" x14ac:dyDescent="0.25">
      <c r="D521" s="3"/>
      <c r="E521" s="3"/>
      <c r="F521" s="3"/>
    </row>
    <row r="522" spans="4:6" ht="12.75" customHeight="1" x14ac:dyDescent="0.25">
      <c r="D522" s="3"/>
      <c r="E522" s="3"/>
      <c r="F522" s="3"/>
    </row>
    <row r="523" spans="4:6" ht="12.75" customHeight="1" x14ac:dyDescent="0.25">
      <c r="D523" s="3"/>
      <c r="E523" s="3"/>
      <c r="F523" s="3"/>
    </row>
    <row r="524" spans="4:6" ht="12.75" customHeight="1" x14ac:dyDescent="0.25">
      <c r="D524" s="3"/>
      <c r="E524" s="3"/>
      <c r="F524" s="3"/>
    </row>
    <row r="525" spans="4:6" ht="12.75" customHeight="1" x14ac:dyDescent="0.25">
      <c r="D525" s="3"/>
      <c r="E525" s="3"/>
      <c r="F525" s="3"/>
    </row>
    <row r="526" spans="4:6" ht="12.75" customHeight="1" x14ac:dyDescent="0.25">
      <c r="D526" s="3"/>
      <c r="E526" s="3"/>
      <c r="F526" s="3"/>
    </row>
    <row r="527" spans="4:6" ht="12.75" customHeight="1" x14ac:dyDescent="0.25">
      <c r="D527" s="3"/>
      <c r="E527" s="3"/>
      <c r="F527" s="3"/>
    </row>
    <row r="528" spans="4:6" ht="12.75" customHeight="1" x14ac:dyDescent="0.25">
      <c r="D528" s="3"/>
      <c r="E528" s="3"/>
      <c r="F528" s="3"/>
    </row>
    <row r="529" spans="4:6" ht="12.75" customHeight="1" x14ac:dyDescent="0.25">
      <c r="D529" s="3"/>
      <c r="E529" s="3"/>
      <c r="F529" s="3"/>
    </row>
    <row r="530" spans="4:6" ht="12.75" customHeight="1" x14ac:dyDescent="0.25">
      <c r="D530" s="3"/>
      <c r="E530" s="3"/>
      <c r="F530" s="3"/>
    </row>
    <row r="531" spans="4:6" ht="12.75" customHeight="1" x14ac:dyDescent="0.25">
      <c r="D531" s="3"/>
      <c r="E531" s="3"/>
      <c r="F531" s="3"/>
    </row>
    <row r="532" spans="4:6" ht="12.75" customHeight="1" x14ac:dyDescent="0.25">
      <c r="D532" s="3"/>
      <c r="E532" s="3"/>
      <c r="F532" s="3"/>
    </row>
    <row r="533" spans="4:6" ht="12.75" customHeight="1" x14ac:dyDescent="0.25">
      <c r="D533" s="3"/>
      <c r="E533" s="3"/>
      <c r="F533" s="3"/>
    </row>
    <row r="534" spans="4:6" ht="12.75" customHeight="1" x14ac:dyDescent="0.25">
      <c r="D534" s="3"/>
      <c r="E534" s="3"/>
      <c r="F534" s="3"/>
    </row>
    <row r="535" spans="4:6" ht="12.75" customHeight="1" x14ac:dyDescent="0.25">
      <c r="D535" s="3"/>
      <c r="E535" s="3"/>
      <c r="F535" s="3"/>
    </row>
    <row r="536" spans="4:6" ht="12.75" customHeight="1" x14ac:dyDescent="0.25">
      <c r="D536" s="3"/>
      <c r="E536" s="3"/>
      <c r="F536" s="3"/>
    </row>
    <row r="537" spans="4:6" ht="12.75" customHeight="1" x14ac:dyDescent="0.25">
      <c r="D537" s="3"/>
      <c r="E537" s="3"/>
      <c r="F537" s="3"/>
    </row>
    <row r="538" spans="4:6" ht="12.75" customHeight="1" x14ac:dyDescent="0.25">
      <c r="D538" s="3"/>
      <c r="E538" s="3"/>
      <c r="F538" s="3"/>
    </row>
    <row r="539" spans="4:6" ht="12.75" customHeight="1" x14ac:dyDescent="0.25">
      <c r="D539" s="3"/>
      <c r="E539" s="3"/>
      <c r="F539" s="3"/>
    </row>
    <row r="540" spans="4:6" ht="12.75" customHeight="1" x14ac:dyDescent="0.25">
      <c r="D540" s="3"/>
      <c r="E540" s="3"/>
      <c r="F540" s="3"/>
    </row>
    <row r="541" spans="4:6" ht="12.75" customHeight="1" x14ac:dyDescent="0.25">
      <c r="D541" s="3"/>
      <c r="E541" s="3"/>
      <c r="F541" s="3"/>
    </row>
    <row r="542" spans="4:6" ht="12.75" customHeight="1" x14ac:dyDescent="0.25">
      <c r="D542" s="3"/>
      <c r="E542" s="3"/>
      <c r="F542" s="3"/>
    </row>
    <row r="543" spans="4:6" ht="12.75" customHeight="1" x14ac:dyDescent="0.25">
      <c r="D543" s="3"/>
      <c r="E543" s="3"/>
      <c r="F543" s="3"/>
    </row>
    <row r="544" spans="4:6" ht="12.75" customHeight="1" x14ac:dyDescent="0.25">
      <c r="D544" s="3"/>
      <c r="E544" s="3"/>
      <c r="F544" s="3"/>
    </row>
    <row r="545" spans="4:6" ht="12.75" customHeight="1" x14ac:dyDescent="0.25">
      <c r="D545" s="3"/>
      <c r="E545" s="3"/>
      <c r="F545" s="3"/>
    </row>
    <row r="546" spans="4:6" ht="12.75" customHeight="1" x14ac:dyDescent="0.25">
      <c r="D546" s="3"/>
      <c r="E546" s="3"/>
      <c r="F546" s="3"/>
    </row>
    <row r="547" spans="4:6" ht="12.75" customHeight="1" x14ac:dyDescent="0.25">
      <c r="D547" s="3"/>
      <c r="E547" s="3"/>
      <c r="F547" s="3"/>
    </row>
    <row r="548" spans="4:6" ht="12.75" customHeight="1" x14ac:dyDescent="0.25">
      <c r="D548" s="3"/>
      <c r="E548" s="3"/>
      <c r="F548" s="3"/>
    </row>
    <row r="549" spans="4:6" ht="12.75" customHeight="1" x14ac:dyDescent="0.25">
      <c r="D549" s="3"/>
      <c r="E549" s="3"/>
      <c r="F549" s="3"/>
    </row>
    <row r="550" spans="4:6" ht="12.75" customHeight="1" x14ac:dyDescent="0.25">
      <c r="D550" s="3"/>
      <c r="E550" s="3"/>
      <c r="F550" s="3"/>
    </row>
    <row r="551" spans="4:6" ht="12.75" customHeight="1" x14ac:dyDescent="0.25">
      <c r="D551" s="3"/>
      <c r="E551" s="3"/>
      <c r="F551" s="3"/>
    </row>
    <row r="552" spans="4:6" ht="12.75" customHeight="1" x14ac:dyDescent="0.25">
      <c r="D552" s="3"/>
      <c r="E552" s="3"/>
      <c r="F552" s="3"/>
    </row>
    <row r="553" spans="4:6" ht="12.75" customHeight="1" x14ac:dyDescent="0.25">
      <c r="D553" s="3"/>
      <c r="E553" s="3"/>
      <c r="F553" s="3"/>
    </row>
    <row r="554" spans="4:6" ht="12.75" customHeight="1" x14ac:dyDescent="0.25">
      <c r="D554" s="3"/>
      <c r="E554" s="3"/>
      <c r="F554" s="3"/>
    </row>
    <row r="555" spans="4:6" ht="12.75" customHeight="1" x14ac:dyDescent="0.25">
      <c r="D555" s="3"/>
      <c r="E555" s="3"/>
      <c r="F555" s="3"/>
    </row>
    <row r="556" spans="4:6" ht="12.75" customHeight="1" x14ac:dyDescent="0.25">
      <c r="D556" s="3"/>
      <c r="E556" s="3"/>
      <c r="F556" s="3"/>
    </row>
    <row r="557" spans="4:6" ht="12.75" customHeight="1" x14ac:dyDescent="0.25">
      <c r="D557" s="3"/>
      <c r="E557" s="3"/>
      <c r="F557" s="3"/>
    </row>
    <row r="558" spans="4:6" ht="12.75" customHeight="1" x14ac:dyDescent="0.25">
      <c r="D558" s="3"/>
      <c r="E558" s="3"/>
      <c r="F558" s="3"/>
    </row>
    <row r="559" spans="4:6" ht="12.75" customHeight="1" x14ac:dyDescent="0.25">
      <c r="D559" s="3"/>
      <c r="E559" s="3"/>
      <c r="F559" s="3"/>
    </row>
    <row r="560" spans="4:6" ht="12.75" customHeight="1" x14ac:dyDescent="0.25">
      <c r="D560" s="3"/>
      <c r="E560" s="3"/>
      <c r="F560" s="3"/>
    </row>
    <row r="561" spans="4:6" ht="12.75" customHeight="1" x14ac:dyDescent="0.25">
      <c r="D561" s="3"/>
      <c r="E561" s="3"/>
      <c r="F561" s="3"/>
    </row>
    <row r="562" spans="4:6" ht="12.75" customHeight="1" x14ac:dyDescent="0.25">
      <c r="D562" s="3"/>
      <c r="E562" s="3"/>
      <c r="F562" s="3"/>
    </row>
    <row r="563" spans="4:6" ht="12.75" customHeight="1" x14ac:dyDescent="0.25">
      <c r="D563" s="3"/>
      <c r="E563" s="3"/>
      <c r="F563" s="3"/>
    </row>
    <row r="564" spans="4:6" ht="12.75" customHeight="1" x14ac:dyDescent="0.25">
      <c r="D564" s="3"/>
      <c r="E564" s="3"/>
      <c r="F564" s="3"/>
    </row>
    <row r="565" spans="4:6" ht="12.75" customHeight="1" x14ac:dyDescent="0.25">
      <c r="D565" s="3"/>
      <c r="E565" s="3"/>
      <c r="F565" s="3"/>
    </row>
    <row r="566" spans="4:6" ht="12.75" customHeight="1" x14ac:dyDescent="0.25">
      <c r="D566" s="3"/>
      <c r="E566" s="3"/>
      <c r="F566" s="3"/>
    </row>
    <row r="567" spans="4:6" ht="12.75" customHeight="1" x14ac:dyDescent="0.25">
      <c r="D567" s="3"/>
      <c r="E567" s="3"/>
      <c r="F567" s="3"/>
    </row>
    <row r="568" spans="4:6" ht="12.75" customHeight="1" x14ac:dyDescent="0.25">
      <c r="D568" s="3"/>
      <c r="E568" s="3"/>
      <c r="F568" s="3"/>
    </row>
    <row r="569" spans="4:6" ht="12.75" customHeight="1" x14ac:dyDescent="0.25">
      <c r="D569" s="3"/>
      <c r="E569" s="3"/>
      <c r="F569" s="3"/>
    </row>
    <row r="570" spans="4:6" ht="12.75" customHeight="1" x14ac:dyDescent="0.25">
      <c r="D570" s="3"/>
      <c r="E570" s="3"/>
      <c r="F570" s="3"/>
    </row>
    <row r="571" spans="4:6" ht="12.75" customHeight="1" x14ac:dyDescent="0.25">
      <c r="D571" s="3"/>
      <c r="E571" s="3"/>
      <c r="F571" s="3"/>
    </row>
    <row r="572" spans="4:6" ht="12.75" customHeight="1" x14ac:dyDescent="0.25">
      <c r="D572" s="3"/>
      <c r="E572" s="3"/>
      <c r="F572" s="3"/>
    </row>
    <row r="573" spans="4:6" ht="12.75" customHeight="1" x14ac:dyDescent="0.25">
      <c r="D573" s="3"/>
      <c r="E573" s="3"/>
      <c r="F573" s="3"/>
    </row>
    <row r="574" spans="4:6" ht="12.75" customHeight="1" x14ac:dyDescent="0.25">
      <c r="D574" s="3"/>
      <c r="E574" s="3"/>
      <c r="F574" s="3"/>
    </row>
    <row r="575" spans="4:6" ht="12.75" customHeight="1" x14ac:dyDescent="0.25">
      <c r="D575" s="3"/>
      <c r="E575" s="3"/>
      <c r="F575" s="3"/>
    </row>
    <row r="576" spans="4:6" ht="12.75" customHeight="1" x14ac:dyDescent="0.25">
      <c r="D576" s="3"/>
      <c r="E576" s="3"/>
      <c r="F576" s="3"/>
    </row>
    <row r="577" spans="4:6" ht="12.75" customHeight="1" x14ac:dyDescent="0.25">
      <c r="D577" s="3"/>
      <c r="E577" s="3"/>
      <c r="F577" s="3"/>
    </row>
    <row r="578" spans="4:6" ht="12.75" customHeight="1" x14ac:dyDescent="0.25">
      <c r="D578" s="3"/>
      <c r="E578" s="3"/>
      <c r="F578" s="3"/>
    </row>
    <row r="579" spans="4:6" ht="12.75" customHeight="1" x14ac:dyDescent="0.25">
      <c r="D579" s="3"/>
      <c r="E579" s="3"/>
      <c r="F579" s="3"/>
    </row>
    <row r="580" spans="4:6" ht="12.75" customHeight="1" x14ac:dyDescent="0.25">
      <c r="D580" s="3"/>
      <c r="E580" s="3"/>
      <c r="F580" s="3"/>
    </row>
    <row r="581" spans="4:6" ht="12.75" customHeight="1" x14ac:dyDescent="0.25">
      <c r="D581" s="3"/>
      <c r="E581" s="3"/>
      <c r="F581" s="3"/>
    </row>
    <row r="582" spans="4:6" ht="12.75" customHeight="1" x14ac:dyDescent="0.25">
      <c r="D582" s="3"/>
      <c r="E582" s="3"/>
      <c r="F582" s="3"/>
    </row>
    <row r="583" spans="4:6" ht="12.75" customHeight="1" x14ac:dyDescent="0.25">
      <c r="D583" s="3"/>
      <c r="E583" s="3"/>
      <c r="F583" s="3"/>
    </row>
    <row r="584" spans="4:6" ht="12.75" customHeight="1" x14ac:dyDescent="0.25">
      <c r="D584" s="3"/>
      <c r="E584" s="3"/>
      <c r="F584" s="3"/>
    </row>
    <row r="585" spans="4:6" ht="12.75" customHeight="1" x14ac:dyDescent="0.25">
      <c r="D585" s="3"/>
      <c r="E585" s="3"/>
      <c r="F585" s="3"/>
    </row>
    <row r="586" spans="4:6" ht="12.75" customHeight="1" x14ac:dyDescent="0.25">
      <c r="D586" s="3"/>
      <c r="E586" s="3"/>
      <c r="F586" s="3"/>
    </row>
    <row r="587" spans="4:6" ht="12.75" customHeight="1" x14ac:dyDescent="0.25">
      <c r="D587" s="3"/>
      <c r="E587" s="3"/>
      <c r="F587" s="3"/>
    </row>
    <row r="588" spans="4:6" ht="12.75" customHeight="1" x14ac:dyDescent="0.25">
      <c r="D588" s="3"/>
      <c r="E588" s="3"/>
      <c r="F588" s="3"/>
    </row>
    <row r="589" spans="4:6" ht="12.75" customHeight="1" x14ac:dyDescent="0.25">
      <c r="D589" s="3"/>
      <c r="E589" s="3"/>
      <c r="F589" s="3"/>
    </row>
    <row r="590" spans="4:6" ht="12.75" customHeight="1" x14ac:dyDescent="0.25">
      <c r="D590" s="3"/>
      <c r="E590" s="3"/>
      <c r="F590" s="3"/>
    </row>
    <row r="591" spans="4:6" ht="12.75" customHeight="1" x14ac:dyDescent="0.25">
      <c r="D591" s="3"/>
      <c r="E591" s="3"/>
      <c r="F591" s="3"/>
    </row>
    <row r="592" spans="4:6" ht="12.75" customHeight="1" x14ac:dyDescent="0.25">
      <c r="D592" s="3"/>
      <c r="E592" s="3"/>
      <c r="F592" s="3"/>
    </row>
    <row r="593" spans="4:6" ht="12.75" customHeight="1" x14ac:dyDescent="0.25">
      <c r="D593" s="3"/>
      <c r="E593" s="3"/>
      <c r="F593" s="3"/>
    </row>
    <row r="594" spans="4:6" ht="12.75" customHeight="1" x14ac:dyDescent="0.25">
      <c r="D594" s="3"/>
      <c r="E594" s="3"/>
      <c r="F594" s="3"/>
    </row>
    <row r="595" spans="4:6" ht="12.75" customHeight="1" x14ac:dyDescent="0.25">
      <c r="D595" s="3"/>
      <c r="E595" s="3"/>
      <c r="F595" s="3"/>
    </row>
    <row r="596" spans="4:6" ht="12.75" customHeight="1" x14ac:dyDescent="0.25">
      <c r="D596" s="3"/>
      <c r="E596" s="3"/>
      <c r="F596" s="3"/>
    </row>
    <row r="597" spans="4:6" ht="12.75" customHeight="1" x14ac:dyDescent="0.25">
      <c r="D597" s="3"/>
      <c r="E597" s="3"/>
      <c r="F597" s="3"/>
    </row>
    <row r="598" spans="4:6" ht="12.75" customHeight="1" x14ac:dyDescent="0.25">
      <c r="D598" s="3"/>
      <c r="E598" s="3"/>
      <c r="F598" s="3"/>
    </row>
    <row r="599" spans="4:6" ht="12.75" customHeight="1" x14ac:dyDescent="0.25">
      <c r="D599" s="3"/>
      <c r="E599" s="3"/>
      <c r="F599" s="3"/>
    </row>
    <row r="600" spans="4:6" ht="12.75" customHeight="1" x14ac:dyDescent="0.25">
      <c r="D600" s="3"/>
      <c r="E600" s="3"/>
      <c r="F600" s="3"/>
    </row>
    <row r="601" spans="4:6" ht="12.75" customHeight="1" x14ac:dyDescent="0.25">
      <c r="D601" s="3"/>
      <c r="E601" s="3"/>
      <c r="F601" s="3"/>
    </row>
    <row r="602" spans="4:6" ht="12.75" customHeight="1" x14ac:dyDescent="0.25">
      <c r="D602" s="3"/>
      <c r="E602" s="3"/>
      <c r="F602" s="3"/>
    </row>
    <row r="603" spans="4:6" ht="12.75" customHeight="1" x14ac:dyDescent="0.25">
      <c r="D603" s="3"/>
      <c r="E603" s="3"/>
      <c r="F603" s="3"/>
    </row>
    <row r="604" spans="4:6" ht="12.75" customHeight="1" x14ac:dyDescent="0.25">
      <c r="D604" s="3"/>
      <c r="E604" s="3"/>
      <c r="F604" s="3"/>
    </row>
    <row r="605" spans="4:6" ht="12.75" customHeight="1" x14ac:dyDescent="0.25">
      <c r="D605" s="3"/>
      <c r="E605" s="3"/>
      <c r="F605" s="3"/>
    </row>
    <row r="606" spans="4:6" ht="12.75" customHeight="1" x14ac:dyDescent="0.25">
      <c r="D606" s="3"/>
      <c r="E606" s="3"/>
      <c r="F606" s="3"/>
    </row>
    <row r="607" spans="4:6" ht="12.75" customHeight="1" x14ac:dyDescent="0.25">
      <c r="D607" s="3"/>
      <c r="E607" s="3"/>
      <c r="F607" s="3"/>
    </row>
    <row r="608" spans="4:6" ht="12.75" customHeight="1" x14ac:dyDescent="0.25">
      <c r="D608" s="3"/>
      <c r="E608" s="3"/>
      <c r="F608" s="3"/>
    </row>
    <row r="609" spans="4:6" ht="12.75" customHeight="1" x14ac:dyDescent="0.25">
      <c r="D609" s="3"/>
      <c r="E609" s="3"/>
      <c r="F609" s="3"/>
    </row>
    <row r="610" spans="4:6" ht="12.75" customHeight="1" x14ac:dyDescent="0.25">
      <c r="D610" s="3"/>
      <c r="E610" s="3"/>
      <c r="F610" s="3"/>
    </row>
    <row r="611" spans="4:6" ht="12.75" customHeight="1" x14ac:dyDescent="0.25">
      <c r="D611" s="3"/>
      <c r="E611" s="3"/>
      <c r="F611" s="3"/>
    </row>
    <row r="612" spans="4:6" ht="12.75" customHeight="1" x14ac:dyDescent="0.25">
      <c r="D612" s="3"/>
      <c r="E612" s="3"/>
      <c r="F612" s="3"/>
    </row>
    <row r="613" spans="4:6" ht="12.75" customHeight="1" x14ac:dyDescent="0.25">
      <c r="D613" s="3"/>
      <c r="E613" s="3"/>
      <c r="F613" s="3"/>
    </row>
    <row r="614" spans="4:6" ht="12.75" customHeight="1" x14ac:dyDescent="0.25">
      <c r="D614" s="3"/>
      <c r="E614" s="3"/>
      <c r="F614" s="3"/>
    </row>
    <row r="615" spans="4:6" ht="12.75" customHeight="1" x14ac:dyDescent="0.25">
      <c r="D615" s="3"/>
      <c r="E615" s="3"/>
      <c r="F615" s="3"/>
    </row>
    <row r="616" spans="4:6" ht="12.75" customHeight="1" x14ac:dyDescent="0.25">
      <c r="D616" s="3"/>
      <c r="E616" s="3"/>
      <c r="F616" s="3"/>
    </row>
    <row r="617" spans="4:6" ht="12.75" customHeight="1" x14ac:dyDescent="0.25">
      <c r="D617" s="3"/>
      <c r="E617" s="3"/>
      <c r="F617" s="3"/>
    </row>
    <row r="618" spans="4:6" ht="12.75" customHeight="1" x14ac:dyDescent="0.25">
      <c r="D618" s="3"/>
      <c r="E618" s="3"/>
      <c r="F618" s="3"/>
    </row>
    <row r="619" spans="4:6" ht="12.75" customHeight="1" x14ac:dyDescent="0.25">
      <c r="D619" s="3"/>
      <c r="E619" s="3"/>
      <c r="F619" s="3"/>
    </row>
    <row r="620" spans="4:6" ht="12.75" customHeight="1" x14ac:dyDescent="0.25">
      <c r="D620" s="3"/>
      <c r="E620" s="3"/>
      <c r="F620" s="3"/>
    </row>
    <row r="621" spans="4:6" ht="12.75" customHeight="1" x14ac:dyDescent="0.25">
      <c r="D621" s="3"/>
      <c r="E621" s="3"/>
      <c r="F621" s="3"/>
    </row>
    <row r="622" spans="4:6" ht="12.75" customHeight="1" x14ac:dyDescent="0.25">
      <c r="D622" s="3"/>
      <c r="E622" s="3"/>
      <c r="F622" s="3"/>
    </row>
    <row r="623" spans="4:6" ht="12.75" customHeight="1" x14ac:dyDescent="0.25">
      <c r="D623" s="3"/>
      <c r="E623" s="3"/>
      <c r="F623" s="3"/>
    </row>
    <row r="624" spans="4:6" ht="12.75" customHeight="1" x14ac:dyDescent="0.25">
      <c r="D624" s="3"/>
      <c r="E624" s="3"/>
      <c r="F624" s="3"/>
    </row>
    <row r="625" spans="4:6" ht="12.75" customHeight="1" x14ac:dyDescent="0.25">
      <c r="D625" s="3"/>
      <c r="E625" s="3"/>
      <c r="F625" s="3"/>
    </row>
    <row r="626" spans="4:6" ht="12.75" customHeight="1" x14ac:dyDescent="0.25">
      <c r="D626" s="3"/>
      <c r="E626" s="3"/>
      <c r="F626" s="3"/>
    </row>
    <row r="627" spans="4:6" ht="12.75" customHeight="1" x14ac:dyDescent="0.25">
      <c r="D627" s="3"/>
      <c r="E627" s="3"/>
      <c r="F627" s="3"/>
    </row>
    <row r="628" spans="4:6" ht="12.75" customHeight="1" x14ac:dyDescent="0.25">
      <c r="D628" s="3"/>
      <c r="E628" s="3"/>
      <c r="F628" s="3"/>
    </row>
    <row r="629" spans="4:6" ht="12.75" customHeight="1" x14ac:dyDescent="0.25">
      <c r="D629" s="3"/>
      <c r="E629" s="3"/>
      <c r="F629" s="3"/>
    </row>
    <row r="630" spans="4:6" ht="12.75" customHeight="1" x14ac:dyDescent="0.25">
      <c r="D630" s="3"/>
      <c r="E630" s="3"/>
      <c r="F630" s="3"/>
    </row>
    <row r="631" spans="4:6" ht="12.75" customHeight="1" x14ac:dyDescent="0.25">
      <c r="D631" s="3"/>
      <c r="E631" s="3"/>
      <c r="F631" s="3"/>
    </row>
    <row r="632" spans="4:6" ht="12.75" customHeight="1" x14ac:dyDescent="0.25">
      <c r="D632" s="3"/>
      <c r="E632" s="3"/>
      <c r="F632" s="3"/>
    </row>
    <row r="633" spans="4:6" ht="12.75" customHeight="1" x14ac:dyDescent="0.25">
      <c r="D633" s="3"/>
      <c r="E633" s="3"/>
      <c r="F633" s="3"/>
    </row>
    <row r="634" spans="4:6" ht="12.75" customHeight="1" x14ac:dyDescent="0.25">
      <c r="D634" s="3"/>
      <c r="E634" s="3"/>
      <c r="F634" s="3"/>
    </row>
    <row r="635" spans="4:6" ht="12.75" customHeight="1" x14ac:dyDescent="0.25">
      <c r="D635" s="3"/>
      <c r="E635" s="3"/>
      <c r="F635" s="3"/>
    </row>
    <row r="636" spans="4:6" ht="12.75" customHeight="1" x14ac:dyDescent="0.25">
      <c r="D636" s="3"/>
      <c r="E636" s="3"/>
      <c r="F636" s="3"/>
    </row>
    <row r="637" spans="4:6" ht="12.75" customHeight="1" x14ac:dyDescent="0.25">
      <c r="D637" s="3"/>
      <c r="E637" s="3"/>
      <c r="F637" s="3"/>
    </row>
    <row r="638" spans="4:6" ht="12.75" customHeight="1" x14ac:dyDescent="0.25">
      <c r="D638" s="3"/>
      <c r="E638" s="3"/>
      <c r="F638" s="3"/>
    </row>
    <row r="639" spans="4:6" ht="12.75" customHeight="1" x14ac:dyDescent="0.25">
      <c r="D639" s="3"/>
      <c r="E639" s="3"/>
      <c r="F639" s="3"/>
    </row>
    <row r="640" spans="4:6" ht="12.75" customHeight="1" x14ac:dyDescent="0.25">
      <c r="D640" s="3"/>
      <c r="E640" s="3"/>
      <c r="F640" s="3"/>
    </row>
    <row r="641" spans="4:6" ht="12.75" customHeight="1" x14ac:dyDescent="0.25">
      <c r="D641" s="3"/>
      <c r="E641" s="3"/>
      <c r="F641" s="3"/>
    </row>
    <row r="642" spans="4:6" ht="12.75" customHeight="1" x14ac:dyDescent="0.25">
      <c r="D642" s="3"/>
      <c r="E642" s="3"/>
      <c r="F642" s="3"/>
    </row>
    <row r="643" spans="4:6" ht="12.75" customHeight="1" x14ac:dyDescent="0.25">
      <c r="D643" s="3"/>
      <c r="E643" s="3"/>
      <c r="F643" s="3"/>
    </row>
    <row r="644" spans="4:6" ht="12.75" customHeight="1" x14ac:dyDescent="0.25">
      <c r="D644" s="3"/>
      <c r="E644" s="3"/>
      <c r="F644" s="3"/>
    </row>
    <row r="645" spans="4:6" ht="12.75" customHeight="1" x14ac:dyDescent="0.25">
      <c r="D645" s="3"/>
      <c r="E645" s="3"/>
      <c r="F645" s="3"/>
    </row>
    <row r="646" spans="4:6" ht="12.75" customHeight="1" x14ac:dyDescent="0.25">
      <c r="D646" s="3"/>
      <c r="E646" s="3"/>
      <c r="F646" s="3"/>
    </row>
    <row r="647" spans="4:6" ht="12.75" customHeight="1" x14ac:dyDescent="0.25">
      <c r="D647" s="3"/>
      <c r="E647" s="3"/>
      <c r="F647" s="3"/>
    </row>
    <row r="648" spans="4:6" ht="12.75" customHeight="1" x14ac:dyDescent="0.25">
      <c r="D648" s="3"/>
      <c r="E648" s="3"/>
      <c r="F648" s="3"/>
    </row>
    <row r="649" spans="4:6" ht="12.75" customHeight="1" x14ac:dyDescent="0.25">
      <c r="D649" s="3"/>
      <c r="E649" s="3"/>
      <c r="F649" s="3"/>
    </row>
    <row r="650" spans="4:6" ht="12.75" customHeight="1" x14ac:dyDescent="0.25">
      <c r="D650" s="3"/>
      <c r="E650" s="3"/>
      <c r="F650" s="3"/>
    </row>
    <row r="651" spans="4:6" ht="12.75" customHeight="1" x14ac:dyDescent="0.25">
      <c r="D651" s="3"/>
      <c r="E651" s="3"/>
      <c r="F651" s="3"/>
    </row>
    <row r="652" spans="4:6" ht="12.75" customHeight="1" x14ac:dyDescent="0.25">
      <c r="D652" s="3"/>
      <c r="E652" s="3"/>
      <c r="F652" s="3"/>
    </row>
    <row r="653" spans="4:6" ht="12.75" customHeight="1" x14ac:dyDescent="0.25">
      <c r="D653" s="3"/>
      <c r="E653" s="3"/>
      <c r="F653" s="3"/>
    </row>
    <row r="654" spans="4:6" ht="12.75" customHeight="1" x14ac:dyDescent="0.25">
      <c r="D654" s="3"/>
      <c r="E654" s="3"/>
      <c r="F654" s="3"/>
    </row>
    <row r="655" spans="4:6" ht="12.75" customHeight="1" x14ac:dyDescent="0.25">
      <c r="D655" s="3"/>
      <c r="E655" s="3"/>
      <c r="F655" s="3"/>
    </row>
    <row r="656" spans="4:6" ht="12.75" customHeight="1" x14ac:dyDescent="0.25">
      <c r="D656" s="3"/>
      <c r="E656" s="3"/>
      <c r="F656" s="3"/>
    </row>
    <row r="657" spans="4:6" ht="12.75" customHeight="1" x14ac:dyDescent="0.25">
      <c r="D657" s="3"/>
      <c r="E657" s="3"/>
      <c r="F657" s="3"/>
    </row>
    <row r="658" spans="4:6" ht="12.75" customHeight="1" x14ac:dyDescent="0.25">
      <c r="D658" s="3"/>
      <c r="E658" s="3"/>
      <c r="F658" s="3"/>
    </row>
    <row r="659" spans="4:6" ht="12.75" customHeight="1" x14ac:dyDescent="0.25">
      <c r="D659" s="3"/>
      <c r="E659" s="3"/>
      <c r="F659" s="3"/>
    </row>
    <row r="660" spans="4:6" ht="12.75" customHeight="1" x14ac:dyDescent="0.25">
      <c r="D660" s="3"/>
      <c r="E660" s="3"/>
      <c r="F660" s="3"/>
    </row>
    <row r="661" spans="4:6" ht="12.75" customHeight="1" x14ac:dyDescent="0.25">
      <c r="D661" s="3"/>
      <c r="E661" s="3"/>
      <c r="F661" s="3"/>
    </row>
    <row r="662" spans="4:6" ht="12.75" customHeight="1" x14ac:dyDescent="0.25">
      <c r="D662" s="3"/>
      <c r="E662" s="3"/>
      <c r="F662" s="3"/>
    </row>
    <row r="663" spans="4:6" ht="12.75" customHeight="1" x14ac:dyDescent="0.25">
      <c r="D663" s="3"/>
      <c r="E663" s="3"/>
      <c r="F663" s="3"/>
    </row>
    <row r="664" spans="4:6" ht="12.75" customHeight="1" x14ac:dyDescent="0.25">
      <c r="D664" s="3"/>
      <c r="E664" s="3"/>
      <c r="F664" s="3"/>
    </row>
    <row r="665" spans="4:6" ht="12.75" customHeight="1" x14ac:dyDescent="0.25">
      <c r="D665" s="3"/>
      <c r="E665" s="3"/>
      <c r="F665" s="3"/>
    </row>
    <row r="666" spans="4:6" ht="12.75" customHeight="1" x14ac:dyDescent="0.25">
      <c r="D666" s="3"/>
      <c r="E666" s="3"/>
      <c r="F666" s="3"/>
    </row>
    <row r="667" spans="4:6" ht="12.75" customHeight="1" x14ac:dyDescent="0.25">
      <c r="D667" s="3"/>
      <c r="E667" s="3"/>
      <c r="F667" s="3"/>
    </row>
    <row r="668" spans="4:6" ht="12.75" customHeight="1" x14ac:dyDescent="0.25">
      <c r="D668" s="3"/>
      <c r="E668" s="3"/>
      <c r="F668" s="3"/>
    </row>
    <row r="669" spans="4:6" ht="12.75" customHeight="1" x14ac:dyDescent="0.25">
      <c r="D669" s="3"/>
      <c r="E669" s="3"/>
      <c r="F669" s="3"/>
    </row>
    <row r="670" spans="4:6" ht="12.75" customHeight="1" x14ac:dyDescent="0.25">
      <c r="D670" s="3"/>
      <c r="E670" s="3"/>
      <c r="F670" s="3"/>
    </row>
    <row r="671" spans="4:6" ht="12.75" customHeight="1" x14ac:dyDescent="0.25">
      <c r="D671" s="3"/>
      <c r="E671" s="3"/>
      <c r="F671" s="3"/>
    </row>
    <row r="672" spans="4:6" ht="12.75" customHeight="1" x14ac:dyDescent="0.25">
      <c r="D672" s="3"/>
      <c r="E672" s="3"/>
      <c r="F672" s="3"/>
    </row>
    <row r="673" spans="4:6" ht="12.75" customHeight="1" x14ac:dyDescent="0.25">
      <c r="D673" s="3"/>
      <c r="E673" s="3"/>
      <c r="F673" s="3"/>
    </row>
    <row r="674" spans="4:6" ht="12.75" customHeight="1" x14ac:dyDescent="0.25">
      <c r="D674" s="3"/>
      <c r="E674" s="3"/>
      <c r="F674" s="3"/>
    </row>
    <row r="675" spans="4:6" ht="12.75" customHeight="1" x14ac:dyDescent="0.25">
      <c r="D675" s="3"/>
      <c r="E675" s="3"/>
      <c r="F675" s="3"/>
    </row>
    <row r="676" spans="4:6" ht="12.75" customHeight="1" x14ac:dyDescent="0.25">
      <c r="D676" s="3"/>
      <c r="E676" s="3"/>
      <c r="F676" s="3"/>
    </row>
    <row r="677" spans="4:6" ht="12.75" customHeight="1" x14ac:dyDescent="0.25">
      <c r="D677" s="3"/>
      <c r="E677" s="3"/>
      <c r="F677" s="3"/>
    </row>
    <row r="678" spans="4:6" ht="12.75" customHeight="1" x14ac:dyDescent="0.25">
      <c r="D678" s="3"/>
      <c r="E678" s="3"/>
      <c r="F678" s="3"/>
    </row>
    <row r="679" spans="4:6" ht="12.75" customHeight="1" x14ac:dyDescent="0.25">
      <c r="D679" s="3"/>
      <c r="E679" s="3"/>
      <c r="F679" s="3"/>
    </row>
    <row r="680" spans="4:6" ht="12.75" customHeight="1" x14ac:dyDescent="0.25">
      <c r="D680" s="3"/>
      <c r="E680" s="3"/>
      <c r="F680" s="3"/>
    </row>
    <row r="681" spans="4:6" ht="12.75" customHeight="1" x14ac:dyDescent="0.25">
      <c r="D681" s="3"/>
      <c r="E681" s="3"/>
      <c r="F681" s="3"/>
    </row>
    <row r="682" spans="4:6" ht="12.75" customHeight="1" x14ac:dyDescent="0.25">
      <c r="D682" s="3"/>
      <c r="E682" s="3"/>
      <c r="F682" s="3"/>
    </row>
    <row r="683" spans="4:6" ht="12.75" customHeight="1" x14ac:dyDescent="0.25">
      <c r="D683" s="3"/>
      <c r="E683" s="3"/>
      <c r="F683" s="3"/>
    </row>
    <row r="684" spans="4:6" ht="12.75" customHeight="1" x14ac:dyDescent="0.25">
      <c r="D684" s="3"/>
      <c r="E684" s="3"/>
      <c r="F684" s="3"/>
    </row>
    <row r="685" spans="4:6" ht="12.75" customHeight="1" x14ac:dyDescent="0.25">
      <c r="D685" s="3"/>
      <c r="E685" s="3"/>
      <c r="F685" s="3"/>
    </row>
    <row r="686" spans="4:6" ht="12.75" customHeight="1" x14ac:dyDescent="0.25">
      <c r="D686" s="3"/>
      <c r="E686" s="3"/>
      <c r="F686" s="3"/>
    </row>
    <row r="687" spans="4:6" ht="12.75" customHeight="1" x14ac:dyDescent="0.25">
      <c r="D687" s="3"/>
      <c r="E687" s="3"/>
      <c r="F687" s="3"/>
    </row>
    <row r="688" spans="4:6" ht="12.75" customHeight="1" x14ac:dyDescent="0.25">
      <c r="D688" s="3"/>
      <c r="E688" s="3"/>
      <c r="F688" s="3"/>
    </row>
    <row r="689" spans="4:6" ht="12.75" customHeight="1" x14ac:dyDescent="0.25">
      <c r="D689" s="3"/>
      <c r="E689" s="3"/>
      <c r="F689" s="3"/>
    </row>
    <row r="690" spans="4:6" ht="12.75" customHeight="1" x14ac:dyDescent="0.25">
      <c r="D690" s="3"/>
      <c r="E690" s="3"/>
      <c r="F690" s="3"/>
    </row>
    <row r="691" spans="4:6" ht="12.75" customHeight="1" x14ac:dyDescent="0.25">
      <c r="D691" s="3"/>
      <c r="E691" s="3"/>
      <c r="F691" s="3"/>
    </row>
    <row r="692" spans="4:6" ht="12.75" customHeight="1" x14ac:dyDescent="0.25">
      <c r="D692" s="3"/>
      <c r="E692" s="3"/>
      <c r="F692" s="3"/>
    </row>
    <row r="693" spans="4:6" ht="12.75" customHeight="1" x14ac:dyDescent="0.25">
      <c r="D693" s="3"/>
      <c r="E693" s="3"/>
      <c r="F693" s="3"/>
    </row>
    <row r="694" spans="4:6" ht="12.75" customHeight="1" x14ac:dyDescent="0.25">
      <c r="D694" s="3"/>
      <c r="E694" s="3"/>
      <c r="F694" s="3"/>
    </row>
    <row r="695" spans="4:6" ht="12.75" customHeight="1" x14ac:dyDescent="0.25">
      <c r="D695" s="3"/>
      <c r="E695" s="3"/>
      <c r="F695" s="3"/>
    </row>
    <row r="696" spans="4:6" ht="12.75" customHeight="1" x14ac:dyDescent="0.25">
      <c r="D696" s="3"/>
      <c r="E696" s="3"/>
      <c r="F696" s="3"/>
    </row>
    <row r="697" spans="4:6" ht="12.75" customHeight="1" x14ac:dyDescent="0.25">
      <c r="D697" s="3"/>
      <c r="E697" s="3"/>
      <c r="F697" s="3"/>
    </row>
    <row r="698" spans="4:6" ht="12.75" customHeight="1" x14ac:dyDescent="0.25">
      <c r="D698" s="3"/>
      <c r="E698" s="3"/>
      <c r="F698" s="3"/>
    </row>
    <row r="699" spans="4:6" ht="12.75" customHeight="1" x14ac:dyDescent="0.25">
      <c r="D699" s="3"/>
      <c r="E699" s="3"/>
      <c r="F699" s="3"/>
    </row>
    <row r="700" spans="4:6" ht="12.75" customHeight="1" x14ac:dyDescent="0.25">
      <c r="D700" s="3"/>
      <c r="E700" s="3"/>
      <c r="F700" s="3"/>
    </row>
    <row r="701" spans="4:6" ht="12.75" customHeight="1" x14ac:dyDescent="0.25">
      <c r="D701" s="3"/>
      <c r="E701" s="3"/>
      <c r="F701" s="3"/>
    </row>
    <row r="702" spans="4:6" ht="12.75" customHeight="1" x14ac:dyDescent="0.25">
      <c r="D702" s="3"/>
      <c r="E702" s="3"/>
      <c r="F702" s="3"/>
    </row>
    <row r="703" spans="4:6" ht="12.75" customHeight="1" x14ac:dyDescent="0.25">
      <c r="D703" s="3"/>
      <c r="E703" s="3"/>
      <c r="F703" s="3"/>
    </row>
    <row r="704" spans="4:6" ht="12.75" customHeight="1" x14ac:dyDescent="0.25">
      <c r="D704" s="3"/>
      <c r="E704" s="3"/>
      <c r="F704" s="3"/>
    </row>
    <row r="705" spans="4:6" ht="12.75" customHeight="1" x14ac:dyDescent="0.25">
      <c r="D705" s="3"/>
      <c r="E705" s="3"/>
      <c r="F705" s="3"/>
    </row>
    <row r="706" spans="4:6" ht="12.75" customHeight="1" x14ac:dyDescent="0.25">
      <c r="D706" s="3"/>
      <c r="E706" s="3"/>
      <c r="F706" s="3"/>
    </row>
    <row r="707" spans="4:6" ht="12.75" customHeight="1" x14ac:dyDescent="0.25">
      <c r="D707" s="3"/>
      <c r="E707" s="3"/>
      <c r="F707" s="3"/>
    </row>
    <row r="708" spans="4:6" ht="12.75" customHeight="1" x14ac:dyDescent="0.25">
      <c r="D708" s="3"/>
      <c r="E708" s="3"/>
      <c r="F708" s="3"/>
    </row>
    <row r="709" spans="4:6" ht="12.75" customHeight="1" x14ac:dyDescent="0.25">
      <c r="D709" s="3"/>
      <c r="E709" s="3"/>
      <c r="F709" s="3"/>
    </row>
    <row r="710" spans="4:6" ht="12.75" customHeight="1" x14ac:dyDescent="0.25">
      <c r="D710" s="3"/>
      <c r="E710" s="3"/>
      <c r="F710" s="3"/>
    </row>
    <row r="711" spans="4:6" ht="12.75" customHeight="1" x14ac:dyDescent="0.25">
      <c r="D711" s="3"/>
      <c r="E711" s="3"/>
      <c r="F711" s="3"/>
    </row>
    <row r="712" spans="4:6" ht="12.75" customHeight="1" x14ac:dyDescent="0.25">
      <c r="D712" s="3"/>
      <c r="E712" s="3"/>
      <c r="F712" s="3"/>
    </row>
    <row r="713" spans="4:6" ht="12.75" customHeight="1" x14ac:dyDescent="0.25">
      <c r="D713" s="3"/>
      <c r="E713" s="3"/>
      <c r="F713" s="3"/>
    </row>
    <row r="714" spans="4:6" ht="12.75" customHeight="1" x14ac:dyDescent="0.25">
      <c r="D714" s="3"/>
      <c r="E714" s="3"/>
      <c r="F714" s="3"/>
    </row>
    <row r="715" spans="4:6" ht="12.75" customHeight="1" x14ac:dyDescent="0.25">
      <c r="D715" s="3"/>
      <c r="E715" s="3"/>
      <c r="F715" s="3"/>
    </row>
    <row r="716" spans="4:6" ht="12.75" customHeight="1" x14ac:dyDescent="0.25">
      <c r="D716" s="3"/>
      <c r="E716" s="3"/>
      <c r="F716" s="3"/>
    </row>
    <row r="717" spans="4:6" ht="12.75" customHeight="1" x14ac:dyDescent="0.25">
      <c r="D717" s="3"/>
      <c r="E717" s="3"/>
      <c r="F717" s="3"/>
    </row>
    <row r="718" spans="4:6" ht="12.75" customHeight="1" x14ac:dyDescent="0.25">
      <c r="D718" s="3"/>
      <c r="E718" s="3"/>
      <c r="F718" s="3"/>
    </row>
    <row r="719" spans="4:6" ht="12.75" customHeight="1" x14ac:dyDescent="0.25">
      <c r="D719" s="3"/>
      <c r="E719" s="3"/>
      <c r="F719" s="3"/>
    </row>
    <row r="720" spans="4:6" ht="12.75" customHeight="1" x14ac:dyDescent="0.25">
      <c r="D720" s="3"/>
      <c r="E720" s="3"/>
      <c r="F720" s="3"/>
    </row>
    <row r="721" spans="4:6" ht="12.75" customHeight="1" x14ac:dyDescent="0.25">
      <c r="D721" s="3"/>
      <c r="E721" s="3"/>
      <c r="F721" s="3"/>
    </row>
    <row r="722" spans="4:6" ht="12.75" customHeight="1" x14ac:dyDescent="0.25">
      <c r="D722" s="3"/>
      <c r="E722" s="3"/>
      <c r="F722" s="3"/>
    </row>
    <row r="723" spans="4:6" ht="12.75" customHeight="1" x14ac:dyDescent="0.25">
      <c r="D723" s="3"/>
      <c r="E723" s="3"/>
      <c r="F723" s="3"/>
    </row>
    <row r="724" spans="4:6" ht="12.75" customHeight="1" x14ac:dyDescent="0.25">
      <c r="D724" s="3"/>
      <c r="E724" s="3"/>
      <c r="F724" s="3"/>
    </row>
    <row r="725" spans="4:6" ht="12.75" customHeight="1" x14ac:dyDescent="0.25">
      <c r="D725" s="3"/>
      <c r="E725" s="3"/>
      <c r="F725" s="3"/>
    </row>
    <row r="726" spans="4:6" ht="12.75" customHeight="1" x14ac:dyDescent="0.25">
      <c r="D726" s="3"/>
      <c r="E726" s="3"/>
      <c r="F726" s="3"/>
    </row>
    <row r="727" spans="4:6" ht="12.75" customHeight="1" x14ac:dyDescent="0.25">
      <c r="D727" s="3"/>
      <c r="E727" s="3"/>
      <c r="F727" s="3"/>
    </row>
    <row r="728" spans="4:6" ht="12.75" customHeight="1" x14ac:dyDescent="0.25">
      <c r="D728" s="3"/>
      <c r="E728" s="3"/>
      <c r="F728" s="3"/>
    </row>
    <row r="729" spans="4:6" ht="12.75" customHeight="1" x14ac:dyDescent="0.25">
      <c r="D729" s="3"/>
      <c r="E729" s="3"/>
      <c r="F729" s="3"/>
    </row>
    <row r="730" spans="4:6" ht="12.75" customHeight="1" x14ac:dyDescent="0.25">
      <c r="D730" s="3"/>
      <c r="E730" s="3"/>
      <c r="F730" s="3"/>
    </row>
    <row r="731" spans="4:6" ht="12.75" customHeight="1" x14ac:dyDescent="0.25">
      <c r="D731" s="3"/>
      <c r="E731" s="3"/>
      <c r="F731" s="3"/>
    </row>
    <row r="732" spans="4:6" ht="12.75" customHeight="1" x14ac:dyDescent="0.25">
      <c r="D732" s="3"/>
      <c r="E732" s="3"/>
      <c r="F732" s="3"/>
    </row>
    <row r="733" spans="4:6" ht="12.75" customHeight="1" x14ac:dyDescent="0.25">
      <c r="D733" s="3"/>
      <c r="E733" s="3"/>
      <c r="F733" s="3"/>
    </row>
    <row r="734" spans="4:6" ht="12.75" customHeight="1" x14ac:dyDescent="0.25">
      <c r="D734" s="3"/>
      <c r="E734" s="3"/>
      <c r="F734" s="3"/>
    </row>
    <row r="735" spans="4:6" ht="12.75" customHeight="1" x14ac:dyDescent="0.25">
      <c r="D735" s="3"/>
      <c r="E735" s="3"/>
      <c r="F735" s="3"/>
    </row>
    <row r="736" spans="4:6" ht="12.75" customHeight="1" x14ac:dyDescent="0.25">
      <c r="D736" s="3"/>
      <c r="E736" s="3"/>
      <c r="F736" s="3"/>
    </row>
    <row r="737" spans="4:6" ht="12.75" customHeight="1" x14ac:dyDescent="0.25">
      <c r="D737" s="3"/>
      <c r="E737" s="3"/>
      <c r="F737" s="3"/>
    </row>
    <row r="738" spans="4:6" ht="12.75" customHeight="1" x14ac:dyDescent="0.25">
      <c r="D738" s="3"/>
      <c r="E738" s="3"/>
      <c r="F738" s="3"/>
    </row>
    <row r="739" spans="4:6" ht="12.75" customHeight="1" x14ac:dyDescent="0.25">
      <c r="D739" s="3"/>
      <c r="E739" s="3"/>
      <c r="F739" s="3"/>
    </row>
    <row r="740" spans="4:6" ht="12.75" customHeight="1" x14ac:dyDescent="0.25">
      <c r="D740" s="3"/>
      <c r="E740" s="3"/>
      <c r="F740" s="3"/>
    </row>
    <row r="741" spans="4:6" ht="12.75" customHeight="1" x14ac:dyDescent="0.25">
      <c r="D741" s="3"/>
      <c r="E741" s="3"/>
      <c r="F741" s="3"/>
    </row>
    <row r="742" spans="4:6" ht="12.75" customHeight="1" x14ac:dyDescent="0.25">
      <c r="D742" s="3"/>
      <c r="E742" s="3"/>
      <c r="F742" s="3"/>
    </row>
    <row r="743" spans="4:6" ht="12.75" customHeight="1" x14ac:dyDescent="0.25">
      <c r="D743" s="3"/>
      <c r="E743" s="3"/>
      <c r="F743" s="3"/>
    </row>
    <row r="744" spans="4:6" ht="12.75" customHeight="1" x14ac:dyDescent="0.25">
      <c r="D744" s="3"/>
      <c r="E744" s="3"/>
      <c r="F744" s="3"/>
    </row>
    <row r="745" spans="4:6" ht="12.75" customHeight="1" x14ac:dyDescent="0.25">
      <c r="D745" s="3"/>
      <c r="E745" s="3"/>
      <c r="F745" s="3"/>
    </row>
    <row r="746" spans="4:6" ht="12.75" customHeight="1" x14ac:dyDescent="0.25">
      <c r="D746" s="3"/>
      <c r="E746" s="3"/>
      <c r="F746" s="3"/>
    </row>
    <row r="747" spans="4:6" ht="12.75" customHeight="1" x14ac:dyDescent="0.25">
      <c r="D747" s="3"/>
      <c r="E747" s="3"/>
      <c r="F747" s="3"/>
    </row>
    <row r="748" spans="4:6" ht="12.75" customHeight="1" x14ac:dyDescent="0.25">
      <c r="D748" s="3"/>
      <c r="E748" s="3"/>
      <c r="F748" s="3"/>
    </row>
    <row r="749" spans="4:6" ht="12.75" customHeight="1" x14ac:dyDescent="0.25">
      <c r="D749" s="3"/>
      <c r="E749" s="3"/>
      <c r="F749" s="3"/>
    </row>
    <row r="750" spans="4:6" ht="12.75" customHeight="1" x14ac:dyDescent="0.25">
      <c r="D750" s="3"/>
      <c r="E750" s="3"/>
      <c r="F750" s="3"/>
    </row>
    <row r="751" spans="4:6" ht="12.75" customHeight="1" x14ac:dyDescent="0.25">
      <c r="D751" s="3"/>
      <c r="E751" s="3"/>
      <c r="F751" s="3"/>
    </row>
    <row r="752" spans="4:6" ht="12.75" customHeight="1" x14ac:dyDescent="0.25">
      <c r="D752" s="3"/>
      <c r="E752" s="3"/>
      <c r="F752" s="3"/>
    </row>
    <row r="753" spans="4:6" ht="12.75" customHeight="1" x14ac:dyDescent="0.25">
      <c r="D753" s="3"/>
      <c r="E753" s="3"/>
      <c r="F753" s="3"/>
    </row>
    <row r="754" spans="4:6" ht="12.75" customHeight="1" x14ac:dyDescent="0.25">
      <c r="D754" s="3"/>
      <c r="E754" s="3"/>
      <c r="F754" s="3"/>
    </row>
    <row r="755" spans="4:6" ht="12.75" customHeight="1" x14ac:dyDescent="0.25">
      <c r="D755" s="3"/>
      <c r="E755" s="3"/>
      <c r="F755" s="3"/>
    </row>
    <row r="756" spans="4:6" ht="12.75" customHeight="1" x14ac:dyDescent="0.25">
      <c r="D756" s="3"/>
      <c r="E756" s="3"/>
      <c r="F756" s="3"/>
    </row>
    <row r="757" spans="4:6" ht="12.75" customHeight="1" x14ac:dyDescent="0.25">
      <c r="D757" s="3"/>
      <c r="E757" s="3"/>
      <c r="F757" s="3"/>
    </row>
    <row r="758" spans="4:6" ht="12.75" customHeight="1" x14ac:dyDescent="0.25">
      <c r="D758" s="3"/>
      <c r="E758" s="3"/>
      <c r="F758" s="3"/>
    </row>
    <row r="759" spans="4:6" ht="12.75" customHeight="1" x14ac:dyDescent="0.25">
      <c r="D759" s="3"/>
      <c r="E759" s="3"/>
      <c r="F759" s="3"/>
    </row>
    <row r="760" spans="4:6" ht="12.75" customHeight="1" x14ac:dyDescent="0.25">
      <c r="D760" s="3"/>
      <c r="E760" s="3"/>
      <c r="F760" s="3"/>
    </row>
    <row r="761" spans="4:6" ht="12.75" customHeight="1" x14ac:dyDescent="0.25">
      <c r="D761" s="3"/>
      <c r="E761" s="3"/>
      <c r="F761" s="3"/>
    </row>
    <row r="762" spans="4:6" ht="12.75" customHeight="1" x14ac:dyDescent="0.25">
      <c r="D762" s="3"/>
      <c r="E762" s="3"/>
      <c r="F762" s="3"/>
    </row>
    <row r="763" spans="4:6" ht="12.75" customHeight="1" x14ac:dyDescent="0.25">
      <c r="D763" s="3"/>
      <c r="E763" s="3"/>
      <c r="F763" s="3"/>
    </row>
    <row r="764" spans="4:6" ht="12.75" customHeight="1" x14ac:dyDescent="0.25">
      <c r="D764" s="3"/>
      <c r="E764" s="3"/>
      <c r="F764" s="3"/>
    </row>
    <row r="765" spans="4:6" ht="12.75" customHeight="1" x14ac:dyDescent="0.25">
      <c r="D765" s="3"/>
      <c r="E765" s="3"/>
      <c r="F765" s="3"/>
    </row>
    <row r="766" spans="4:6" ht="12.75" customHeight="1" x14ac:dyDescent="0.25">
      <c r="D766" s="3"/>
      <c r="E766" s="3"/>
      <c r="F766" s="3"/>
    </row>
    <row r="767" spans="4:6" ht="12.75" customHeight="1" x14ac:dyDescent="0.25">
      <c r="D767" s="3"/>
      <c r="E767" s="3"/>
      <c r="F767" s="3"/>
    </row>
    <row r="768" spans="4:6" ht="12.75" customHeight="1" x14ac:dyDescent="0.25">
      <c r="D768" s="3"/>
      <c r="E768" s="3"/>
      <c r="F768" s="3"/>
    </row>
    <row r="769" spans="4:6" ht="12.75" customHeight="1" x14ac:dyDescent="0.25">
      <c r="D769" s="3"/>
      <c r="E769" s="3"/>
      <c r="F769" s="3"/>
    </row>
    <row r="770" spans="4:6" ht="12.75" customHeight="1" x14ac:dyDescent="0.25">
      <c r="D770" s="3"/>
      <c r="E770" s="3"/>
      <c r="F770" s="3"/>
    </row>
    <row r="771" spans="4:6" ht="12.75" customHeight="1" x14ac:dyDescent="0.25">
      <c r="D771" s="3"/>
      <c r="E771" s="3"/>
      <c r="F771" s="3"/>
    </row>
    <row r="772" spans="4:6" ht="12.75" customHeight="1" x14ac:dyDescent="0.25">
      <c r="D772" s="3"/>
      <c r="E772" s="3"/>
      <c r="F772" s="3"/>
    </row>
    <row r="773" spans="4:6" ht="12.75" customHeight="1" x14ac:dyDescent="0.25">
      <c r="D773" s="3"/>
      <c r="E773" s="3"/>
      <c r="F773" s="3"/>
    </row>
    <row r="774" spans="4:6" ht="12.75" customHeight="1" x14ac:dyDescent="0.25">
      <c r="D774" s="3"/>
      <c r="E774" s="3"/>
      <c r="F774" s="3"/>
    </row>
    <row r="775" spans="4:6" ht="12.75" customHeight="1" x14ac:dyDescent="0.25">
      <c r="D775" s="3"/>
      <c r="E775" s="3"/>
      <c r="F775" s="3"/>
    </row>
    <row r="776" spans="4:6" ht="12.75" customHeight="1" x14ac:dyDescent="0.25">
      <c r="D776" s="3"/>
      <c r="E776" s="3"/>
      <c r="F776" s="3"/>
    </row>
    <row r="777" spans="4:6" ht="12.75" customHeight="1" x14ac:dyDescent="0.25">
      <c r="D777" s="3"/>
      <c r="E777" s="3"/>
      <c r="F777" s="3"/>
    </row>
    <row r="778" spans="4:6" ht="12.75" customHeight="1" x14ac:dyDescent="0.25">
      <c r="D778" s="3"/>
      <c r="E778" s="3"/>
      <c r="F778" s="3"/>
    </row>
    <row r="779" spans="4:6" ht="12.75" customHeight="1" x14ac:dyDescent="0.25">
      <c r="D779" s="3"/>
      <c r="E779" s="3"/>
      <c r="F779" s="3"/>
    </row>
    <row r="780" spans="4:6" ht="12.75" customHeight="1" x14ac:dyDescent="0.25">
      <c r="D780" s="3"/>
      <c r="E780" s="3"/>
      <c r="F780" s="3"/>
    </row>
    <row r="781" spans="4:6" ht="12.75" customHeight="1" x14ac:dyDescent="0.25">
      <c r="D781" s="3"/>
      <c r="E781" s="3"/>
      <c r="F781" s="3"/>
    </row>
    <row r="782" spans="4:6" ht="12.75" customHeight="1" x14ac:dyDescent="0.25">
      <c r="D782" s="3"/>
      <c r="E782" s="3"/>
      <c r="F782" s="3"/>
    </row>
    <row r="783" spans="4:6" ht="12.75" customHeight="1" x14ac:dyDescent="0.25">
      <c r="D783" s="3"/>
      <c r="E783" s="3"/>
      <c r="F783" s="3"/>
    </row>
    <row r="784" spans="4:6" ht="12.75" customHeight="1" x14ac:dyDescent="0.25">
      <c r="D784" s="3"/>
      <c r="E784" s="3"/>
      <c r="F784" s="3"/>
    </row>
    <row r="785" spans="4:6" ht="12.75" customHeight="1" x14ac:dyDescent="0.25">
      <c r="D785" s="3"/>
      <c r="E785" s="3"/>
      <c r="F785" s="3"/>
    </row>
    <row r="786" spans="4:6" ht="12.75" customHeight="1" x14ac:dyDescent="0.25">
      <c r="D786" s="3"/>
      <c r="E786" s="3"/>
      <c r="F786" s="3"/>
    </row>
    <row r="787" spans="4:6" ht="12.75" customHeight="1" x14ac:dyDescent="0.25">
      <c r="D787" s="3"/>
      <c r="E787" s="3"/>
      <c r="F787" s="3"/>
    </row>
    <row r="788" spans="4:6" ht="12.75" customHeight="1" x14ac:dyDescent="0.25">
      <c r="D788" s="3"/>
      <c r="E788" s="3"/>
      <c r="F788" s="3"/>
    </row>
    <row r="789" spans="4:6" ht="12.75" customHeight="1" x14ac:dyDescent="0.25">
      <c r="D789" s="3"/>
      <c r="E789" s="3"/>
      <c r="F789" s="3"/>
    </row>
    <row r="790" spans="4:6" ht="12.75" customHeight="1" x14ac:dyDescent="0.25">
      <c r="D790" s="3"/>
      <c r="E790" s="3"/>
      <c r="F790" s="3"/>
    </row>
    <row r="791" spans="4:6" ht="12.75" customHeight="1" x14ac:dyDescent="0.25">
      <c r="D791" s="3"/>
      <c r="E791" s="3"/>
      <c r="F791" s="3"/>
    </row>
    <row r="792" spans="4:6" ht="12.75" customHeight="1" x14ac:dyDescent="0.25">
      <c r="D792" s="3"/>
      <c r="E792" s="3"/>
      <c r="F792" s="3"/>
    </row>
    <row r="793" spans="4:6" ht="12.75" customHeight="1" x14ac:dyDescent="0.25">
      <c r="D793" s="3"/>
      <c r="E793" s="3"/>
      <c r="F793" s="3"/>
    </row>
    <row r="794" spans="4:6" ht="12.75" customHeight="1" x14ac:dyDescent="0.25">
      <c r="D794" s="3"/>
      <c r="E794" s="3"/>
      <c r="F794" s="3"/>
    </row>
    <row r="795" spans="4:6" ht="12.75" customHeight="1" x14ac:dyDescent="0.25">
      <c r="D795" s="3"/>
      <c r="E795" s="3"/>
      <c r="F795" s="3"/>
    </row>
    <row r="796" spans="4:6" ht="12.75" customHeight="1" x14ac:dyDescent="0.25">
      <c r="D796" s="3"/>
      <c r="E796" s="3"/>
      <c r="F796" s="3"/>
    </row>
    <row r="797" spans="4:6" ht="12.75" customHeight="1" x14ac:dyDescent="0.25">
      <c r="D797" s="3"/>
      <c r="E797" s="3"/>
      <c r="F797" s="3"/>
    </row>
    <row r="798" spans="4:6" ht="12.75" customHeight="1" x14ac:dyDescent="0.25">
      <c r="D798" s="3"/>
      <c r="E798" s="3"/>
      <c r="F798" s="3"/>
    </row>
    <row r="799" spans="4:6" ht="12.75" customHeight="1" x14ac:dyDescent="0.25">
      <c r="D799" s="3"/>
      <c r="E799" s="3"/>
      <c r="F799" s="3"/>
    </row>
    <row r="800" spans="4:6" ht="12.75" customHeight="1" x14ac:dyDescent="0.25">
      <c r="D800" s="3"/>
      <c r="E800" s="3"/>
      <c r="F800" s="3"/>
    </row>
    <row r="801" spans="4:6" ht="12.75" customHeight="1" x14ac:dyDescent="0.25">
      <c r="D801" s="3"/>
      <c r="E801" s="3"/>
      <c r="F801" s="3"/>
    </row>
    <row r="802" spans="4:6" ht="12.75" customHeight="1" x14ac:dyDescent="0.25">
      <c r="D802" s="3"/>
      <c r="E802" s="3"/>
      <c r="F802" s="3"/>
    </row>
    <row r="803" spans="4:6" ht="12.75" customHeight="1" x14ac:dyDescent="0.25">
      <c r="D803" s="3"/>
      <c r="E803" s="3"/>
      <c r="F803" s="3"/>
    </row>
    <row r="804" spans="4:6" ht="12.75" customHeight="1" x14ac:dyDescent="0.25">
      <c r="D804" s="3"/>
      <c r="E804" s="3"/>
      <c r="F804" s="3"/>
    </row>
    <row r="805" spans="4:6" ht="12.75" customHeight="1" x14ac:dyDescent="0.25">
      <c r="D805" s="3"/>
      <c r="E805" s="3"/>
      <c r="F805" s="3"/>
    </row>
    <row r="806" spans="4:6" ht="12.75" customHeight="1" x14ac:dyDescent="0.25">
      <c r="D806" s="3"/>
      <c r="E806" s="3"/>
      <c r="F806" s="3"/>
    </row>
    <row r="807" spans="4:6" ht="12.75" customHeight="1" x14ac:dyDescent="0.25">
      <c r="D807" s="3"/>
      <c r="E807" s="3"/>
      <c r="F807" s="3"/>
    </row>
    <row r="808" spans="4:6" ht="12.75" customHeight="1" x14ac:dyDescent="0.25">
      <c r="D808" s="3"/>
      <c r="E808" s="3"/>
      <c r="F808" s="3"/>
    </row>
    <row r="809" spans="4:6" ht="12.75" customHeight="1" x14ac:dyDescent="0.25">
      <c r="D809" s="3"/>
      <c r="E809" s="3"/>
      <c r="F809" s="3"/>
    </row>
    <row r="810" spans="4:6" ht="12.75" customHeight="1" x14ac:dyDescent="0.25">
      <c r="D810" s="3"/>
      <c r="E810" s="3"/>
      <c r="F810" s="3"/>
    </row>
    <row r="811" spans="4:6" ht="12.75" customHeight="1" x14ac:dyDescent="0.25">
      <c r="D811" s="3"/>
      <c r="E811" s="3"/>
      <c r="F811" s="3"/>
    </row>
    <row r="812" spans="4:6" ht="12.75" customHeight="1" x14ac:dyDescent="0.25">
      <c r="D812" s="3"/>
      <c r="E812" s="3"/>
      <c r="F812" s="3"/>
    </row>
    <row r="813" spans="4:6" ht="12.75" customHeight="1" x14ac:dyDescent="0.25">
      <c r="D813" s="3"/>
      <c r="E813" s="3"/>
      <c r="F813" s="3"/>
    </row>
    <row r="814" spans="4:6" ht="12.75" customHeight="1" x14ac:dyDescent="0.25">
      <c r="D814" s="3"/>
      <c r="E814" s="3"/>
      <c r="F814" s="3"/>
    </row>
    <row r="815" spans="4:6" ht="12.75" customHeight="1" x14ac:dyDescent="0.25">
      <c r="D815" s="3"/>
      <c r="E815" s="3"/>
      <c r="F815" s="3"/>
    </row>
    <row r="816" spans="4:6" ht="12.75" customHeight="1" x14ac:dyDescent="0.25">
      <c r="D816" s="3"/>
      <c r="E816" s="3"/>
      <c r="F816" s="3"/>
    </row>
    <row r="817" spans="4:6" ht="12.75" customHeight="1" x14ac:dyDescent="0.25">
      <c r="D817" s="3"/>
      <c r="E817" s="3"/>
      <c r="F817" s="3"/>
    </row>
    <row r="818" spans="4:6" ht="12.75" customHeight="1" x14ac:dyDescent="0.25">
      <c r="D818" s="3"/>
      <c r="E818" s="3"/>
      <c r="F818" s="3"/>
    </row>
    <row r="819" spans="4:6" ht="12.75" customHeight="1" x14ac:dyDescent="0.25">
      <c r="D819" s="3"/>
      <c r="E819" s="3"/>
      <c r="F819" s="3"/>
    </row>
    <row r="820" spans="4:6" ht="12.75" customHeight="1" x14ac:dyDescent="0.25">
      <c r="D820" s="3"/>
      <c r="E820" s="3"/>
      <c r="F820" s="3"/>
    </row>
    <row r="821" spans="4:6" ht="12.75" customHeight="1" x14ac:dyDescent="0.25">
      <c r="D821" s="3"/>
      <c r="E821" s="3"/>
      <c r="F821" s="3"/>
    </row>
    <row r="822" spans="4:6" ht="12.75" customHeight="1" x14ac:dyDescent="0.25">
      <c r="D822" s="3"/>
      <c r="E822" s="3"/>
      <c r="F822" s="3"/>
    </row>
    <row r="823" spans="4:6" ht="12.75" customHeight="1" x14ac:dyDescent="0.25">
      <c r="D823" s="3"/>
      <c r="E823" s="3"/>
      <c r="F823" s="3"/>
    </row>
    <row r="824" spans="4:6" ht="12.75" customHeight="1" x14ac:dyDescent="0.25">
      <c r="D824" s="3"/>
      <c r="E824" s="3"/>
      <c r="F824" s="3"/>
    </row>
    <row r="825" spans="4:6" ht="12.75" customHeight="1" x14ac:dyDescent="0.25">
      <c r="D825" s="3"/>
      <c r="E825" s="3"/>
      <c r="F825" s="3"/>
    </row>
    <row r="826" spans="4:6" ht="12.75" customHeight="1" x14ac:dyDescent="0.25">
      <c r="D826" s="3"/>
      <c r="E826" s="3"/>
      <c r="F826" s="3"/>
    </row>
    <row r="827" spans="4:6" ht="12.75" customHeight="1" x14ac:dyDescent="0.25">
      <c r="D827" s="3"/>
      <c r="E827" s="3"/>
      <c r="F827" s="3"/>
    </row>
    <row r="828" spans="4:6" ht="12.75" customHeight="1" x14ac:dyDescent="0.25">
      <c r="D828" s="3"/>
      <c r="E828" s="3"/>
      <c r="F828" s="3"/>
    </row>
    <row r="829" spans="4:6" ht="12.75" customHeight="1" x14ac:dyDescent="0.25">
      <c r="D829" s="3"/>
      <c r="E829" s="3"/>
      <c r="F829" s="3"/>
    </row>
    <row r="830" spans="4:6" ht="12.75" customHeight="1" x14ac:dyDescent="0.25">
      <c r="D830" s="3"/>
      <c r="E830" s="3"/>
      <c r="F830" s="3"/>
    </row>
    <row r="831" spans="4:6" ht="12.75" customHeight="1" x14ac:dyDescent="0.25">
      <c r="D831" s="3"/>
      <c r="E831" s="3"/>
      <c r="F831" s="3"/>
    </row>
    <row r="832" spans="4:6" ht="12.75" customHeight="1" x14ac:dyDescent="0.25">
      <c r="D832" s="3"/>
      <c r="E832" s="3"/>
      <c r="F832" s="3"/>
    </row>
    <row r="833" spans="4:6" ht="12.75" customHeight="1" x14ac:dyDescent="0.25">
      <c r="D833" s="3"/>
      <c r="E833" s="3"/>
      <c r="F833" s="3"/>
    </row>
    <row r="834" spans="4:6" ht="12.75" customHeight="1" x14ac:dyDescent="0.25">
      <c r="D834" s="3"/>
      <c r="E834" s="3"/>
      <c r="F834" s="3"/>
    </row>
    <row r="835" spans="4:6" ht="12.75" customHeight="1" x14ac:dyDescent="0.25">
      <c r="D835" s="3"/>
      <c r="E835" s="3"/>
      <c r="F835" s="3"/>
    </row>
    <row r="836" spans="4:6" ht="12.75" customHeight="1" x14ac:dyDescent="0.25">
      <c r="D836" s="3"/>
      <c r="E836" s="3"/>
      <c r="F836" s="3"/>
    </row>
    <row r="837" spans="4:6" ht="12.75" customHeight="1" x14ac:dyDescent="0.25">
      <c r="D837" s="3"/>
      <c r="E837" s="3"/>
      <c r="F837" s="3"/>
    </row>
    <row r="838" spans="4:6" ht="12.75" customHeight="1" x14ac:dyDescent="0.25">
      <c r="D838" s="3"/>
      <c r="E838" s="3"/>
      <c r="F838" s="3"/>
    </row>
    <row r="839" spans="4:6" ht="12.75" customHeight="1" x14ac:dyDescent="0.25">
      <c r="D839" s="3"/>
      <c r="E839" s="3"/>
      <c r="F839" s="3"/>
    </row>
    <row r="840" spans="4:6" ht="12.75" customHeight="1" x14ac:dyDescent="0.25">
      <c r="D840" s="3"/>
      <c r="E840" s="3"/>
      <c r="F840" s="3"/>
    </row>
    <row r="841" spans="4:6" ht="12.75" customHeight="1" x14ac:dyDescent="0.25">
      <c r="D841" s="3"/>
      <c r="E841" s="3"/>
      <c r="F841" s="3"/>
    </row>
    <row r="842" spans="4:6" ht="12.75" customHeight="1" x14ac:dyDescent="0.25">
      <c r="D842" s="3"/>
      <c r="E842" s="3"/>
      <c r="F842" s="3"/>
    </row>
    <row r="843" spans="4:6" ht="12.75" customHeight="1" x14ac:dyDescent="0.25">
      <c r="D843" s="3"/>
      <c r="E843" s="3"/>
      <c r="F843" s="3"/>
    </row>
    <row r="844" spans="4:6" ht="12.75" customHeight="1" x14ac:dyDescent="0.25">
      <c r="D844" s="3"/>
      <c r="E844" s="3"/>
      <c r="F844" s="3"/>
    </row>
    <row r="845" spans="4:6" ht="12.75" customHeight="1" x14ac:dyDescent="0.25">
      <c r="D845" s="3"/>
      <c r="E845" s="3"/>
      <c r="F845" s="3"/>
    </row>
    <row r="846" spans="4:6" ht="12.75" customHeight="1" x14ac:dyDescent="0.25">
      <c r="D846" s="3"/>
      <c r="E846" s="3"/>
      <c r="F846" s="3"/>
    </row>
    <row r="847" spans="4:6" ht="12.75" customHeight="1" x14ac:dyDescent="0.25">
      <c r="D847" s="3"/>
      <c r="E847" s="3"/>
      <c r="F847" s="3"/>
    </row>
    <row r="848" spans="4:6" ht="12.75" customHeight="1" x14ac:dyDescent="0.25">
      <c r="D848" s="3"/>
      <c r="E848" s="3"/>
      <c r="F848" s="3"/>
    </row>
    <row r="849" spans="4:6" ht="12.75" customHeight="1" x14ac:dyDescent="0.25">
      <c r="D849" s="3"/>
      <c r="E849" s="3"/>
      <c r="F849" s="3"/>
    </row>
    <row r="850" spans="4:6" ht="12.75" customHeight="1" x14ac:dyDescent="0.25">
      <c r="D850" s="3"/>
      <c r="E850" s="3"/>
      <c r="F850" s="3"/>
    </row>
    <row r="851" spans="4:6" ht="12.75" customHeight="1" x14ac:dyDescent="0.25">
      <c r="D851" s="3"/>
      <c r="E851" s="3"/>
      <c r="F851" s="3"/>
    </row>
    <row r="852" spans="4:6" ht="12.75" customHeight="1" x14ac:dyDescent="0.25">
      <c r="D852" s="3"/>
      <c r="E852" s="3"/>
      <c r="F852" s="3"/>
    </row>
    <row r="853" spans="4:6" ht="12.75" customHeight="1" x14ac:dyDescent="0.25">
      <c r="D853" s="3"/>
      <c r="E853" s="3"/>
      <c r="F853" s="3"/>
    </row>
    <row r="854" spans="4:6" ht="12.75" customHeight="1" x14ac:dyDescent="0.25">
      <c r="D854" s="3"/>
      <c r="E854" s="3"/>
      <c r="F854" s="3"/>
    </row>
    <row r="855" spans="4:6" ht="12.75" customHeight="1" x14ac:dyDescent="0.25">
      <c r="D855" s="3"/>
      <c r="E855" s="3"/>
      <c r="F855" s="3"/>
    </row>
    <row r="856" spans="4:6" ht="12.75" customHeight="1" x14ac:dyDescent="0.25">
      <c r="D856" s="3"/>
      <c r="E856" s="3"/>
      <c r="F856" s="3"/>
    </row>
    <row r="857" spans="4:6" ht="12.75" customHeight="1" x14ac:dyDescent="0.25">
      <c r="D857" s="3"/>
      <c r="E857" s="3"/>
      <c r="F857" s="3"/>
    </row>
    <row r="858" spans="4:6" ht="12.75" customHeight="1" x14ac:dyDescent="0.25">
      <c r="D858" s="3"/>
      <c r="E858" s="3"/>
      <c r="F858" s="3"/>
    </row>
    <row r="859" spans="4:6" ht="12.75" customHeight="1" x14ac:dyDescent="0.25">
      <c r="D859" s="3"/>
      <c r="E859" s="3"/>
      <c r="F859" s="3"/>
    </row>
    <row r="860" spans="4:6" ht="12.75" customHeight="1" x14ac:dyDescent="0.25">
      <c r="D860" s="3"/>
      <c r="E860" s="3"/>
      <c r="F860" s="3"/>
    </row>
    <row r="861" spans="4:6" ht="12.75" customHeight="1" x14ac:dyDescent="0.25">
      <c r="D861" s="3"/>
      <c r="E861" s="3"/>
      <c r="F861" s="3"/>
    </row>
    <row r="862" spans="4:6" ht="12.75" customHeight="1" x14ac:dyDescent="0.25">
      <c r="D862" s="3"/>
      <c r="E862" s="3"/>
      <c r="F862" s="3"/>
    </row>
    <row r="863" spans="4:6" ht="12.75" customHeight="1" x14ac:dyDescent="0.25">
      <c r="D863" s="3"/>
      <c r="E863" s="3"/>
      <c r="F863" s="3"/>
    </row>
    <row r="864" spans="4:6" ht="12.75" customHeight="1" x14ac:dyDescent="0.25">
      <c r="D864" s="3"/>
      <c r="E864" s="3"/>
      <c r="F864" s="3"/>
    </row>
    <row r="865" spans="4:6" ht="12.75" customHeight="1" x14ac:dyDescent="0.25">
      <c r="D865" s="3"/>
      <c r="E865" s="3"/>
      <c r="F865" s="3"/>
    </row>
    <row r="866" spans="4:6" ht="12.75" customHeight="1" x14ac:dyDescent="0.25">
      <c r="D866" s="3"/>
      <c r="E866" s="3"/>
      <c r="F866" s="3"/>
    </row>
    <row r="867" spans="4:6" ht="12.75" customHeight="1" x14ac:dyDescent="0.25">
      <c r="D867" s="3"/>
      <c r="E867" s="3"/>
      <c r="F867" s="3"/>
    </row>
    <row r="868" spans="4:6" ht="12.75" customHeight="1" x14ac:dyDescent="0.25">
      <c r="D868" s="3"/>
      <c r="E868" s="3"/>
      <c r="F868" s="3"/>
    </row>
    <row r="869" spans="4:6" ht="12.75" customHeight="1" x14ac:dyDescent="0.25">
      <c r="D869" s="3"/>
      <c r="E869" s="3"/>
      <c r="F869" s="3"/>
    </row>
    <row r="870" spans="4:6" ht="12.75" customHeight="1" x14ac:dyDescent="0.25">
      <c r="D870" s="3"/>
      <c r="E870" s="3"/>
      <c r="F870" s="3"/>
    </row>
    <row r="871" spans="4:6" ht="12.75" customHeight="1" x14ac:dyDescent="0.25">
      <c r="D871" s="3"/>
      <c r="E871" s="3"/>
      <c r="F871" s="3"/>
    </row>
    <row r="872" spans="4:6" ht="12.75" customHeight="1" x14ac:dyDescent="0.25">
      <c r="D872" s="3"/>
      <c r="E872" s="3"/>
      <c r="F872" s="3"/>
    </row>
    <row r="873" spans="4:6" ht="12.75" customHeight="1" x14ac:dyDescent="0.25">
      <c r="D873" s="3"/>
      <c r="E873" s="3"/>
      <c r="F873" s="3"/>
    </row>
    <row r="874" spans="4:6" ht="12.75" customHeight="1" x14ac:dyDescent="0.25">
      <c r="D874" s="3"/>
      <c r="E874" s="3"/>
      <c r="F874" s="3"/>
    </row>
    <row r="875" spans="4:6" ht="12.75" customHeight="1" x14ac:dyDescent="0.25">
      <c r="D875" s="3"/>
      <c r="E875" s="3"/>
      <c r="F875" s="3"/>
    </row>
    <row r="876" spans="4:6" ht="12.75" customHeight="1" x14ac:dyDescent="0.25">
      <c r="D876" s="3"/>
      <c r="E876" s="3"/>
      <c r="F876" s="3"/>
    </row>
    <row r="877" spans="4:6" ht="12.75" customHeight="1" x14ac:dyDescent="0.25">
      <c r="D877" s="3"/>
      <c r="E877" s="3"/>
      <c r="F877" s="3"/>
    </row>
    <row r="878" spans="4:6" ht="12.75" customHeight="1" x14ac:dyDescent="0.25">
      <c r="D878" s="3"/>
      <c r="E878" s="3"/>
      <c r="F878" s="3"/>
    </row>
    <row r="879" spans="4:6" ht="12.75" customHeight="1" x14ac:dyDescent="0.25">
      <c r="D879" s="3"/>
      <c r="E879" s="3"/>
      <c r="F879" s="3"/>
    </row>
    <row r="880" spans="4:6" ht="12.75" customHeight="1" x14ac:dyDescent="0.25">
      <c r="D880" s="3"/>
      <c r="E880" s="3"/>
      <c r="F880" s="3"/>
    </row>
    <row r="881" spans="4:6" ht="12.75" customHeight="1" x14ac:dyDescent="0.25">
      <c r="D881" s="3"/>
      <c r="E881" s="3"/>
      <c r="F881" s="3"/>
    </row>
    <row r="882" spans="4:6" ht="12.75" customHeight="1" x14ac:dyDescent="0.25">
      <c r="D882" s="3"/>
      <c r="E882" s="3"/>
      <c r="F882" s="3"/>
    </row>
    <row r="883" spans="4:6" ht="12.75" customHeight="1" x14ac:dyDescent="0.25">
      <c r="D883" s="3"/>
      <c r="E883" s="3"/>
      <c r="F883" s="3"/>
    </row>
    <row r="884" spans="4:6" ht="12.75" customHeight="1" x14ac:dyDescent="0.25">
      <c r="D884" s="3"/>
      <c r="E884" s="3"/>
      <c r="F884" s="3"/>
    </row>
    <row r="885" spans="4:6" ht="12.75" customHeight="1" x14ac:dyDescent="0.25">
      <c r="D885" s="3"/>
      <c r="E885" s="3"/>
      <c r="F885" s="3"/>
    </row>
    <row r="886" spans="4:6" ht="12.75" customHeight="1" x14ac:dyDescent="0.25">
      <c r="D886" s="3"/>
      <c r="E886" s="3"/>
      <c r="F886" s="3"/>
    </row>
    <row r="887" spans="4:6" ht="12.75" customHeight="1" x14ac:dyDescent="0.25">
      <c r="D887" s="3"/>
      <c r="E887" s="3"/>
      <c r="F887" s="3"/>
    </row>
    <row r="888" spans="4:6" ht="12.75" customHeight="1" x14ac:dyDescent="0.25">
      <c r="D888" s="3"/>
      <c r="E888" s="3"/>
      <c r="F888" s="3"/>
    </row>
    <row r="889" spans="4:6" ht="12.75" customHeight="1" x14ac:dyDescent="0.25">
      <c r="D889" s="3"/>
      <c r="E889" s="3"/>
      <c r="F889" s="3"/>
    </row>
    <row r="890" spans="4:6" ht="12.75" customHeight="1" x14ac:dyDescent="0.25">
      <c r="D890" s="3"/>
      <c r="E890" s="3"/>
      <c r="F890" s="3"/>
    </row>
    <row r="891" spans="4:6" ht="12.75" customHeight="1" x14ac:dyDescent="0.25">
      <c r="D891" s="3"/>
      <c r="E891" s="3"/>
      <c r="F891" s="3"/>
    </row>
    <row r="892" spans="4:6" ht="12.75" customHeight="1" x14ac:dyDescent="0.25">
      <c r="D892" s="3"/>
      <c r="E892" s="3"/>
      <c r="F892" s="3"/>
    </row>
    <row r="893" spans="4:6" ht="12.75" customHeight="1" x14ac:dyDescent="0.25">
      <c r="D893" s="3"/>
      <c r="E893" s="3"/>
      <c r="F893" s="3"/>
    </row>
    <row r="894" spans="4:6" ht="12.75" customHeight="1" x14ac:dyDescent="0.25">
      <c r="D894" s="3"/>
      <c r="E894" s="3"/>
      <c r="F894" s="3"/>
    </row>
    <row r="895" spans="4:6" ht="12.75" customHeight="1" x14ac:dyDescent="0.25">
      <c r="D895" s="3"/>
      <c r="E895" s="3"/>
      <c r="F895" s="3"/>
    </row>
    <row r="896" spans="4:6" ht="12.75" customHeight="1" x14ac:dyDescent="0.25">
      <c r="D896" s="3"/>
      <c r="E896" s="3"/>
      <c r="F896" s="3"/>
    </row>
    <row r="897" spans="4:6" ht="12.75" customHeight="1" x14ac:dyDescent="0.25">
      <c r="D897" s="3"/>
      <c r="E897" s="3"/>
      <c r="F897" s="3"/>
    </row>
    <row r="898" spans="4:6" ht="12.75" customHeight="1" x14ac:dyDescent="0.25">
      <c r="D898" s="3"/>
      <c r="E898" s="3"/>
      <c r="F898" s="3"/>
    </row>
    <row r="899" spans="4:6" ht="12.75" customHeight="1" x14ac:dyDescent="0.25">
      <c r="D899" s="3"/>
      <c r="E899" s="3"/>
      <c r="F899" s="3"/>
    </row>
    <row r="900" spans="4:6" ht="12.75" customHeight="1" x14ac:dyDescent="0.25">
      <c r="D900" s="3"/>
      <c r="E900" s="3"/>
      <c r="F900" s="3"/>
    </row>
    <row r="901" spans="4:6" ht="12.75" customHeight="1" x14ac:dyDescent="0.25">
      <c r="D901" s="3"/>
      <c r="E901" s="3"/>
      <c r="F901" s="3"/>
    </row>
    <row r="902" spans="4:6" ht="12.75" customHeight="1" x14ac:dyDescent="0.25">
      <c r="D902" s="3"/>
      <c r="E902" s="3"/>
      <c r="F902" s="3"/>
    </row>
    <row r="903" spans="4:6" ht="12.75" customHeight="1" x14ac:dyDescent="0.25">
      <c r="D903" s="3"/>
      <c r="E903" s="3"/>
      <c r="F903" s="3"/>
    </row>
    <row r="904" spans="4:6" ht="12.75" customHeight="1" x14ac:dyDescent="0.25">
      <c r="D904" s="3"/>
      <c r="E904" s="3"/>
      <c r="F904" s="3"/>
    </row>
    <row r="905" spans="4:6" ht="12.75" customHeight="1" x14ac:dyDescent="0.25">
      <c r="D905" s="3"/>
      <c r="E905" s="3"/>
      <c r="F905" s="3"/>
    </row>
    <row r="906" spans="4:6" ht="12.75" customHeight="1" x14ac:dyDescent="0.25">
      <c r="D906" s="3"/>
      <c r="E906" s="3"/>
      <c r="F906" s="3"/>
    </row>
    <row r="907" spans="4:6" ht="12.75" customHeight="1" x14ac:dyDescent="0.25">
      <c r="D907" s="3"/>
      <c r="E907" s="3"/>
      <c r="F907" s="3"/>
    </row>
    <row r="908" spans="4:6" ht="12.75" customHeight="1" x14ac:dyDescent="0.25">
      <c r="D908" s="3"/>
      <c r="E908" s="3"/>
      <c r="F908" s="3"/>
    </row>
    <row r="909" spans="4:6" ht="12.75" customHeight="1" x14ac:dyDescent="0.25">
      <c r="D909" s="3"/>
      <c r="E909" s="3"/>
      <c r="F909" s="3"/>
    </row>
    <row r="910" spans="4:6" ht="12.75" customHeight="1" x14ac:dyDescent="0.25">
      <c r="D910" s="3"/>
      <c r="E910" s="3"/>
      <c r="F910" s="3"/>
    </row>
    <row r="911" spans="4:6" ht="12.75" customHeight="1" x14ac:dyDescent="0.25">
      <c r="D911" s="3"/>
      <c r="E911" s="3"/>
      <c r="F911" s="3"/>
    </row>
    <row r="912" spans="4:6" ht="12.75" customHeight="1" x14ac:dyDescent="0.25">
      <c r="D912" s="3"/>
      <c r="E912" s="3"/>
      <c r="F912" s="3"/>
    </row>
    <row r="913" spans="4:6" ht="12.75" customHeight="1" x14ac:dyDescent="0.25">
      <c r="D913" s="3"/>
      <c r="E913" s="3"/>
      <c r="F913" s="3"/>
    </row>
    <row r="914" spans="4:6" ht="12.75" customHeight="1" x14ac:dyDescent="0.25">
      <c r="D914" s="3"/>
      <c r="E914" s="3"/>
      <c r="F914" s="3"/>
    </row>
    <row r="915" spans="4:6" ht="12.75" customHeight="1" x14ac:dyDescent="0.25">
      <c r="D915" s="3"/>
      <c r="E915" s="3"/>
      <c r="F915" s="3"/>
    </row>
    <row r="916" spans="4:6" ht="12.75" customHeight="1" x14ac:dyDescent="0.25">
      <c r="D916" s="3"/>
      <c r="E916" s="3"/>
      <c r="F916" s="3"/>
    </row>
    <row r="917" spans="4:6" ht="12.75" customHeight="1" x14ac:dyDescent="0.25">
      <c r="D917" s="3"/>
      <c r="E917" s="3"/>
      <c r="F917" s="3"/>
    </row>
    <row r="918" spans="4:6" ht="12.75" customHeight="1" x14ac:dyDescent="0.25">
      <c r="D918" s="3"/>
      <c r="E918" s="3"/>
      <c r="F918" s="3"/>
    </row>
    <row r="919" spans="4:6" ht="12.75" customHeight="1" x14ac:dyDescent="0.25">
      <c r="D919" s="3"/>
      <c r="E919" s="3"/>
      <c r="F919" s="3"/>
    </row>
    <row r="920" spans="4:6" ht="12.75" customHeight="1" x14ac:dyDescent="0.25">
      <c r="D920" s="3"/>
      <c r="E920" s="3"/>
      <c r="F920" s="3"/>
    </row>
    <row r="921" spans="4:6" ht="12.75" customHeight="1" x14ac:dyDescent="0.25">
      <c r="D921" s="3"/>
      <c r="E921" s="3"/>
      <c r="F921" s="3"/>
    </row>
    <row r="922" spans="4:6" ht="12.75" customHeight="1" x14ac:dyDescent="0.25">
      <c r="D922" s="3"/>
      <c r="E922" s="3"/>
      <c r="F922" s="3"/>
    </row>
    <row r="923" spans="4:6" ht="12.75" customHeight="1" x14ac:dyDescent="0.25">
      <c r="D923" s="3"/>
      <c r="E923" s="3"/>
      <c r="F923" s="3"/>
    </row>
    <row r="924" spans="4:6" ht="12.75" customHeight="1" x14ac:dyDescent="0.25">
      <c r="D924" s="3"/>
      <c r="E924" s="3"/>
      <c r="F924" s="3"/>
    </row>
    <row r="925" spans="4:6" ht="12.75" customHeight="1" x14ac:dyDescent="0.25">
      <c r="D925" s="3"/>
      <c r="E925" s="3"/>
      <c r="F925" s="3"/>
    </row>
    <row r="926" spans="4:6" ht="12.75" customHeight="1" x14ac:dyDescent="0.25">
      <c r="D926" s="3"/>
      <c r="E926" s="3"/>
      <c r="F926" s="3"/>
    </row>
    <row r="927" spans="4:6" ht="12.75" customHeight="1" x14ac:dyDescent="0.25">
      <c r="D927" s="3"/>
      <c r="E927" s="3"/>
      <c r="F927" s="3"/>
    </row>
    <row r="928" spans="4:6" ht="12.75" customHeight="1" x14ac:dyDescent="0.25">
      <c r="D928" s="3"/>
      <c r="E928" s="3"/>
      <c r="F928" s="3"/>
    </row>
    <row r="929" spans="4:6" ht="12.75" customHeight="1" x14ac:dyDescent="0.25">
      <c r="D929" s="3"/>
      <c r="E929" s="3"/>
      <c r="F929" s="3"/>
    </row>
    <row r="930" spans="4:6" ht="12.75" customHeight="1" x14ac:dyDescent="0.25">
      <c r="D930" s="3"/>
      <c r="E930" s="3"/>
      <c r="F930" s="3"/>
    </row>
    <row r="931" spans="4:6" ht="12.75" customHeight="1" x14ac:dyDescent="0.25">
      <c r="D931" s="3"/>
      <c r="E931" s="3"/>
      <c r="F931" s="3"/>
    </row>
    <row r="932" spans="4:6" ht="12.75" customHeight="1" x14ac:dyDescent="0.25">
      <c r="D932" s="3"/>
      <c r="E932" s="3"/>
      <c r="F932" s="3"/>
    </row>
    <row r="933" spans="4:6" ht="12.75" customHeight="1" x14ac:dyDescent="0.25">
      <c r="D933" s="3"/>
      <c r="E933" s="3"/>
      <c r="F933" s="3"/>
    </row>
    <row r="934" spans="4:6" ht="12.75" customHeight="1" x14ac:dyDescent="0.25">
      <c r="D934" s="3"/>
      <c r="E934" s="3"/>
      <c r="F934" s="3"/>
    </row>
    <row r="935" spans="4:6" ht="12.75" customHeight="1" x14ac:dyDescent="0.25">
      <c r="D935" s="3"/>
      <c r="E935" s="3"/>
      <c r="F935" s="3"/>
    </row>
    <row r="936" spans="4:6" ht="12.75" customHeight="1" x14ac:dyDescent="0.25">
      <c r="D936" s="3"/>
      <c r="E936" s="3"/>
      <c r="F936" s="3"/>
    </row>
    <row r="937" spans="4:6" ht="12.75" customHeight="1" x14ac:dyDescent="0.25">
      <c r="D937" s="3"/>
      <c r="E937" s="3"/>
      <c r="F937" s="3"/>
    </row>
    <row r="938" spans="4:6" ht="12.75" customHeight="1" x14ac:dyDescent="0.25">
      <c r="D938" s="3"/>
      <c r="E938" s="3"/>
      <c r="F938" s="3"/>
    </row>
    <row r="939" spans="4:6" ht="12.75" customHeight="1" x14ac:dyDescent="0.25">
      <c r="D939" s="3"/>
      <c r="E939" s="3"/>
      <c r="F939" s="3"/>
    </row>
    <row r="940" spans="4:6" ht="12.75" customHeight="1" x14ac:dyDescent="0.25">
      <c r="D940" s="3"/>
      <c r="E940" s="3"/>
      <c r="F940" s="3"/>
    </row>
    <row r="941" spans="4:6" ht="12.75" customHeight="1" x14ac:dyDescent="0.25">
      <c r="D941" s="3"/>
      <c r="E941" s="3"/>
      <c r="F941" s="3"/>
    </row>
    <row r="942" spans="4:6" ht="12.75" customHeight="1" x14ac:dyDescent="0.25">
      <c r="D942" s="3"/>
      <c r="E942" s="3"/>
      <c r="F942" s="3"/>
    </row>
    <row r="943" spans="4:6" ht="12.75" customHeight="1" x14ac:dyDescent="0.25">
      <c r="D943" s="3"/>
      <c r="E943" s="3"/>
      <c r="F943" s="3"/>
    </row>
    <row r="944" spans="4:6" ht="12.75" customHeight="1" x14ac:dyDescent="0.25">
      <c r="D944" s="3"/>
      <c r="E944" s="3"/>
      <c r="F944" s="3"/>
    </row>
    <row r="945" spans="4:6" ht="12.75" customHeight="1" x14ac:dyDescent="0.25">
      <c r="D945" s="3"/>
      <c r="E945" s="3"/>
      <c r="F945" s="3"/>
    </row>
    <row r="946" spans="4:6" ht="12.75" customHeight="1" x14ac:dyDescent="0.25">
      <c r="D946" s="3"/>
      <c r="E946" s="3"/>
      <c r="F946" s="3"/>
    </row>
    <row r="947" spans="4:6" ht="12.75" customHeight="1" x14ac:dyDescent="0.25">
      <c r="D947" s="3"/>
      <c r="E947" s="3"/>
      <c r="F947" s="3"/>
    </row>
    <row r="948" spans="4:6" ht="12.75" customHeight="1" x14ac:dyDescent="0.25">
      <c r="D948" s="3"/>
      <c r="E948" s="3"/>
      <c r="F948" s="3"/>
    </row>
    <row r="949" spans="4:6" ht="12.75" customHeight="1" x14ac:dyDescent="0.25">
      <c r="D949" s="3"/>
      <c r="E949" s="3"/>
      <c r="F949" s="3"/>
    </row>
    <row r="950" spans="4:6" ht="12.75" customHeight="1" x14ac:dyDescent="0.25">
      <c r="D950" s="3"/>
      <c r="E950" s="3"/>
      <c r="F950" s="3"/>
    </row>
    <row r="951" spans="4:6" ht="12.75" customHeight="1" x14ac:dyDescent="0.25">
      <c r="D951" s="3"/>
      <c r="E951" s="3"/>
      <c r="F951" s="3"/>
    </row>
    <row r="952" spans="4:6" ht="12.75" customHeight="1" x14ac:dyDescent="0.25">
      <c r="D952" s="3"/>
      <c r="E952" s="3"/>
      <c r="F952" s="3"/>
    </row>
    <row r="953" spans="4:6" ht="12.75" customHeight="1" x14ac:dyDescent="0.25">
      <c r="D953" s="3"/>
      <c r="E953" s="3"/>
      <c r="F953" s="3"/>
    </row>
    <row r="954" spans="4:6" ht="12.75" customHeight="1" x14ac:dyDescent="0.25">
      <c r="D954" s="3"/>
      <c r="E954" s="3"/>
      <c r="F954" s="3"/>
    </row>
    <row r="955" spans="4:6" ht="12.75" customHeight="1" x14ac:dyDescent="0.25">
      <c r="D955" s="3"/>
      <c r="E955" s="3"/>
      <c r="F955" s="3"/>
    </row>
    <row r="956" spans="4:6" ht="12.75" customHeight="1" x14ac:dyDescent="0.25">
      <c r="D956" s="3"/>
      <c r="E956" s="3"/>
      <c r="F956" s="3"/>
    </row>
    <row r="957" spans="4:6" ht="12.75" customHeight="1" x14ac:dyDescent="0.25">
      <c r="D957" s="3"/>
      <c r="E957" s="3"/>
      <c r="F957" s="3"/>
    </row>
    <row r="958" spans="4:6" ht="12.75" customHeight="1" x14ac:dyDescent="0.25">
      <c r="D958" s="3"/>
      <c r="E958" s="3"/>
      <c r="F958" s="3"/>
    </row>
    <row r="959" spans="4:6" ht="12.75" customHeight="1" x14ac:dyDescent="0.25">
      <c r="D959" s="3"/>
      <c r="E959" s="3"/>
      <c r="F959" s="3"/>
    </row>
    <row r="960" spans="4:6" ht="12.75" customHeight="1" x14ac:dyDescent="0.25">
      <c r="D960" s="3"/>
      <c r="E960" s="3"/>
      <c r="F960" s="3"/>
    </row>
    <row r="961" spans="4:6" ht="12.75" customHeight="1" x14ac:dyDescent="0.25">
      <c r="D961" s="3"/>
      <c r="E961" s="3"/>
      <c r="F961" s="3"/>
    </row>
    <row r="962" spans="4:6" ht="12.75" customHeight="1" x14ac:dyDescent="0.25">
      <c r="D962" s="3"/>
      <c r="E962" s="3"/>
      <c r="F962" s="3"/>
    </row>
    <row r="963" spans="4:6" ht="12.75" customHeight="1" x14ac:dyDescent="0.25">
      <c r="D963" s="3"/>
      <c r="E963" s="3"/>
      <c r="F963" s="3"/>
    </row>
    <row r="964" spans="4:6" ht="12.75" customHeight="1" x14ac:dyDescent="0.25">
      <c r="D964" s="3"/>
      <c r="E964" s="3"/>
      <c r="F964" s="3"/>
    </row>
    <row r="965" spans="4:6" ht="12.75" customHeight="1" x14ac:dyDescent="0.25">
      <c r="D965" s="3"/>
      <c r="E965" s="3"/>
      <c r="F965" s="3"/>
    </row>
    <row r="966" spans="4:6" ht="12.75" customHeight="1" x14ac:dyDescent="0.25">
      <c r="D966" s="3"/>
      <c r="E966" s="3"/>
      <c r="F966" s="3"/>
    </row>
    <row r="967" spans="4:6" ht="12.75" customHeight="1" x14ac:dyDescent="0.25">
      <c r="D967" s="3"/>
      <c r="E967" s="3"/>
      <c r="F967" s="3"/>
    </row>
    <row r="968" spans="4:6" ht="12.75" customHeight="1" x14ac:dyDescent="0.25">
      <c r="D968" s="3"/>
      <c r="E968" s="3"/>
      <c r="F968" s="3"/>
    </row>
    <row r="969" spans="4:6" ht="12.75" customHeight="1" x14ac:dyDescent="0.25">
      <c r="D969" s="3"/>
      <c r="E969" s="3"/>
      <c r="F969" s="3"/>
    </row>
    <row r="970" spans="4:6" ht="12.75" customHeight="1" x14ac:dyDescent="0.25">
      <c r="D970" s="3"/>
      <c r="E970" s="3"/>
      <c r="F970" s="3"/>
    </row>
    <row r="971" spans="4:6" ht="12.75" customHeight="1" x14ac:dyDescent="0.25">
      <c r="D971" s="3"/>
      <c r="E971" s="3"/>
      <c r="F971" s="3"/>
    </row>
    <row r="972" spans="4:6" ht="12.75" customHeight="1" x14ac:dyDescent="0.25">
      <c r="D972" s="3"/>
      <c r="E972" s="3"/>
      <c r="F972" s="3"/>
    </row>
    <row r="973" spans="4:6" ht="12.75" customHeight="1" x14ac:dyDescent="0.25">
      <c r="D973" s="3"/>
      <c r="E973" s="3"/>
      <c r="F973" s="3"/>
    </row>
    <row r="974" spans="4:6" ht="12.75" customHeight="1" x14ac:dyDescent="0.25">
      <c r="D974" s="3"/>
      <c r="E974" s="3"/>
      <c r="F974" s="3"/>
    </row>
    <row r="975" spans="4:6" ht="12.75" customHeight="1" x14ac:dyDescent="0.25">
      <c r="D975" s="3"/>
      <c r="E975" s="3"/>
      <c r="F975" s="3"/>
    </row>
    <row r="976" spans="4:6" ht="12.75" customHeight="1" x14ac:dyDescent="0.25">
      <c r="D976" s="3"/>
      <c r="E976" s="3"/>
      <c r="F976" s="3"/>
    </row>
    <row r="977" spans="4:6" ht="12.75" customHeight="1" x14ac:dyDescent="0.25">
      <c r="D977" s="3"/>
      <c r="E977" s="3"/>
      <c r="F977" s="3"/>
    </row>
    <row r="978" spans="4:6" ht="12.75" customHeight="1" x14ac:dyDescent="0.25">
      <c r="D978" s="3"/>
      <c r="E978" s="3"/>
      <c r="F978" s="3"/>
    </row>
    <row r="979" spans="4:6" ht="12.75" customHeight="1" x14ac:dyDescent="0.25">
      <c r="D979" s="3"/>
      <c r="E979" s="3"/>
      <c r="F979" s="3"/>
    </row>
    <row r="980" spans="4:6" ht="12.75" customHeight="1" x14ac:dyDescent="0.25">
      <c r="D980" s="3"/>
      <c r="E980" s="3"/>
      <c r="F980" s="3"/>
    </row>
    <row r="981" spans="4:6" ht="12.75" customHeight="1" x14ac:dyDescent="0.25">
      <c r="D981" s="3"/>
      <c r="E981" s="3"/>
      <c r="F981" s="3"/>
    </row>
    <row r="982" spans="4:6" ht="12.75" customHeight="1" x14ac:dyDescent="0.25">
      <c r="D982" s="3"/>
      <c r="E982" s="3"/>
      <c r="F982" s="3"/>
    </row>
    <row r="983" spans="4:6" ht="12.75" customHeight="1" x14ac:dyDescent="0.25">
      <c r="D983" s="3"/>
      <c r="E983" s="3"/>
      <c r="F983" s="3"/>
    </row>
    <row r="984" spans="4:6" ht="12.75" customHeight="1" x14ac:dyDescent="0.25">
      <c r="D984" s="3"/>
      <c r="E984" s="3"/>
      <c r="F984" s="3"/>
    </row>
    <row r="985" spans="4:6" ht="12.75" customHeight="1" x14ac:dyDescent="0.25">
      <c r="D985" s="3"/>
      <c r="E985" s="3"/>
      <c r="F985" s="3"/>
    </row>
    <row r="986" spans="4:6" ht="12.75" customHeight="1" x14ac:dyDescent="0.25">
      <c r="D986" s="3"/>
      <c r="E986" s="3"/>
      <c r="F986" s="3"/>
    </row>
    <row r="987" spans="4:6" ht="12.75" customHeight="1" x14ac:dyDescent="0.25">
      <c r="D987" s="3"/>
      <c r="E987" s="3"/>
      <c r="F987" s="3"/>
    </row>
    <row r="988" spans="4:6" ht="12.75" customHeight="1" x14ac:dyDescent="0.25">
      <c r="D988" s="3"/>
      <c r="E988" s="3"/>
      <c r="F988" s="3"/>
    </row>
    <row r="989" spans="4:6" ht="12.75" customHeight="1" x14ac:dyDescent="0.25">
      <c r="D989" s="3"/>
      <c r="E989" s="3"/>
      <c r="F989" s="3"/>
    </row>
    <row r="990" spans="4:6" ht="12.75" customHeight="1" x14ac:dyDescent="0.25">
      <c r="D990" s="3"/>
      <c r="E990" s="3"/>
      <c r="F990" s="3"/>
    </row>
    <row r="991" spans="4:6" ht="12.75" customHeight="1" x14ac:dyDescent="0.25">
      <c r="D991" s="3"/>
      <c r="E991" s="3"/>
      <c r="F991" s="3"/>
    </row>
    <row r="992" spans="4:6" ht="12.75" customHeight="1" x14ac:dyDescent="0.25">
      <c r="D992" s="3"/>
      <c r="E992" s="3"/>
      <c r="F992" s="3"/>
    </row>
    <row r="993" spans="4:6" ht="12.75" customHeight="1" x14ac:dyDescent="0.25">
      <c r="D993" s="3"/>
      <c r="E993" s="3"/>
      <c r="F993" s="3"/>
    </row>
    <row r="994" spans="4:6" ht="12.75" customHeight="1" x14ac:dyDescent="0.25">
      <c r="D994" s="3"/>
      <c r="E994" s="3"/>
      <c r="F994" s="3"/>
    </row>
    <row r="995" spans="4:6" ht="12.75" customHeight="1" x14ac:dyDescent="0.25">
      <c r="D995" s="3"/>
      <c r="E995" s="3"/>
      <c r="F995" s="3"/>
    </row>
    <row r="996" spans="4:6" ht="12.75" customHeight="1" x14ac:dyDescent="0.25">
      <c r="D996" s="3"/>
      <c r="E996" s="3"/>
      <c r="F996" s="3"/>
    </row>
    <row r="997" spans="4:6" ht="12.75" customHeight="1" x14ac:dyDescent="0.25">
      <c r="D997" s="3"/>
      <c r="E997" s="3"/>
      <c r="F997" s="3"/>
    </row>
    <row r="998" spans="4:6" ht="12.75" customHeight="1" x14ac:dyDescent="0.25">
      <c r="D998" s="3"/>
      <c r="E998" s="3"/>
      <c r="F998" s="3"/>
    </row>
    <row r="999" spans="4:6" ht="12.75" customHeight="1" x14ac:dyDescent="0.25">
      <c r="D999" s="3"/>
      <c r="E999" s="3"/>
      <c r="F999" s="3"/>
    </row>
    <row r="1000" spans="4:6" ht="12.75" customHeight="1" x14ac:dyDescent="0.25">
      <c r="D1000" s="3"/>
      <c r="E1000" s="3"/>
      <c r="F1000" s="3"/>
    </row>
  </sheetData>
  <mergeCells count="4">
    <mergeCell ref="I3:M5"/>
    <mergeCell ref="I6:M8"/>
    <mergeCell ref="I10:M12"/>
    <mergeCell ref="I13:M15"/>
  </mergeCells>
  <conditionalFormatting sqref="G3:G15 G17:G1000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G3:G15 G17:G1000">
    <cfRule type="cellIs" dxfId="19" priority="2" stopIfTrue="1" operator="equal">
      <formula>"error"</formula>
    </cfRule>
  </conditionalFormatting>
  <conditionalFormatting sqref="G3:G15 G17:G1000">
    <cfRule type="cellIs" dxfId="18" priority="3" stopIfTrue="1" operator="equal">
      <formula>"OK"</formula>
    </cfRule>
  </conditionalFormatting>
  <conditionalFormatting sqref="I13">
    <cfRule type="colorScale" priority="4">
      <colorScale>
        <cfvo type="formula" val="0.19"/>
        <cfvo type="formula" val="0.2"/>
        <cfvo type="formula" val="0.5"/>
        <color rgb="FF92D050"/>
        <color rgb="FFFFEB84"/>
        <color rgb="FFD99594"/>
      </colorScale>
    </cfRule>
  </conditionalFormatting>
  <conditionalFormatting sqref="I6:M8">
    <cfRule type="colorScale" priority="5">
      <colorScale>
        <cfvo type="formula" val="0.19"/>
        <cfvo type="formula" val="0.2"/>
        <cfvo type="formula" val="0.5"/>
        <color rgb="FF92D050"/>
        <color rgb="FFFFEB84"/>
        <color rgb="FFD99594"/>
      </colorScale>
    </cfRule>
  </conditionalFormatting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00"/>
  <sheetViews>
    <sheetView workbookViewId="0"/>
  </sheetViews>
  <sheetFormatPr baseColWidth="10" defaultColWidth="12.6328125" defaultRowHeight="15" customHeight="1" x14ac:dyDescent="0.25"/>
  <cols>
    <col min="1" max="1" width="10.6328125" customWidth="1"/>
    <col min="2" max="2" width="13" customWidth="1"/>
    <col min="3" max="3" width="12.26953125" customWidth="1"/>
    <col min="4" max="4" width="18" customWidth="1"/>
    <col min="5" max="5" width="3.7265625" hidden="1" customWidth="1"/>
    <col min="6" max="6" width="3.90625" hidden="1" customWidth="1"/>
    <col min="7" max="7" width="18.54296875" bestFit="1" customWidth="1"/>
    <col min="8" max="8" width="3.90625" customWidth="1"/>
    <col min="9" max="26" width="10.6328125" customWidth="1"/>
  </cols>
  <sheetData>
    <row r="1" spans="2:13" ht="12.75" customHeight="1" x14ac:dyDescent="0.25">
      <c r="D1" s="3"/>
      <c r="E1" s="3"/>
      <c r="F1" s="3"/>
    </row>
    <row r="2" spans="2:13" ht="12.75" customHeight="1" x14ac:dyDescent="0.25">
      <c r="D2" s="3"/>
      <c r="E2" s="3"/>
      <c r="F2" s="3"/>
    </row>
    <row r="3" spans="2:13" ht="19.5" customHeight="1" x14ac:dyDescent="0.4">
      <c r="B3" s="17" t="s">
        <v>29</v>
      </c>
      <c r="C3" s="18" t="s">
        <v>23</v>
      </c>
      <c r="D3" s="18" t="s">
        <v>24</v>
      </c>
      <c r="E3" s="18"/>
      <c r="F3" s="18"/>
      <c r="G3" s="19"/>
      <c r="H3" s="3"/>
      <c r="I3" s="48" t="s">
        <v>25</v>
      </c>
      <c r="J3" s="49"/>
      <c r="K3" s="49"/>
      <c r="L3" s="49"/>
      <c r="M3" s="50"/>
    </row>
    <row r="4" spans="2:13" ht="19.5" customHeight="1" x14ac:dyDescent="0.4">
      <c r="B4" s="20">
        <v>1</v>
      </c>
      <c r="C4" s="21">
        <v>10</v>
      </c>
      <c r="D4" s="21">
        <v>9</v>
      </c>
      <c r="E4" s="21">
        <f>C4-TOTAL!G4</f>
        <v>0</v>
      </c>
      <c r="F4" s="21">
        <f>D4-TOTAL!H4</f>
        <v>0</v>
      </c>
      <c r="G4" s="22" t="str">
        <f t="shared" ref="G4:G14" si="0">IF(AND(E4=0,F4=0),IF(B4="T","OKPELEA","OK"),IF(B4="T","ERRORPELEA","ERROR"))</f>
        <v>OK</v>
      </c>
      <c r="H4" s="3"/>
      <c r="I4" s="51"/>
      <c r="J4" s="52"/>
      <c r="K4" s="52"/>
      <c r="L4" s="52"/>
      <c r="M4" s="53"/>
    </row>
    <row r="5" spans="2:13" ht="19.5" customHeight="1" x14ac:dyDescent="0.4">
      <c r="B5" s="20">
        <v>2</v>
      </c>
      <c r="C5" s="21">
        <v>10</v>
      </c>
      <c r="D5" s="21">
        <v>9</v>
      </c>
      <c r="E5" s="21">
        <f>C5-TOTAL!G5</f>
        <v>0</v>
      </c>
      <c r="F5" s="21">
        <f>D5-TOTAL!H5</f>
        <v>0</v>
      </c>
      <c r="G5" s="22" t="str">
        <f t="shared" si="0"/>
        <v>OK</v>
      </c>
      <c r="H5" s="3"/>
      <c r="I5" s="54"/>
      <c r="J5" s="55"/>
      <c r="K5" s="55"/>
      <c r="L5" s="55"/>
      <c r="M5" s="56"/>
    </row>
    <row r="6" spans="2:13" ht="19.5" customHeight="1" x14ac:dyDescent="0.4">
      <c r="B6" s="20">
        <v>3</v>
      </c>
      <c r="C6" s="21">
        <v>10</v>
      </c>
      <c r="D6" s="21">
        <v>9</v>
      </c>
      <c r="E6" s="21">
        <f>C6-TOTAL!G6</f>
        <v>0</v>
      </c>
      <c r="F6" s="21">
        <f>D6-TOTAL!H6</f>
        <v>0</v>
      </c>
      <c r="G6" s="22" t="str">
        <f t="shared" si="0"/>
        <v>OK</v>
      </c>
      <c r="H6" s="3"/>
      <c r="I6" s="57">
        <f>COUNTIF(G4:G13,"ERROR")*1/10</f>
        <v>0.2</v>
      </c>
      <c r="J6" s="49"/>
      <c r="K6" s="49"/>
      <c r="L6" s="49"/>
      <c r="M6" s="50"/>
    </row>
    <row r="7" spans="2:13" ht="19.5" customHeight="1" x14ac:dyDescent="0.4">
      <c r="B7" s="20">
        <v>4</v>
      </c>
      <c r="C7" s="21">
        <v>10</v>
      </c>
      <c r="D7" s="21">
        <v>9</v>
      </c>
      <c r="E7" s="21">
        <f>C7-TOTAL!G7</f>
        <v>1</v>
      </c>
      <c r="F7" s="21">
        <f>D7-TOTAL!H7</f>
        <v>-1</v>
      </c>
      <c r="G7" s="22" t="str">
        <f t="shared" si="0"/>
        <v>ERROR</v>
      </c>
      <c r="H7" s="3"/>
      <c r="I7" s="51"/>
      <c r="J7" s="52"/>
      <c r="K7" s="52"/>
      <c r="L7" s="52"/>
      <c r="M7" s="53"/>
    </row>
    <row r="8" spans="2:13" ht="19.5" customHeight="1" x14ac:dyDescent="0.4">
      <c r="B8" s="20">
        <v>5</v>
      </c>
      <c r="C8" s="21">
        <v>10</v>
      </c>
      <c r="D8" s="21">
        <v>9</v>
      </c>
      <c r="E8" s="21">
        <f>C8-TOTAL!G8</f>
        <v>1</v>
      </c>
      <c r="F8" s="21">
        <f>D8-TOTAL!H8</f>
        <v>-1</v>
      </c>
      <c r="G8" s="22" t="str">
        <f t="shared" si="0"/>
        <v>ERROR</v>
      </c>
      <c r="H8" s="3"/>
      <c r="I8" s="54"/>
      <c r="J8" s="55"/>
      <c r="K8" s="55"/>
      <c r="L8" s="55"/>
      <c r="M8" s="56"/>
    </row>
    <row r="9" spans="2:13" ht="19.5" customHeight="1" x14ac:dyDescent="0.4">
      <c r="B9" s="20">
        <v>6</v>
      </c>
      <c r="C9" s="21">
        <v>10</v>
      </c>
      <c r="D9" s="21">
        <v>9</v>
      </c>
      <c r="E9" s="21">
        <f>C9-TOTAL!G9</f>
        <v>0</v>
      </c>
      <c r="F9" s="21">
        <f>D9-TOTAL!H9</f>
        <v>0</v>
      </c>
      <c r="G9" s="22" t="str">
        <f t="shared" si="0"/>
        <v>OK</v>
      </c>
      <c r="H9" s="3"/>
    </row>
    <row r="10" spans="2:13" ht="19.5" customHeight="1" x14ac:dyDescent="0.4">
      <c r="B10" s="20">
        <v>7</v>
      </c>
      <c r="C10" s="21">
        <v>10</v>
      </c>
      <c r="D10" s="21">
        <v>9</v>
      </c>
      <c r="E10" s="21">
        <f>C10-TOTAL!G10</f>
        <v>0</v>
      </c>
      <c r="F10" s="21">
        <f>D10-TOTAL!H10</f>
        <v>0</v>
      </c>
      <c r="G10" s="22" t="str">
        <f t="shared" si="0"/>
        <v>OK</v>
      </c>
      <c r="H10" s="3"/>
      <c r="I10" s="48" t="s">
        <v>26</v>
      </c>
      <c r="J10" s="49"/>
      <c r="K10" s="49"/>
      <c r="L10" s="49"/>
      <c r="M10" s="50"/>
    </row>
    <row r="11" spans="2:13" ht="19.5" customHeight="1" x14ac:dyDescent="0.4">
      <c r="B11" s="20">
        <v>8</v>
      </c>
      <c r="C11" s="21">
        <v>10</v>
      </c>
      <c r="D11" s="21">
        <v>9</v>
      </c>
      <c r="E11" s="21">
        <f>C11-TOTAL!G11</f>
        <v>0</v>
      </c>
      <c r="F11" s="21">
        <f>D11-TOTAL!H11</f>
        <v>0</v>
      </c>
      <c r="G11" s="22" t="str">
        <f t="shared" si="0"/>
        <v>OK</v>
      </c>
      <c r="H11" s="3"/>
      <c r="I11" s="51"/>
      <c r="J11" s="52"/>
      <c r="K11" s="52"/>
      <c r="L11" s="52"/>
      <c r="M11" s="53"/>
    </row>
    <row r="12" spans="2:13" ht="19.5" customHeight="1" x14ac:dyDescent="0.4">
      <c r="B12" s="20">
        <v>9</v>
      </c>
      <c r="C12" s="21">
        <v>10</v>
      </c>
      <c r="D12" s="21">
        <v>9</v>
      </c>
      <c r="E12" s="21">
        <f>C12-TOTAL!G12</f>
        <v>0</v>
      </c>
      <c r="F12" s="21">
        <f>D12-TOTAL!H12</f>
        <v>0</v>
      </c>
      <c r="G12" s="22" t="str">
        <f t="shared" si="0"/>
        <v>OK</v>
      </c>
      <c r="H12" s="3"/>
      <c r="I12" s="54"/>
      <c r="J12" s="55"/>
      <c r="K12" s="55"/>
      <c r="L12" s="55"/>
      <c r="M12" s="56"/>
    </row>
    <row r="13" spans="2:13" ht="19.5" customHeight="1" x14ac:dyDescent="0.4">
      <c r="B13" s="20">
        <v>10</v>
      </c>
      <c r="C13" s="21">
        <v>10</v>
      </c>
      <c r="D13" s="21">
        <v>9</v>
      </c>
      <c r="E13" s="21">
        <f>C13-TOTAL!G13</f>
        <v>0</v>
      </c>
      <c r="F13" s="21">
        <f>D13-TOTAL!H13</f>
        <v>0</v>
      </c>
      <c r="G13" s="22" t="str">
        <f t="shared" si="0"/>
        <v>OK</v>
      </c>
      <c r="H13" s="3"/>
      <c r="I13" s="57">
        <f>IF(AND('JUEZ 3'!C4&lt;&gt;'JUEZ 1'!C4,'JUEZ 3'!C4&lt;&gt;'JUEZ 2'!C4),0.1,0) + IF(AND('JUEZ 3'!C5&lt;&gt;'JUEZ 1'!C5,'JUEZ 3'!C5&lt;&gt;'JUEZ 2'!C5),0.1,0) + IF(AND('JUEZ 3'!C6&lt;&gt;'JUEZ 1'!C6,'JUEZ 3'!C6&lt;&gt;'JUEZ 2'!C6),0.1,0) + IF(AND('JUEZ 3'!C7&lt;&gt;'JUEZ 1'!C7,'JUEZ 3'!C7&lt;&gt;'JUEZ 2'!C7),0.1,0) + IF(AND('JUEZ 3'!C8&lt;&gt;'JUEZ 1'!C8,'JUEZ 3'!C8&lt;&gt;'JUEZ 2'!C8),0.1,0)+ IF(AND('JUEZ 3'!C9&lt;&gt;'JUEZ 1'!C9,'JUEZ 3'!C9&lt;&gt;'JUEZ 2'!C9),0.1,0)+ IF(AND('JUEZ 3'!C10&lt;&gt;'JUEZ 1'!C10,'JUEZ 3'!C10&lt;&gt;'JUEZ 2'!C10),0.1,0)+ IF(AND('JUEZ 3'!C11&lt;&gt;'JUEZ 1'!C11,'JUEZ 3'!C11&lt;&gt;'JUEZ 2'!C11),0.1,0)+ IF(AND('JUEZ 3'!C12&lt;&gt;'JUEZ 1'!C12,'JUEZ 3'!C12&lt;&gt;'JUEZ 2'!C12),0.1,0)+ IF(AND('JUEZ 3'!C13&lt;&gt;'JUEZ 1'!C13,'JUEZ 3'!C13&lt;&gt;'JUEZ 2'!C13),0.1,0)</f>
        <v>0.2</v>
      </c>
      <c r="J13" s="49"/>
      <c r="K13" s="49"/>
      <c r="L13" s="49"/>
      <c r="M13" s="50"/>
    </row>
    <row r="14" spans="2:13" ht="19.5" customHeight="1" x14ac:dyDescent="0.4">
      <c r="B14" s="20" t="s">
        <v>3</v>
      </c>
      <c r="C14" s="21">
        <f t="shared" ref="C14:D14" si="1">SUM(C4:C13)</f>
        <v>100</v>
      </c>
      <c r="D14" s="21">
        <f t="shared" si="1"/>
        <v>90</v>
      </c>
      <c r="E14" s="21">
        <f>C14-TOTAL!G14</f>
        <v>2</v>
      </c>
      <c r="F14" s="21">
        <f>D14-TOTAL!H14</f>
        <v>-2</v>
      </c>
      <c r="G14" s="22" t="str">
        <f t="shared" si="0"/>
        <v>ERRORPELEA</v>
      </c>
      <c r="H14" s="3"/>
      <c r="I14" s="51"/>
      <c r="J14" s="52"/>
      <c r="K14" s="52"/>
      <c r="L14" s="52"/>
      <c r="M14" s="53"/>
    </row>
    <row r="15" spans="2:13" ht="19.5" customHeight="1" x14ac:dyDescent="0.4">
      <c r="B15" s="24"/>
      <c r="C15" s="25"/>
      <c r="D15" s="26" t="s">
        <v>27</v>
      </c>
      <c r="E15" s="26"/>
      <c r="F15" s="26"/>
      <c r="G15" s="27">
        <f>COUNTIF(G4:G13,"error")</f>
        <v>2</v>
      </c>
      <c r="I15" s="54"/>
      <c r="J15" s="55"/>
      <c r="K15" s="55"/>
      <c r="L15" s="55"/>
      <c r="M15" s="56"/>
    </row>
    <row r="16" spans="2:13" ht="12.75" customHeight="1" x14ac:dyDescent="0.25">
      <c r="D16" s="3"/>
      <c r="E16" s="3"/>
      <c r="F16" s="3"/>
    </row>
    <row r="17" spans="4:6" ht="12.75" customHeight="1" x14ac:dyDescent="0.25">
      <c r="D17" s="3"/>
      <c r="E17" s="3"/>
      <c r="F17" s="3"/>
    </row>
    <row r="18" spans="4:6" ht="12.75" customHeight="1" x14ac:dyDescent="0.25">
      <c r="D18" s="3"/>
      <c r="E18" s="3"/>
      <c r="F18" s="3"/>
    </row>
    <row r="19" spans="4:6" ht="12.75" customHeight="1" x14ac:dyDescent="0.25">
      <c r="D19" s="3"/>
      <c r="E19" s="3"/>
      <c r="F19" s="3"/>
    </row>
    <row r="20" spans="4:6" ht="12.75" customHeight="1" x14ac:dyDescent="0.25">
      <c r="D20" s="3"/>
      <c r="E20" s="3"/>
      <c r="F20" s="3"/>
    </row>
    <row r="21" spans="4:6" ht="12.75" customHeight="1" x14ac:dyDescent="0.25">
      <c r="D21" s="3"/>
      <c r="E21" s="3"/>
      <c r="F21" s="3"/>
    </row>
    <row r="22" spans="4:6" ht="12.75" customHeight="1" x14ac:dyDescent="0.25">
      <c r="D22" s="3"/>
      <c r="E22" s="3"/>
      <c r="F22" s="3"/>
    </row>
    <row r="23" spans="4:6" ht="12.75" customHeight="1" x14ac:dyDescent="0.25">
      <c r="D23" s="3"/>
      <c r="E23" s="3"/>
      <c r="F23" s="3"/>
    </row>
    <row r="24" spans="4:6" ht="12.75" customHeight="1" x14ac:dyDescent="0.25">
      <c r="D24" s="3"/>
      <c r="E24" s="3"/>
      <c r="F24" s="3"/>
    </row>
    <row r="25" spans="4:6" ht="12.75" customHeight="1" x14ac:dyDescent="0.25">
      <c r="D25" s="3"/>
      <c r="E25" s="3"/>
      <c r="F25" s="3"/>
    </row>
    <row r="26" spans="4:6" ht="12.75" customHeight="1" x14ac:dyDescent="0.25">
      <c r="D26" s="3"/>
      <c r="E26" s="3"/>
      <c r="F26" s="3"/>
    </row>
    <row r="27" spans="4:6" ht="12.75" customHeight="1" x14ac:dyDescent="0.25">
      <c r="D27" s="3"/>
      <c r="E27" s="3"/>
      <c r="F27" s="3"/>
    </row>
    <row r="28" spans="4:6" ht="12.75" customHeight="1" x14ac:dyDescent="0.25">
      <c r="D28" s="3"/>
      <c r="E28" s="3"/>
      <c r="F28" s="3"/>
    </row>
    <row r="29" spans="4:6" ht="12.75" customHeight="1" x14ac:dyDescent="0.25">
      <c r="D29" s="3"/>
      <c r="E29" s="3"/>
      <c r="F29" s="3"/>
    </row>
    <row r="30" spans="4:6" ht="12.75" customHeight="1" x14ac:dyDescent="0.25">
      <c r="D30" s="3"/>
      <c r="E30" s="3"/>
      <c r="F30" s="3"/>
    </row>
    <row r="31" spans="4:6" ht="12.75" customHeight="1" x14ac:dyDescent="0.25">
      <c r="D31" s="3"/>
      <c r="E31" s="3"/>
      <c r="F31" s="3"/>
    </row>
    <row r="32" spans="4:6" ht="12.75" customHeight="1" x14ac:dyDescent="0.25">
      <c r="D32" s="3"/>
      <c r="E32" s="3"/>
      <c r="F32" s="3"/>
    </row>
    <row r="33" spans="4:6" ht="12.75" customHeight="1" x14ac:dyDescent="0.25">
      <c r="D33" s="3"/>
      <c r="E33" s="3"/>
      <c r="F33" s="3"/>
    </row>
    <row r="34" spans="4:6" ht="12.75" customHeight="1" x14ac:dyDescent="0.25">
      <c r="D34" s="3"/>
      <c r="E34" s="3"/>
      <c r="F34" s="3"/>
    </row>
    <row r="35" spans="4:6" ht="12.75" customHeight="1" x14ac:dyDescent="0.25">
      <c r="D35" s="3"/>
      <c r="E35" s="3"/>
      <c r="F35" s="3"/>
    </row>
    <row r="36" spans="4:6" ht="12.75" customHeight="1" x14ac:dyDescent="0.25">
      <c r="D36" s="3"/>
      <c r="E36" s="3"/>
      <c r="F36" s="3"/>
    </row>
    <row r="37" spans="4:6" ht="12.75" customHeight="1" x14ac:dyDescent="0.25">
      <c r="D37" s="3"/>
      <c r="E37" s="3"/>
      <c r="F37" s="3"/>
    </row>
    <row r="38" spans="4:6" ht="12.75" customHeight="1" x14ac:dyDescent="0.25">
      <c r="D38" s="3"/>
      <c r="E38" s="3"/>
      <c r="F38" s="3"/>
    </row>
    <row r="39" spans="4:6" ht="12.75" customHeight="1" x14ac:dyDescent="0.25">
      <c r="D39" s="3"/>
      <c r="E39" s="3"/>
      <c r="F39" s="3"/>
    </row>
    <row r="40" spans="4:6" ht="12.75" customHeight="1" x14ac:dyDescent="0.25">
      <c r="D40" s="3"/>
      <c r="E40" s="3"/>
      <c r="F40" s="3"/>
    </row>
    <row r="41" spans="4:6" ht="12.75" customHeight="1" x14ac:dyDescent="0.25">
      <c r="D41" s="3"/>
      <c r="E41" s="3"/>
      <c r="F41" s="3"/>
    </row>
    <row r="42" spans="4:6" ht="12.75" customHeight="1" x14ac:dyDescent="0.25">
      <c r="D42" s="3"/>
      <c r="E42" s="3"/>
      <c r="F42" s="3"/>
    </row>
    <row r="43" spans="4:6" ht="12.75" customHeight="1" x14ac:dyDescent="0.25">
      <c r="D43" s="3"/>
      <c r="E43" s="3"/>
      <c r="F43" s="3"/>
    </row>
    <row r="44" spans="4:6" ht="12.75" customHeight="1" x14ac:dyDescent="0.25">
      <c r="D44" s="3"/>
      <c r="E44" s="3"/>
      <c r="F44" s="3"/>
    </row>
    <row r="45" spans="4:6" ht="12.75" customHeight="1" x14ac:dyDescent="0.25">
      <c r="D45" s="3"/>
      <c r="E45" s="3"/>
      <c r="F45" s="3"/>
    </row>
    <row r="46" spans="4:6" ht="12.75" customHeight="1" x14ac:dyDescent="0.25">
      <c r="D46" s="3"/>
      <c r="E46" s="3"/>
      <c r="F46" s="3"/>
    </row>
    <row r="47" spans="4:6" ht="12.75" customHeight="1" x14ac:dyDescent="0.25">
      <c r="D47" s="3"/>
      <c r="E47" s="3"/>
      <c r="F47" s="3"/>
    </row>
    <row r="48" spans="4:6" ht="12.75" customHeight="1" x14ac:dyDescent="0.25">
      <c r="D48" s="3"/>
      <c r="E48" s="3"/>
      <c r="F48" s="3"/>
    </row>
    <row r="49" spans="4:6" ht="12.75" customHeight="1" x14ac:dyDescent="0.25">
      <c r="D49" s="3"/>
      <c r="E49" s="3"/>
      <c r="F49" s="3"/>
    </row>
    <row r="50" spans="4:6" ht="12.75" customHeight="1" x14ac:dyDescent="0.25">
      <c r="D50" s="3"/>
      <c r="E50" s="3"/>
      <c r="F50" s="3"/>
    </row>
    <row r="51" spans="4:6" ht="12.75" customHeight="1" x14ac:dyDescent="0.25">
      <c r="D51" s="3"/>
      <c r="E51" s="3"/>
      <c r="F51" s="3"/>
    </row>
    <row r="52" spans="4:6" ht="12.75" customHeight="1" x14ac:dyDescent="0.25">
      <c r="D52" s="3"/>
      <c r="E52" s="3"/>
      <c r="F52" s="3"/>
    </row>
    <row r="53" spans="4:6" ht="12.75" customHeight="1" x14ac:dyDescent="0.25">
      <c r="D53" s="3"/>
      <c r="E53" s="3"/>
      <c r="F53" s="3"/>
    </row>
    <row r="54" spans="4:6" ht="12.75" customHeight="1" x14ac:dyDescent="0.25">
      <c r="D54" s="3"/>
      <c r="E54" s="3"/>
      <c r="F54" s="3"/>
    </row>
    <row r="55" spans="4:6" ht="12.75" customHeight="1" x14ac:dyDescent="0.25">
      <c r="D55" s="3"/>
      <c r="E55" s="3"/>
      <c r="F55" s="3"/>
    </row>
    <row r="56" spans="4:6" ht="12.75" customHeight="1" x14ac:dyDescent="0.25">
      <c r="D56" s="3"/>
      <c r="E56" s="3"/>
      <c r="F56" s="3"/>
    </row>
    <row r="57" spans="4:6" ht="12.75" customHeight="1" x14ac:dyDescent="0.25">
      <c r="D57" s="3"/>
      <c r="E57" s="3"/>
      <c r="F57" s="3"/>
    </row>
    <row r="58" spans="4:6" ht="12.75" customHeight="1" x14ac:dyDescent="0.25">
      <c r="D58" s="3"/>
      <c r="E58" s="3"/>
      <c r="F58" s="3"/>
    </row>
    <row r="59" spans="4:6" ht="12.75" customHeight="1" x14ac:dyDescent="0.25">
      <c r="D59" s="3"/>
      <c r="E59" s="3"/>
      <c r="F59" s="3"/>
    </row>
    <row r="60" spans="4:6" ht="12.75" customHeight="1" x14ac:dyDescent="0.25">
      <c r="D60" s="3"/>
      <c r="E60" s="3"/>
      <c r="F60" s="3"/>
    </row>
    <row r="61" spans="4:6" ht="12.75" customHeight="1" x14ac:dyDescent="0.25">
      <c r="D61" s="3"/>
      <c r="E61" s="3"/>
      <c r="F61" s="3"/>
    </row>
    <row r="62" spans="4:6" ht="12.75" customHeight="1" x14ac:dyDescent="0.25">
      <c r="D62" s="3"/>
      <c r="E62" s="3"/>
      <c r="F62" s="3"/>
    </row>
    <row r="63" spans="4:6" ht="12.75" customHeight="1" x14ac:dyDescent="0.25">
      <c r="D63" s="3"/>
      <c r="E63" s="3"/>
      <c r="F63" s="3"/>
    </row>
    <row r="64" spans="4:6" ht="12.75" customHeight="1" x14ac:dyDescent="0.25">
      <c r="D64" s="3"/>
      <c r="E64" s="3"/>
      <c r="F64" s="3"/>
    </row>
    <row r="65" spans="4:6" ht="12.75" customHeight="1" x14ac:dyDescent="0.25">
      <c r="D65" s="3"/>
      <c r="E65" s="3"/>
      <c r="F65" s="3"/>
    </row>
    <row r="66" spans="4:6" ht="12.75" customHeight="1" x14ac:dyDescent="0.25">
      <c r="D66" s="3"/>
      <c r="E66" s="3"/>
      <c r="F66" s="3"/>
    </row>
    <row r="67" spans="4:6" ht="12.75" customHeight="1" x14ac:dyDescent="0.25">
      <c r="D67" s="3"/>
      <c r="E67" s="3"/>
      <c r="F67" s="3"/>
    </row>
    <row r="68" spans="4:6" ht="12.75" customHeight="1" x14ac:dyDescent="0.25">
      <c r="D68" s="3"/>
      <c r="E68" s="3"/>
      <c r="F68" s="3"/>
    </row>
    <row r="69" spans="4:6" ht="12.75" customHeight="1" x14ac:dyDescent="0.25">
      <c r="D69" s="3"/>
      <c r="E69" s="3"/>
      <c r="F69" s="3"/>
    </row>
    <row r="70" spans="4:6" ht="12.75" customHeight="1" x14ac:dyDescent="0.25">
      <c r="D70" s="3"/>
      <c r="E70" s="3"/>
      <c r="F70" s="3"/>
    </row>
    <row r="71" spans="4:6" ht="12.75" customHeight="1" x14ac:dyDescent="0.25">
      <c r="D71" s="3"/>
      <c r="E71" s="3"/>
      <c r="F71" s="3"/>
    </row>
    <row r="72" spans="4:6" ht="12.75" customHeight="1" x14ac:dyDescent="0.25">
      <c r="D72" s="3"/>
      <c r="E72" s="3"/>
      <c r="F72" s="3"/>
    </row>
    <row r="73" spans="4:6" ht="12.75" customHeight="1" x14ac:dyDescent="0.25">
      <c r="D73" s="3"/>
      <c r="E73" s="3"/>
      <c r="F73" s="3"/>
    </row>
    <row r="74" spans="4:6" ht="12.75" customHeight="1" x14ac:dyDescent="0.25">
      <c r="D74" s="3"/>
      <c r="E74" s="3"/>
      <c r="F74" s="3"/>
    </row>
    <row r="75" spans="4:6" ht="12.75" customHeight="1" x14ac:dyDescent="0.25">
      <c r="D75" s="3"/>
      <c r="E75" s="3"/>
      <c r="F75" s="3"/>
    </row>
    <row r="76" spans="4:6" ht="12.75" customHeight="1" x14ac:dyDescent="0.25">
      <c r="D76" s="3"/>
      <c r="E76" s="3"/>
      <c r="F76" s="3"/>
    </row>
    <row r="77" spans="4:6" ht="12.75" customHeight="1" x14ac:dyDescent="0.25">
      <c r="D77" s="3"/>
      <c r="E77" s="3"/>
      <c r="F77" s="3"/>
    </row>
    <row r="78" spans="4:6" ht="12.75" customHeight="1" x14ac:dyDescent="0.25">
      <c r="D78" s="3"/>
      <c r="E78" s="3"/>
      <c r="F78" s="3"/>
    </row>
    <row r="79" spans="4:6" ht="12.75" customHeight="1" x14ac:dyDescent="0.25">
      <c r="D79" s="3"/>
      <c r="E79" s="3"/>
      <c r="F79" s="3"/>
    </row>
    <row r="80" spans="4:6" ht="12.75" customHeight="1" x14ac:dyDescent="0.25">
      <c r="D80" s="3"/>
      <c r="E80" s="3"/>
      <c r="F80" s="3"/>
    </row>
    <row r="81" spans="4:6" ht="12.75" customHeight="1" x14ac:dyDescent="0.25">
      <c r="D81" s="3"/>
      <c r="E81" s="3"/>
      <c r="F81" s="3"/>
    </row>
    <row r="82" spans="4:6" ht="12.75" customHeight="1" x14ac:dyDescent="0.25">
      <c r="D82" s="3"/>
      <c r="E82" s="3"/>
      <c r="F82" s="3"/>
    </row>
    <row r="83" spans="4:6" ht="12.75" customHeight="1" x14ac:dyDescent="0.25">
      <c r="D83" s="3"/>
      <c r="E83" s="3"/>
      <c r="F83" s="3"/>
    </row>
    <row r="84" spans="4:6" ht="12.75" customHeight="1" x14ac:dyDescent="0.25">
      <c r="D84" s="3"/>
      <c r="E84" s="3"/>
      <c r="F84" s="3"/>
    </row>
    <row r="85" spans="4:6" ht="12.75" customHeight="1" x14ac:dyDescent="0.25">
      <c r="D85" s="3"/>
      <c r="E85" s="3"/>
      <c r="F85" s="3"/>
    </row>
    <row r="86" spans="4:6" ht="12.75" customHeight="1" x14ac:dyDescent="0.25">
      <c r="D86" s="3"/>
      <c r="E86" s="3"/>
      <c r="F86" s="3"/>
    </row>
    <row r="87" spans="4:6" ht="12.75" customHeight="1" x14ac:dyDescent="0.25">
      <c r="D87" s="3"/>
      <c r="E87" s="3"/>
      <c r="F87" s="3"/>
    </row>
    <row r="88" spans="4:6" ht="12.75" customHeight="1" x14ac:dyDescent="0.25">
      <c r="D88" s="3"/>
      <c r="E88" s="3"/>
      <c r="F88" s="3"/>
    </row>
    <row r="89" spans="4:6" ht="12.75" customHeight="1" x14ac:dyDescent="0.25">
      <c r="D89" s="3"/>
      <c r="E89" s="3"/>
      <c r="F89" s="3"/>
    </row>
    <row r="90" spans="4:6" ht="12.75" customHeight="1" x14ac:dyDescent="0.25">
      <c r="D90" s="3"/>
      <c r="E90" s="3"/>
      <c r="F90" s="3"/>
    </row>
    <row r="91" spans="4:6" ht="12.75" customHeight="1" x14ac:dyDescent="0.25">
      <c r="D91" s="3"/>
      <c r="E91" s="3"/>
      <c r="F91" s="3"/>
    </row>
    <row r="92" spans="4:6" ht="12.75" customHeight="1" x14ac:dyDescent="0.25">
      <c r="D92" s="3"/>
      <c r="E92" s="3"/>
      <c r="F92" s="3"/>
    </row>
    <row r="93" spans="4:6" ht="12.75" customHeight="1" x14ac:dyDescent="0.25">
      <c r="D93" s="3"/>
      <c r="E93" s="3"/>
      <c r="F93" s="3"/>
    </row>
    <row r="94" spans="4:6" ht="12.75" customHeight="1" x14ac:dyDescent="0.25">
      <c r="D94" s="3"/>
      <c r="E94" s="3"/>
      <c r="F94" s="3"/>
    </row>
    <row r="95" spans="4:6" ht="12.75" customHeight="1" x14ac:dyDescent="0.25">
      <c r="D95" s="3"/>
      <c r="E95" s="3"/>
      <c r="F95" s="3"/>
    </row>
    <row r="96" spans="4:6" ht="12.75" customHeight="1" x14ac:dyDescent="0.25">
      <c r="D96" s="3"/>
      <c r="E96" s="3"/>
      <c r="F96" s="3"/>
    </row>
    <row r="97" spans="4:6" ht="12.75" customHeight="1" x14ac:dyDescent="0.25">
      <c r="D97" s="3"/>
      <c r="E97" s="3"/>
      <c r="F97" s="3"/>
    </row>
    <row r="98" spans="4:6" ht="12.75" customHeight="1" x14ac:dyDescent="0.25">
      <c r="D98" s="3"/>
      <c r="E98" s="3"/>
      <c r="F98" s="3"/>
    </row>
    <row r="99" spans="4:6" ht="12.75" customHeight="1" x14ac:dyDescent="0.25">
      <c r="D99" s="3"/>
      <c r="E99" s="3"/>
      <c r="F99" s="3"/>
    </row>
    <row r="100" spans="4:6" ht="12.75" customHeight="1" x14ac:dyDescent="0.25">
      <c r="D100" s="3"/>
      <c r="E100" s="3"/>
      <c r="F100" s="3"/>
    </row>
    <row r="101" spans="4:6" ht="12.75" customHeight="1" x14ac:dyDescent="0.25">
      <c r="D101" s="3"/>
      <c r="E101" s="3"/>
      <c r="F101" s="3"/>
    </row>
    <row r="102" spans="4:6" ht="12.75" customHeight="1" x14ac:dyDescent="0.25">
      <c r="D102" s="3"/>
      <c r="E102" s="3"/>
      <c r="F102" s="3"/>
    </row>
    <row r="103" spans="4:6" ht="12.75" customHeight="1" x14ac:dyDescent="0.25">
      <c r="D103" s="3"/>
      <c r="E103" s="3"/>
      <c r="F103" s="3"/>
    </row>
    <row r="104" spans="4:6" ht="12.75" customHeight="1" x14ac:dyDescent="0.25">
      <c r="D104" s="3"/>
      <c r="E104" s="3"/>
      <c r="F104" s="3"/>
    </row>
    <row r="105" spans="4:6" ht="12.75" customHeight="1" x14ac:dyDescent="0.25">
      <c r="D105" s="3"/>
      <c r="E105" s="3"/>
      <c r="F105" s="3"/>
    </row>
    <row r="106" spans="4:6" ht="12.75" customHeight="1" x14ac:dyDescent="0.25">
      <c r="D106" s="3"/>
      <c r="E106" s="3"/>
      <c r="F106" s="3"/>
    </row>
    <row r="107" spans="4:6" ht="12.75" customHeight="1" x14ac:dyDescent="0.25">
      <c r="D107" s="3"/>
      <c r="E107" s="3"/>
      <c r="F107" s="3"/>
    </row>
    <row r="108" spans="4:6" ht="12.75" customHeight="1" x14ac:dyDescent="0.25">
      <c r="D108" s="3"/>
      <c r="E108" s="3"/>
      <c r="F108" s="3"/>
    </row>
    <row r="109" spans="4:6" ht="12.75" customHeight="1" x14ac:dyDescent="0.25">
      <c r="D109" s="3"/>
      <c r="E109" s="3"/>
      <c r="F109" s="3"/>
    </row>
    <row r="110" spans="4:6" ht="12.75" customHeight="1" x14ac:dyDescent="0.25">
      <c r="D110" s="3"/>
      <c r="E110" s="3"/>
      <c r="F110" s="3"/>
    </row>
    <row r="111" spans="4:6" ht="12.75" customHeight="1" x14ac:dyDescent="0.25">
      <c r="D111" s="3"/>
      <c r="E111" s="3"/>
      <c r="F111" s="3"/>
    </row>
    <row r="112" spans="4:6" ht="12.75" customHeight="1" x14ac:dyDescent="0.25">
      <c r="D112" s="3"/>
      <c r="E112" s="3"/>
      <c r="F112" s="3"/>
    </row>
    <row r="113" spans="4:6" ht="12.75" customHeight="1" x14ac:dyDescent="0.25">
      <c r="D113" s="3"/>
      <c r="E113" s="3"/>
      <c r="F113" s="3"/>
    </row>
    <row r="114" spans="4:6" ht="12.75" customHeight="1" x14ac:dyDescent="0.25">
      <c r="D114" s="3"/>
      <c r="E114" s="3"/>
      <c r="F114" s="3"/>
    </row>
    <row r="115" spans="4:6" ht="12.75" customHeight="1" x14ac:dyDescent="0.25">
      <c r="D115" s="3"/>
      <c r="E115" s="3"/>
      <c r="F115" s="3"/>
    </row>
    <row r="116" spans="4:6" ht="12.75" customHeight="1" x14ac:dyDescent="0.25">
      <c r="D116" s="3"/>
      <c r="E116" s="3"/>
      <c r="F116" s="3"/>
    </row>
    <row r="117" spans="4:6" ht="12.75" customHeight="1" x14ac:dyDescent="0.25">
      <c r="D117" s="3"/>
      <c r="E117" s="3"/>
      <c r="F117" s="3"/>
    </row>
    <row r="118" spans="4:6" ht="12.75" customHeight="1" x14ac:dyDescent="0.25">
      <c r="D118" s="3"/>
      <c r="E118" s="3"/>
      <c r="F118" s="3"/>
    </row>
    <row r="119" spans="4:6" ht="12.75" customHeight="1" x14ac:dyDescent="0.25">
      <c r="D119" s="3"/>
      <c r="E119" s="3"/>
      <c r="F119" s="3"/>
    </row>
    <row r="120" spans="4:6" ht="12.75" customHeight="1" x14ac:dyDescent="0.25">
      <c r="D120" s="3"/>
      <c r="E120" s="3"/>
      <c r="F120" s="3"/>
    </row>
    <row r="121" spans="4:6" ht="12.75" customHeight="1" x14ac:dyDescent="0.25">
      <c r="D121" s="3"/>
      <c r="E121" s="3"/>
      <c r="F121" s="3"/>
    </row>
    <row r="122" spans="4:6" ht="12.75" customHeight="1" x14ac:dyDescent="0.25">
      <c r="D122" s="3"/>
      <c r="E122" s="3"/>
      <c r="F122" s="3"/>
    </row>
    <row r="123" spans="4:6" ht="12.75" customHeight="1" x14ac:dyDescent="0.25">
      <c r="D123" s="3"/>
      <c r="E123" s="3"/>
      <c r="F123" s="3"/>
    </row>
    <row r="124" spans="4:6" ht="12.75" customHeight="1" x14ac:dyDescent="0.25">
      <c r="D124" s="3"/>
      <c r="E124" s="3"/>
      <c r="F124" s="3"/>
    </row>
    <row r="125" spans="4:6" ht="12.75" customHeight="1" x14ac:dyDescent="0.25">
      <c r="D125" s="3"/>
      <c r="E125" s="3"/>
      <c r="F125" s="3"/>
    </row>
    <row r="126" spans="4:6" ht="12.75" customHeight="1" x14ac:dyDescent="0.25">
      <c r="D126" s="3"/>
      <c r="E126" s="3"/>
      <c r="F126" s="3"/>
    </row>
    <row r="127" spans="4:6" ht="12.75" customHeight="1" x14ac:dyDescent="0.25">
      <c r="D127" s="3"/>
      <c r="E127" s="3"/>
      <c r="F127" s="3"/>
    </row>
    <row r="128" spans="4:6" ht="12.75" customHeight="1" x14ac:dyDescent="0.25">
      <c r="D128" s="3"/>
      <c r="E128" s="3"/>
      <c r="F128" s="3"/>
    </row>
    <row r="129" spans="4:6" ht="12.75" customHeight="1" x14ac:dyDescent="0.25">
      <c r="D129" s="3"/>
      <c r="E129" s="3"/>
      <c r="F129" s="3"/>
    </row>
    <row r="130" spans="4:6" ht="12.75" customHeight="1" x14ac:dyDescent="0.25">
      <c r="D130" s="3"/>
      <c r="E130" s="3"/>
      <c r="F130" s="3"/>
    </row>
    <row r="131" spans="4:6" ht="12.75" customHeight="1" x14ac:dyDescent="0.25">
      <c r="D131" s="3"/>
      <c r="E131" s="3"/>
      <c r="F131" s="3"/>
    </row>
    <row r="132" spans="4:6" ht="12.75" customHeight="1" x14ac:dyDescent="0.25">
      <c r="D132" s="3"/>
      <c r="E132" s="3"/>
      <c r="F132" s="3"/>
    </row>
    <row r="133" spans="4:6" ht="12.75" customHeight="1" x14ac:dyDescent="0.25">
      <c r="D133" s="3"/>
      <c r="E133" s="3"/>
      <c r="F133" s="3"/>
    </row>
    <row r="134" spans="4:6" ht="12.75" customHeight="1" x14ac:dyDescent="0.25">
      <c r="D134" s="3"/>
      <c r="E134" s="3"/>
      <c r="F134" s="3"/>
    </row>
    <row r="135" spans="4:6" ht="12.75" customHeight="1" x14ac:dyDescent="0.25">
      <c r="D135" s="3"/>
      <c r="E135" s="3"/>
      <c r="F135" s="3"/>
    </row>
    <row r="136" spans="4:6" ht="12.75" customHeight="1" x14ac:dyDescent="0.25">
      <c r="D136" s="3"/>
      <c r="E136" s="3"/>
      <c r="F136" s="3"/>
    </row>
    <row r="137" spans="4:6" ht="12.75" customHeight="1" x14ac:dyDescent="0.25">
      <c r="D137" s="3"/>
      <c r="E137" s="3"/>
      <c r="F137" s="3"/>
    </row>
    <row r="138" spans="4:6" ht="12.75" customHeight="1" x14ac:dyDescent="0.25">
      <c r="D138" s="3"/>
      <c r="E138" s="3"/>
      <c r="F138" s="3"/>
    </row>
    <row r="139" spans="4:6" ht="12.75" customHeight="1" x14ac:dyDescent="0.25">
      <c r="D139" s="3"/>
      <c r="E139" s="3"/>
      <c r="F139" s="3"/>
    </row>
    <row r="140" spans="4:6" ht="12.75" customHeight="1" x14ac:dyDescent="0.25">
      <c r="D140" s="3"/>
      <c r="E140" s="3"/>
      <c r="F140" s="3"/>
    </row>
    <row r="141" spans="4:6" ht="12.75" customHeight="1" x14ac:dyDescent="0.25">
      <c r="D141" s="3"/>
      <c r="E141" s="3"/>
      <c r="F141" s="3"/>
    </row>
    <row r="142" spans="4:6" ht="12.75" customHeight="1" x14ac:dyDescent="0.25">
      <c r="D142" s="3"/>
      <c r="E142" s="3"/>
      <c r="F142" s="3"/>
    </row>
    <row r="143" spans="4:6" ht="12.75" customHeight="1" x14ac:dyDescent="0.25">
      <c r="D143" s="3"/>
      <c r="E143" s="3"/>
      <c r="F143" s="3"/>
    </row>
    <row r="144" spans="4:6" ht="12.75" customHeight="1" x14ac:dyDescent="0.25">
      <c r="D144" s="3"/>
      <c r="E144" s="3"/>
      <c r="F144" s="3"/>
    </row>
    <row r="145" spans="4:6" ht="12.75" customHeight="1" x14ac:dyDescent="0.25">
      <c r="D145" s="3"/>
      <c r="E145" s="3"/>
      <c r="F145" s="3"/>
    </row>
    <row r="146" spans="4:6" ht="12.75" customHeight="1" x14ac:dyDescent="0.25">
      <c r="D146" s="3"/>
      <c r="E146" s="3"/>
      <c r="F146" s="3"/>
    </row>
    <row r="147" spans="4:6" ht="12.75" customHeight="1" x14ac:dyDescent="0.25">
      <c r="D147" s="3"/>
      <c r="E147" s="3"/>
      <c r="F147" s="3"/>
    </row>
    <row r="148" spans="4:6" ht="12.75" customHeight="1" x14ac:dyDescent="0.25">
      <c r="D148" s="3"/>
      <c r="E148" s="3"/>
      <c r="F148" s="3"/>
    </row>
    <row r="149" spans="4:6" ht="12.75" customHeight="1" x14ac:dyDescent="0.25">
      <c r="D149" s="3"/>
      <c r="E149" s="3"/>
      <c r="F149" s="3"/>
    </row>
    <row r="150" spans="4:6" ht="12.75" customHeight="1" x14ac:dyDescent="0.25">
      <c r="D150" s="3"/>
      <c r="E150" s="3"/>
      <c r="F150" s="3"/>
    </row>
    <row r="151" spans="4:6" ht="12.75" customHeight="1" x14ac:dyDescent="0.25">
      <c r="D151" s="3"/>
      <c r="E151" s="3"/>
      <c r="F151" s="3"/>
    </row>
    <row r="152" spans="4:6" ht="12.75" customHeight="1" x14ac:dyDescent="0.25">
      <c r="D152" s="3"/>
      <c r="E152" s="3"/>
      <c r="F152" s="3"/>
    </row>
    <row r="153" spans="4:6" ht="12.75" customHeight="1" x14ac:dyDescent="0.25">
      <c r="D153" s="3"/>
      <c r="E153" s="3"/>
      <c r="F153" s="3"/>
    </row>
    <row r="154" spans="4:6" ht="12.75" customHeight="1" x14ac:dyDescent="0.25">
      <c r="D154" s="3"/>
      <c r="E154" s="3"/>
      <c r="F154" s="3"/>
    </row>
    <row r="155" spans="4:6" ht="12.75" customHeight="1" x14ac:dyDescent="0.25">
      <c r="D155" s="3"/>
      <c r="E155" s="3"/>
      <c r="F155" s="3"/>
    </row>
    <row r="156" spans="4:6" ht="12.75" customHeight="1" x14ac:dyDescent="0.25">
      <c r="D156" s="3"/>
      <c r="E156" s="3"/>
      <c r="F156" s="3"/>
    </row>
    <row r="157" spans="4:6" ht="12.75" customHeight="1" x14ac:dyDescent="0.25">
      <c r="D157" s="3"/>
      <c r="E157" s="3"/>
      <c r="F157" s="3"/>
    </row>
    <row r="158" spans="4:6" ht="12.75" customHeight="1" x14ac:dyDescent="0.25">
      <c r="D158" s="3"/>
      <c r="E158" s="3"/>
      <c r="F158" s="3"/>
    </row>
    <row r="159" spans="4:6" ht="12.75" customHeight="1" x14ac:dyDescent="0.25">
      <c r="D159" s="3"/>
      <c r="E159" s="3"/>
      <c r="F159" s="3"/>
    </row>
    <row r="160" spans="4:6" ht="12.75" customHeight="1" x14ac:dyDescent="0.25">
      <c r="D160" s="3"/>
      <c r="E160" s="3"/>
      <c r="F160" s="3"/>
    </row>
    <row r="161" spans="4:6" ht="12.75" customHeight="1" x14ac:dyDescent="0.25">
      <c r="D161" s="3"/>
      <c r="E161" s="3"/>
      <c r="F161" s="3"/>
    </row>
    <row r="162" spans="4:6" ht="12.75" customHeight="1" x14ac:dyDescent="0.25">
      <c r="D162" s="3"/>
      <c r="E162" s="3"/>
      <c r="F162" s="3"/>
    </row>
    <row r="163" spans="4:6" ht="12.75" customHeight="1" x14ac:dyDescent="0.25">
      <c r="D163" s="3"/>
      <c r="E163" s="3"/>
      <c r="F163" s="3"/>
    </row>
    <row r="164" spans="4:6" ht="12.75" customHeight="1" x14ac:dyDescent="0.25">
      <c r="D164" s="3"/>
      <c r="E164" s="3"/>
      <c r="F164" s="3"/>
    </row>
    <row r="165" spans="4:6" ht="12.75" customHeight="1" x14ac:dyDescent="0.25">
      <c r="D165" s="3"/>
      <c r="E165" s="3"/>
      <c r="F165" s="3"/>
    </row>
    <row r="166" spans="4:6" ht="12.75" customHeight="1" x14ac:dyDescent="0.25">
      <c r="D166" s="3"/>
      <c r="E166" s="3"/>
      <c r="F166" s="3"/>
    </row>
    <row r="167" spans="4:6" ht="12.75" customHeight="1" x14ac:dyDescent="0.25">
      <c r="D167" s="3"/>
      <c r="E167" s="3"/>
      <c r="F167" s="3"/>
    </row>
    <row r="168" spans="4:6" ht="12.75" customHeight="1" x14ac:dyDescent="0.25">
      <c r="D168" s="3"/>
      <c r="E168" s="3"/>
      <c r="F168" s="3"/>
    </row>
    <row r="169" spans="4:6" ht="12.75" customHeight="1" x14ac:dyDescent="0.25">
      <c r="D169" s="3"/>
      <c r="E169" s="3"/>
      <c r="F169" s="3"/>
    </row>
    <row r="170" spans="4:6" ht="12.75" customHeight="1" x14ac:dyDescent="0.25">
      <c r="D170" s="3"/>
      <c r="E170" s="3"/>
      <c r="F170" s="3"/>
    </row>
    <row r="171" spans="4:6" ht="12.75" customHeight="1" x14ac:dyDescent="0.25">
      <c r="D171" s="3"/>
      <c r="E171" s="3"/>
      <c r="F171" s="3"/>
    </row>
    <row r="172" spans="4:6" ht="12.75" customHeight="1" x14ac:dyDescent="0.25">
      <c r="D172" s="3"/>
      <c r="E172" s="3"/>
      <c r="F172" s="3"/>
    </row>
    <row r="173" spans="4:6" ht="12.75" customHeight="1" x14ac:dyDescent="0.25">
      <c r="D173" s="3"/>
      <c r="E173" s="3"/>
      <c r="F173" s="3"/>
    </row>
    <row r="174" spans="4:6" ht="12.75" customHeight="1" x14ac:dyDescent="0.25">
      <c r="D174" s="3"/>
      <c r="E174" s="3"/>
      <c r="F174" s="3"/>
    </row>
    <row r="175" spans="4:6" ht="12.75" customHeight="1" x14ac:dyDescent="0.25">
      <c r="D175" s="3"/>
      <c r="E175" s="3"/>
      <c r="F175" s="3"/>
    </row>
    <row r="176" spans="4:6" ht="12.75" customHeight="1" x14ac:dyDescent="0.25">
      <c r="D176" s="3"/>
      <c r="E176" s="3"/>
      <c r="F176" s="3"/>
    </row>
    <row r="177" spans="4:6" ht="12.75" customHeight="1" x14ac:dyDescent="0.25">
      <c r="D177" s="3"/>
      <c r="E177" s="3"/>
      <c r="F177" s="3"/>
    </row>
    <row r="178" spans="4:6" ht="12.75" customHeight="1" x14ac:dyDescent="0.25">
      <c r="D178" s="3"/>
      <c r="E178" s="3"/>
      <c r="F178" s="3"/>
    </row>
    <row r="179" spans="4:6" ht="12.75" customHeight="1" x14ac:dyDescent="0.25">
      <c r="D179" s="3"/>
      <c r="E179" s="3"/>
      <c r="F179" s="3"/>
    </row>
    <row r="180" spans="4:6" ht="12.75" customHeight="1" x14ac:dyDescent="0.25">
      <c r="D180" s="3"/>
      <c r="E180" s="3"/>
      <c r="F180" s="3"/>
    </row>
    <row r="181" spans="4:6" ht="12.75" customHeight="1" x14ac:dyDescent="0.25">
      <c r="D181" s="3"/>
      <c r="E181" s="3"/>
      <c r="F181" s="3"/>
    </row>
    <row r="182" spans="4:6" ht="12.75" customHeight="1" x14ac:dyDescent="0.25">
      <c r="D182" s="3"/>
      <c r="E182" s="3"/>
      <c r="F182" s="3"/>
    </row>
    <row r="183" spans="4:6" ht="12.75" customHeight="1" x14ac:dyDescent="0.25">
      <c r="D183" s="3"/>
      <c r="E183" s="3"/>
      <c r="F183" s="3"/>
    </row>
    <row r="184" spans="4:6" ht="12.75" customHeight="1" x14ac:dyDescent="0.25">
      <c r="D184" s="3"/>
      <c r="E184" s="3"/>
      <c r="F184" s="3"/>
    </row>
    <row r="185" spans="4:6" ht="12.75" customHeight="1" x14ac:dyDescent="0.25">
      <c r="D185" s="3"/>
      <c r="E185" s="3"/>
      <c r="F185" s="3"/>
    </row>
    <row r="186" spans="4:6" ht="12.75" customHeight="1" x14ac:dyDescent="0.25">
      <c r="D186" s="3"/>
      <c r="E186" s="3"/>
      <c r="F186" s="3"/>
    </row>
    <row r="187" spans="4:6" ht="12.75" customHeight="1" x14ac:dyDescent="0.25">
      <c r="D187" s="3"/>
      <c r="E187" s="3"/>
      <c r="F187" s="3"/>
    </row>
    <row r="188" spans="4:6" ht="12.75" customHeight="1" x14ac:dyDescent="0.25">
      <c r="D188" s="3"/>
      <c r="E188" s="3"/>
      <c r="F188" s="3"/>
    </row>
    <row r="189" spans="4:6" ht="12.75" customHeight="1" x14ac:dyDescent="0.25">
      <c r="D189" s="3"/>
      <c r="E189" s="3"/>
      <c r="F189" s="3"/>
    </row>
    <row r="190" spans="4:6" ht="12.75" customHeight="1" x14ac:dyDescent="0.25">
      <c r="D190" s="3"/>
      <c r="E190" s="3"/>
      <c r="F190" s="3"/>
    </row>
    <row r="191" spans="4:6" ht="12.75" customHeight="1" x14ac:dyDescent="0.25">
      <c r="D191" s="3"/>
      <c r="E191" s="3"/>
      <c r="F191" s="3"/>
    </row>
    <row r="192" spans="4:6" ht="12.75" customHeight="1" x14ac:dyDescent="0.25">
      <c r="D192" s="3"/>
      <c r="E192" s="3"/>
      <c r="F192" s="3"/>
    </row>
    <row r="193" spans="4:6" ht="12.75" customHeight="1" x14ac:dyDescent="0.25">
      <c r="D193" s="3"/>
      <c r="E193" s="3"/>
      <c r="F193" s="3"/>
    </row>
    <row r="194" spans="4:6" ht="12.75" customHeight="1" x14ac:dyDescent="0.25">
      <c r="D194" s="3"/>
      <c r="E194" s="3"/>
      <c r="F194" s="3"/>
    </row>
    <row r="195" spans="4:6" ht="12.75" customHeight="1" x14ac:dyDescent="0.25">
      <c r="D195" s="3"/>
      <c r="E195" s="3"/>
      <c r="F195" s="3"/>
    </row>
    <row r="196" spans="4:6" ht="12.75" customHeight="1" x14ac:dyDescent="0.25">
      <c r="D196" s="3"/>
      <c r="E196" s="3"/>
      <c r="F196" s="3"/>
    </row>
    <row r="197" spans="4:6" ht="12.75" customHeight="1" x14ac:dyDescent="0.25">
      <c r="D197" s="3"/>
      <c r="E197" s="3"/>
      <c r="F197" s="3"/>
    </row>
    <row r="198" spans="4:6" ht="12.75" customHeight="1" x14ac:dyDescent="0.25">
      <c r="D198" s="3"/>
      <c r="E198" s="3"/>
      <c r="F198" s="3"/>
    </row>
    <row r="199" spans="4:6" ht="12.75" customHeight="1" x14ac:dyDescent="0.25">
      <c r="D199" s="3"/>
      <c r="E199" s="3"/>
      <c r="F199" s="3"/>
    </row>
    <row r="200" spans="4:6" ht="12.75" customHeight="1" x14ac:dyDescent="0.25">
      <c r="D200" s="3"/>
      <c r="E200" s="3"/>
      <c r="F200" s="3"/>
    </row>
    <row r="201" spans="4:6" ht="12.75" customHeight="1" x14ac:dyDescent="0.25">
      <c r="D201" s="3"/>
      <c r="E201" s="3"/>
      <c r="F201" s="3"/>
    </row>
    <row r="202" spans="4:6" ht="12.75" customHeight="1" x14ac:dyDescent="0.25">
      <c r="D202" s="3"/>
      <c r="E202" s="3"/>
      <c r="F202" s="3"/>
    </row>
    <row r="203" spans="4:6" ht="12.75" customHeight="1" x14ac:dyDescent="0.25">
      <c r="D203" s="3"/>
      <c r="E203" s="3"/>
      <c r="F203" s="3"/>
    </row>
    <row r="204" spans="4:6" ht="12.75" customHeight="1" x14ac:dyDescent="0.25">
      <c r="D204" s="3"/>
      <c r="E204" s="3"/>
      <c r="F204" s="3"/>
    </row>
    <row r="205" spans="4:6" ht="12.75" customHeight="1" x14ac:dyDescent="0.25">
      <c r="D205" s="3"/>
      <c r="E205" s="3"/>
      <c r="F205" s="3"/>
    </row>
    <row r="206" spans="4:6" ht="12.75" customHeight="1" x14ac:dyDescent="0.25">
      <c r="D206" s="3"/>
      <c r="E206" s="3"/>
      <c r="F206" s="3"/>
    </row>
    <row r="207" spans="4:6" ht="12.75" customHeight="1" x14ac:dyDescent="0.25">
      <c r="D207" s="3"/>
      <c r="E207" s="3"/>
      <c r="F207" s="3"/>
    </row>
    <row r="208" spans="4:6" ht="12.75" customHeight="1" x14ac:dyDescent="0.25">
      <c r="D208" s="3"/>
      <c r="E208" s="3"/>
      <c r="F208" s="3"/>
    </row>
    <row r="209" spans="4:6" ht="12.75" customHeight="1" x14ac:dyDescent="0.25">
      <c r="D209" s="3"/>
      <c r="E209" s="3"/>
      <c r="F209" s="3"/>
    </row>
    <row r="210" spans="4:6" ht="12.75" customHeight="1" x14ac:dyDescent="0.25">
      <c r="D210" s="3"/>
      <c r="E210" s="3"/>
      <c r="F210" s="3"/>
    </row>
    <row r="211" spans="4:6" ht="12.75" customHeight="1" x14ac:dyDescent="0.25">
      <c r="D211" s="3"/>
      <c r="E211" s="3"/>
      <c r="F211" s="3"/>
    </row>
    <row r="212" spans="4:6" ht="12.75" customHeight="1" x14ac:dyDescent="0.25">
      <c r="D212" s="3"/>
      <c r="E212" s="3"/>
      <c r="F212" s="3"/>
    </row>
    <row r="213" spans="4:6" ht="12.75" customHeight="1" x14ac:dyDescent="0.25">
      <c r="D213" s="3"/>
      <c r="E213" s="3"/>
      <c r="F213" s="3"/>
    </row>
    <row r="214" spans="4:6" ht="12.75" customHeight="1" x14ac:dyDescent="0.25">
      <c r="D214" s="3"/>
      <c r="E214" s="3"/>
      <c r="F214" s="3"/>
    </row>
    <row r="215" spans="4:6" ht="12.75" customHeight="1" x14ac:dyDescent="0.25">
      <c r="D215" s="3"/>
      <c r="E215" s="3"/>
      <c r="F215" s="3"/>
    </row>
    <row r="216" spans="4:6" ht="12.75" customHeight="1" x14ac:dyDescent="0.25">
      <c r="D216" s="3"/>
      <c r="E216" s="3"/>
      <c r="F216" s="3"/>
    </row>
    <row r="217" spans="4:6" ht="12.75" customHeight="1" x14ac:dyDescent="0.25">
      <c r="D217" s="3"/>
      <c r="E217" s="3"/>
      <c r="F217" s="3"/>
    </row>
    <row r="218" spans="4:6" ht="12.75" customHeight="1" x14ac:dyDescent="0.25">
      <c r="D218" s="3"/>
      <c r="E218" s="3"/>
      <c r="F218" s="3"/>
    </row>
    <row r="219" spans="4:6" ht="12.75" customHeight="1" x14ac:dyDescent="0.25">
      <c r="D219" s="3"/>
      <c r="E219" s="3"/>
      <c r="F219" s="3"/>
    </row>
    <row r="220" spans="4:6" ht="12.75" customHeight="1" x14ac:dyDescent="0.25">
      <c r="D220" s="3"/>
      <c r="E220" s="3"/>
      <c r="F220" s="3"/>
    </row>
    <row r="221" spans="4:6" ht="12.75" customHeight="1" x14ac:dyDescent="0.25">
      <c r="D221" s="3"/>
      <c r="E221" s="3"/>
      <c r="F221" s="3"/>
    </row>
    <row r="222" spans="4:6" ht="12.75" customHeight="1" x14ac:dyDescent="0.25">
      <c r="D222" s="3"/>
      <c r="E222" s="3"/>
      <c r="F222" s="3"/>
    </row>
    <row r="223" spans="4:6" ht="12.75" customHeight="1" x14ac:dyDescent="0.25">
      <c r="D223" s="3"/>
      <c r="E223" s="3"/>
      <c r="F223" s="3"/>
    </row>
    <row r="224" spans="4:6" ht="12.75" customHeight="1" x14ac:dyDescent="0.25">
      <c r="D224" s="3"/>
      <c r="E224" s="3"/>
      <c r="F224" s="3"/>
    </row>
    <row r="225" spans="4:6" ht="12.75" customHeight="1" x14ac:dyDescent="0.25">
      <c r="D225" s="3"/>
      <c r="E225" s="3"/>
      <c r="F225" s="3"/>
    </row>
    <row r="226" spans="4:6" ht="12.75" customHeight="1" x14ac:dyDescent="0.25">
      <c r="D226" s="3"/>
      <c r="E226" s="3"/>
      <c r="F226" s="3"/>
    </row>
    <row r="227" spans="4:6" ht="12.75" customHeight="1" x14ac:dyDescent="0.25">
      <c r="D227" s="3"/>
      <c r="E227" s="3"/>
      <c r="F227" s="3"/>
    </row>
    <row r="228" spans="4:6" ht="12.75" customHeight="1" x14ac:dyDescent="0.25">
      <c r="D228" s="3"/>
      <c r="E228" s="3"/>
      <c r="F228" s="3"/>
    </row>
    <row r="229" spans="4:6" ht="12.75" customHeight="1" x14ac:dyDescent="0.25">
      <c r="D229" s="3"/>
      <c r="E229" s="3"/>
      <c r="F229" s="3"/>
    </row>
    <row r="230" spans="4:6" ht="12.75" customHeight="1" x14ac:dyDescent="0.25">
      <c r="D230" s="3"/>
      <c r="E230" s="3"/>
      <c r="F230" s="3"/>
    </row>
    <row r="231" spans="4:6" ht="12.75" customHeight="1" x14ac:dyDescent="0.25">
      <c r="D231" s="3"/>
      <c r="E231" s="3"/>
      <c r="F231" s="3"/>
    </row>
    <row r="232" spans="4:6" ht="12.75" customHeight="1" x14ac:dyDescent="0.25">
      <c r="D232" s="3"/>
      <c r="E232" s="3"/>
      <c r="F232" s="3"/>
    </row>
    <row r="233" spans="4:6" ht="12.75" customHeight="1" x14ac:dyDescent="0.25">
      <c r="D233" s="3"/>
      <c r="E233" s="3"/>
      <c r="F233" s="3"/>
    </row>
    <row r="234" spans="4:6" ht="12.75" customHeight="1" x14ac:dyDescent="0.25">
      <c r="D234" s="3"/>
      <c r="E234" s="3"/>
      <c r="F234" s="3"/>
    </row>
    <row r="235" spans="4:6" ht="12.75" customHeight="1" x14ac:dyDescent="0.25">
      <c r="D235" s="3"/>
      <c r="E235" s="3"/>
      <c r="F235" s="3"/>
    </row>
    <row r="236" spans="4:6" ht="12.75" customHeight="1" x14ac:dyDescent="0.25">
      <c r="D236" s="3"/>
      <c r="E236" s="3"/>
      <c r="F236" s="3"/>
    </row>
    <row r="237" spans="4:6" ht="12.75" customHeight="1" x14ac:dyDescent="0.25">
      <c r="D237" s="3"/>
      <c r="E237" s="3"/>
      <c r="F237" s="3"/>
    </row>
    <row r="238" spans="4:6" ht="12.75" customHeight="1" x14ac:dyDescent="0.25">
      <c r="D238" s="3"/>
      <c r="E238" s="3"/>
      <c r="F238" s="3"/>
    </row>
    <row r="239" spans="4:6" ht="12.75" customHeight="1" x14ac:dyDescent="0.25">
      <c r="D239" s="3"/>
      <c r="E239" s="3"/>
      <c r="F239" s="3"/>
    </row>
    <row r="240" spans="4:6" ht="12.75" customHeight="1" x14ac:dyDescent="0.25">
      <c r="D240" s="3"/>
      <c r="E240" s="3"/>
      <c r="F240" s="3"/>
    </row>
    <row r="241" spans="4:6" ht="12.75" customHeight="1" x14ac:dyDescent="0.25">
      <c r="D241" s="3"/>
      <c r="E241" s="3"/>
      <c r="F241" s="3"/>
    </row>
    <row r="242" spans="4:6" ht="12.75" customHeight="1" x14ac:dyDescent="0.25">
      <c r="D242" s="3"/>
      <c r="E242" s="3"/>
      <c r="F242" s="3"/>
    </row>
    <row r="243" spans="4:6" ht="12.75" customHeight="1" x14ac:dyDescent="0.25">
      <c r="D243" s="3"/>
      <c r="E243" s="3"/>
      <c r="F243" s="3"/>
    </row>
    <row r="244" spans="4:6" ht="12.75" customHeight="1" x14ac:dyDescent="0.25">
      <c r="D244" s="3"/>
      <c r="E244" s="3"/>
      <c r="F244" s="3"/>
    </row>
    <row r="245" spans="4:6" ht="12.75" customHeight="1" x14ac:dyDescent="0.25">
      <c r="D245" s="3"/>
      <c r="E245" s="3"/>
      <c r="F245" s="3"/>
    </row>
    <row r="246" spans="4:6" ht="12.75" customHeight="1" x14ac:dyDescent="0.25">
      <c r="D246" s="3"/>
      <c r="E246" s="3"/>
      <c r="F246" s="3"/>
    </row>
    <row r="247" spans="4:6" ht="12.75" customHeight="1" x14ac:dyDescent="0.25">
      <c r="D247" s="3"/>
      <c r="E247" s="3"/>
      <c r="F247" s="3"/>
    </row>
    <row r="248" spans="4:6" ht="12.75" customHeight="1" x14ac:dyDescent="0.25">
      <c r="D248" s="3"/>
      <c r="E248" s="3"/>
      <c r="F248" s="3"/>
    </row>
    <row r="249" spans="4:6" ht="12.75" customHeight="1" x14ac:dyDescent="0.25">
      <c r="D249" s="3"/>
      <c r="E249" s="3"/>
      <c r="F249" s="3"/>
    </row>
    <row r="250" spans="4:6" ht="12.75" customHeight="1" x14ac:dyDescent="0.25">
      <c r="D250" s="3"/>
      <c r="E250" s="3"/>
      <c r="F250" s="3"/>
    </row>
    <row r="251" spans="4:6" ht="12.75" customHeight="1" x14ac:dyDescent="0.25">
      <c r="D251" s="3"/>
      <c r="E251" s="3"/>
      <c r="F251" s="3"/>
    </row>
    <row r="252" spans="4:6" ht="12.75" customHeight="1" x14ac:dyDescent="0.25">
      <c r="D252" s="3"/>
      <c r="E252" s="3"/>
      <c r="F252" s="3"/>
    </row>
    <row r="253" spans="4:6" ht="12.75" customHeight="1" x14ac:dyDescent="0.25">
      <c r="D253" s="3"/>
      <c r="E253" s="3"/>
      <c r="F253" s="3"/>
    </row>
    <row r="254" spans="4:6" ht="12.75" customHeight="1" x14ac:dyDescent="0.25">
      <c r="D254" s="3"/>
      <c r="E254" s="3"/>
      <c r="F254" s="3"/>
    </row>
    <row r="255" spans="4:6" ht="12.75" customHeight="1" x14ac:dyDescent="0.25">
      <c r="D255" s="3"/>
      <c r="E255" s="3"/>
      <c r="F255" s="3"/>
    </row>
    <row r="256" spans="4:6" ht="12.75" customHeight="1" x14ac:dyDescent="0.25">
      <c r="D256" s="3"/>
      <c r="E256" s="3"/>
      <c r="F256" s="3"/>
    </row>
    <row r="257" spans="4:6" ht="12.75" customHeight="1" x14ac:dyDescent="0.25">
      <c r="D257" s="3"/>
      <c r="E257" s="3"/>
      <c r="F257" s="3"/>
    </row>
    <row r="258" spans="4:6" ht="12.75" customHeight="1" x14ac:dyDescent="0.25">
      <c r="D258" s="3"/>
      <c r="E258" s="3"/>
      <c r="F258" s="3"/>
    </row>
    <row r="259" spans="4:6" ht="12.75" customHeight="1" x14ac:dyDescent="0.25">
      <c r="D259" s="3"/>
      <c r="E259" s="3"/>
      <c r="F259" s="3"/>
    </row>
    <row r="260" spans="4:6" ht="12.75" customHeight="1" x14ac:dyDescent="0.25">
      <c r="D260" s="3"/>
      <c r="E260" s="3"/>
      <c r="F260" s="3"/>
    </row>
    <row r="261" spans="4:6" ht="12.75" customHeight="1" x14ac:dyDescent="0.25">
      <c r="D261" s="3"/>
      <c r="E261" s="3"/>
      <c r="F261" s="3"/>
    </row>
    <row r="262" spans="4:6" ht="12.75" customHeight="1" x14ac:dyDescent="0.25">
      <c r="D262" s="3"/>
      <c r="E262" s="3"/>
      <c r="F262" s="3"/>
    </row>
    <row r="263" spans="4:6" ht="12.75" customHeight="1" x14ac:dyDescent="0.25">
      <c r="D263" s="3"/>
      <c r="E263" s="3"/>
      <c r="F263" s="3"/>
    </row>
    <row r="264" spans="4:6" ht="12.75" customHeight="1" x14ac:dyDescent="0.25">
      <c r="D264" s="3"/>
      <c r="E264" s="3"/>
      <c r="F264" s="3"/>
    </row>
    <row r="265" spans="4:6" ht="12.75" customHeight="1" x14ac:dyDescent="0.25">
      <c r="D265" s="3"/>
      <c r="E265" s="3"/>
      <c r="F265" s="3"/>
    </row>
    <row r="266" spans="4:6" ht="12.75" customHeight="1" x14ac:dyDescent="0.25">
      <c r="D266" s="3"/>
      <c r="E266" s="3"/>
      <c r="F266" s="3"/>
    </row>
    <row r="267" spans="4:6" ht="12.75" customHeight="1" x14ac:dyDescent="0.25">
      <c r="D267" s="3"/>
      <c r="E267" s="3"/>
      <c r="F267" s="3"/>
    </row>
    <row r="268" spans="4:6" ht="12.75" customHeight="1" x14ac:dyDescent="0.25">
      <c r="D268" s="3"/>
      <c r="E268" s="3"/>
      <c r="F268" s="3"/>
    </row>
    <row r="269" spans="4:6" ht="12.75" customHeight="1" x14ac:dyDescent="0.25">
      <c r="D269" s="3"/>
      <c r="E269" s="3"/>
      <c r="F269" s="3"/>
    </row>
    <row r="270" spans="4:6" ht="12.75" customHeight="1" x14ac:dyDescent="0.25">
      <c r="D270" s="3"/>
      <c r="E270" s="3"/>
      <c r="F270" s="3"/>
    </row>
    <row r="271" spans="4:6" ht="12.75" customHeight="1" x14ac:dyDescent="0.25">
      <c r="D271" s="3"/>
      <c r="E271" s="3"/>
      <c r="F271" s="3"/>
    </row>
    <row r="272" spans="4:6" ht="12.75" customHeight="1" x14ac:dyDescent="0.25">
      <c r="D272" s="3"/>
      <c r="E272" s="3"/>
      <c r="F272" s="3"/>
    </row>
    <row r="273" spans="4:6" ht="12.75" customHeight="1" x14ac:dyDescent="0.25">
      <c r="D273" s="3"/>
      <c r="E273" s="3"/>
      <c r="F273" s="3"/>
    </row>
    <row r="274" spans="4:6" ht="12.75" customHeight="1" x14ac:dyDescent="0.25">
      <c r="D274" s="3"/>
      <c r="E274" s="3"/>
      <c r="F274" s="3"/>
    </row>
    <row r="275" spans="4:6" ht="12.75" customHeight="1" x14ac:dyDescent="0.25">
      <c r="D275" s="3"/>
      <c r="E275" s="3"/>
      <c r="F275" s="3"/>
    </row>
    <row r="276" spans="4:6" ht="12.75" customHeight="1" x14ac:dyDescent="0.25">
      <c r="D276" s="3"/>
      <c r="E276" s="3"/>
      <c r="F276" s="3"/>
    </row>
    <row r="277" spans="4:6" ht="12.75" customHeight="1" x14ac:dyDescent="0.25">
      <c r="D277" s="3"/>
      <c r="E277" s="3"/>
      <c r="F277" s="3"/>
    </row>
    <row r="278" spans="4:6" ht="12.75" customHeight="1" x14ac:dyDescent="0.25">
      <c r="D278" s="3"/>
      <c r="E278" s="3"/>
      <c r="F278" s="3"/>
    </row>
    <row r="279" spans="4:6" ht="12.75" customHeight="1" x14ac:dyDescent="0.25">
      <c r="D279" s="3"/>
      <c r="E279" s="3"/>
      <c r="F279" s="3"/>
    </row>
    <row r="280" spans="4:6" ht="12.75" customHeight="1" x14ac:dyDescent="0.25">
      <c r="D280" s="3"/>
      <c r="E280" s="3"/>
      <c r="F280" s="3"/>
    </row>
    <row r="281" spans="4:6" ht="12.75" customHeight="1" x14ac:dyDescent="0.25">
      <c r="D281" s="3"/>
      <c r="E281" s="3"/>
      <c r="F281" s="3"/>
    </row>
    <row r="282" spans="4:6" ht="12.75" customHeight="1" x14ac:dyDescent="0.25">
      <c r="D282" s="3"/>
      <c r="E282" s="3"/>
      <c r="F282" s="3"/>
    </row>
    <row r="283" spans="4:6" ht="12.75" customHeight="1" x14ac:dyDescent="0.25">
      <c r="D283" s="3"/>
      <c r="E283" s="3"/>
      <c r="F283" s="3"/>
    </row>
    <row r="284" spans="4:6" ht="12.75" customHeight="1" x14ac:dyDescent="0.25">
      <c r="D284" s="3"/>
      <c r="E284" s="3"/>
      <c r="F284" s="3"/>
    </row>
    <row r="285" spans="4:6" ht="12.75" customHeight="1" x14ac:dyDescent="0.25">
      <c r="D285" s="3"/>
      <c r="E285" s="3"/>
      <c r="F285" s="3"/>
    </row>
    <row r="286" spans="4:6" ht="12.75" customHeight="1" x14ac:dyDescent="0.25">
      <c r="D286" s="3"/>
      <c r="E286" s="3"/>
      <c r="F286" s="3"/>
    </row>
    <row r="287" spans="4:6" ht="12.75" customHeight="1" x14ac:dyDescent="0.25">
      <c r="D287" s="3"/>
      <c r="E287" s="3"/>
      <c r="F287" s="3"/>
    </row>
    <row r="288" spans="4:6" ht="12.75" customHeight="1" x14ac:dyDescent="0.25">
      <c r="D288" s="3"/>
      <c r="E288" s="3"/>
      <c r="F288" s="3"/>
    </row>
    <row r="289" spans="4:6" ht="12.75" customHeight="1" x14ac:dyDescent="0.25">
      <c r="D289" s="3"/>
      <c r="E289" s="3"/>
      <c r="F289" s="3"/>
    </row>
    <row r="290" spans="4:6" ht="12.75" customHeight="1" x14ac:dyDescent="0.25">
      <c r="D290" s="3"/>
      <c r="E290" s="3"/>
      <c r="F290" s="3"/>
    </row>
    <row r="291" spans="4:6" ht="12.75" customHeight="1" x14ac:dyDescent="0.25">
      <c r="D291" s="3"/>
      <c r="E291" s="3"/>
      <c r="F291" s="3"/>
    </row>
    <row r="292" spans="4:6" ht="12.75" customHeight="1" x14ac:dyDescent="0.25">
      <c r="D292" s="3"/>
      <c r="E292" s="3"/>
      <c r="F292" s="3"/>
    </row>
    <row r="293" spans="4:6" ht="12.75" customHeight="1" x14ac:dyDescent="0.25">
      <c r="D293" s="3"/>
      <c r="E293" s="3"/>
      <c r="F293" s="3"/>
    </row>
    <row r="294" spans="4:6" ht="12.75" customHeight="1" x14ac:dyDescent="0.25">
      <c r="D294" s="3"/>
      <c r="E294" s="3"/>
      <c r="F294" s="3"/>
    </row>
    <row r="295" spans="4:6" ht="12.75" customHeight="1" x14ac:dyDescent="0.25">
      <c r="D295" s="3"/>
      <c r="E295" s="3"/>
      <c r="F295" s="3"/>
    </row>
    <row r="296" spans="4:6" ht="12.75" customHeight="1" x14ac:dyDescent="0.25">
      <c r="D296" s="3"/>
      <c r="E296" s="3"/>
      <c r="F296" s="3"/>
    </row>
    <row r="297" spans="4:6" ht="12.75" customHeight="1" x14ac:dyDescent="0.25">
      <c r="D297" s="3"/>
      <c r="E297" s="3"/>
      <c r="F297" s="3"/>
    </row>
    <row r="298" spans="4:6" ht="12.75" customHeight="1" x14ac:dyDescent="0.25">
      <c r="D298" s="3"/>
      <c r="E298" s="3"/>
      <c r="F298" s="3"/>
    </row>
    <row r="299" spans="4:6" ht="12.75" customHeight="1" x14ac:dyDescent="0.25">
      <c r="D299" s="3"/>
      <c r="E299" s="3"/>
      <c r="F299" s="3"/>
    </row>
    <row r="300" spans="4:6" ht="12.75" customHeight="1" x14ac:dyDescent="0.25">
      <c r="D300" s="3"/>
      <c r="E300" s="3"/>
      <c r="F300" s="3"/>
    </row>
    <row r="301" spans="4:6" ht="12.75" customHeight="1" x14ac:dyDescent="0.25">
      <c r="D301" s="3"/>
      <c r="E301" s="3"/>
      <c r="F301" s="3"/>
    </row>
    <row r="302" spans="4:6" ht="12.75" customHeight="1" x14ac:dyDescent="0.25">
      <c r="D302" s="3"/>
      <c r="E302" s="3"/>
      <c r="F302" s="3"/>
    </row>
    <row r="303" spans="4:6" ht="12.75" customHeight="1" x14ac:dyDescent="0.25">
      <c r="D303" s="3"/>
      <c r="E303" s="3"/>
      <c r="F303" s="3"/>
    </row>
    <row r="304" spans="4:6" ht="12.75" customHeight="1" x14ac:dyDescent="0.25">
      <c r="D304" s="3"/>
      <c r="E304" s="3"/>
      <c r="F304" s="3"/>
    </row>
    <row r="305" spans="4:6" ht="12.75" customHeight="1" x14ac:dyDescent="0.25">
      <c r="D305" s="3"/>
      <c r="E305" s="3"/>
      <c r="F305" s="3"/>
    </row>
    <row r="306" spans="4:6" ht="12.75" customHeight="1" x14ac:dyDescent="0.25">
      <c r="D306" s="3"/>
      <c r="E306" s="3"/>
      <c r="F306" s="3"/>
    </row>
    <row r="307" spans="4:6" ht="12.75" customHeight="1" x14ac:dyDescent="0.25">
      <c r="D307" s="3"/>
      <c r="E307" s="3"/>
      <c r="F307" s="3"/>
    </row>
    <row r="308" spans="4:6" ht="12.75" customHeight="1" x14ac:dyDescent="0.25">
      <c r="D308" s="3"/>
      <c r="E308" s="3"/>
      <c r="F308" s="3"/>
    </row>
    <row r="309" spans="4:6" ht="12.75" customHeight="1" x14ac:dyDescent="0.25">
      <c r="D309" s="3"/>
      <c r="E309" s="3"/>
      <c r="F309" s="3"/>
    </row>
    <row r="310" spans="4:6" ht="12.75" customHeight="1" x14ac:dyDescent="0.25">
      <c r="D310" s="3"/>
      <c r="E310" s="3"/>
      <c r="F310" s="3"/>
    </row>
    <row r="311" spans="4:6" ht="12.75" customHeight="1" x14ac:dyDescent="0.25">
      <c r="D311" s="3"/>
      <c r="E311" s="3"/>
      <c r="F311" s="3"/>
    </row>
    <row r="312" spans="4:6" ht="12.75" customHeight="1" x14ac:dyDescent="0.25">
      <c r="D312" s="3"/>
      <c r="E312" s="3"/>
      <c r="F312" s="3"/>
    </row>
    <row r="313" spans="4:6" ht="12.75" customHeight="1" x14ac:dyDescent="0.25">
      <c r="D313" s="3"/>
      <c r="E313" s="3"/>
      <c r="F313" s="3"/>
    </row>
    <row r="314" spans="4:6" ht="12.75" customHeight="1" x14ac:dyDescent="0.25">
      <c r="D314" s="3"/>
      <c r="E314" s="3"/>
      <c r="F314" s="3"/>
    </row>
    <row r="315" spans="4:6" ht="12.75" customHeight="1" x14ac:dyDescent="0.25">
      <c r="D315" s="3"/>
      <c r="E315" s="3"/>
      <c r="F315" s="3"/>
    </row>
    <row r="316" spans="4:6" ht="12.75" customHeight="1" x14ac:dyDescent="0.25">
      <c r="D316" s="3"/>
      <c r="E316" s="3"/>
      <c r="F316" s="3"/>
    </row>
    <row r="317" spans="4:6" ht="12.75" customHeight="1" x14ac:dyDescent="0.25">
      <c r="D317" s="3"/>
      <c r="E317" s="3"/>
      <c r="F317" s="3"/>
    </row>
    <row r="318" spans="4:6" ht="12.75" customHeight="1" x14ac:dyDescent="0.25">
      <c r="D318" s="3"/>
      <c r="E318" s="3"/>
      <c r="F318" s="3"/>
    </row>
    <row r="319" spans="4:6" ht="12.75" customHeight="1" x14ac:dyDescent="0.25">
      <c r="D319" s="3"/>
      <c r="E319" s="3"/>
      <c r="F319" s="3"/>
    </row>
    <row r="320" spans="4:6" ht="12.75" customHeight="1" x14ac:dyDescent="0.25">
      <c r="D320" s="3"/>
      <c r="E320" s="3"/>
      <c r="F320" s="3"/>
    </row>
    <row r="321" spans="4:6" ht="12.75" customHeight="1" x14ac:dyDescent="0.25">
      <c r="D321" s="3"/>
      <c r="E321" s="3"/>
      <c r="F321" s="3"/>
    </row>
    <row r="322" spans="4:6" ht="12.75" customHeight="1" x14ac:dyDescent="0.25">
      <c r="D322" s="3"/>
      <c r="E322" s="3"/>
      <c r="F322" s="3"/>
    </row>
    <row r="323" spans="4:6" ht="12.75" customHeight="1" x14ac:dyDescent="0.25">
      <c r="D323" s="3"/>
      <c r="E323" s="3"/>
      <c r="F323" s="3"/>
    </row>
    <row r="324" spans="4:6" ht="12.75" customHeight="1" x14ac:dyDescent="0.25">
      <c r="D324" s="3"/>
      <c r="E324" s="3"/>
      <c r="F324" s="3"/>
    </row>
    <row r="325" spans="4:6" ht="12.75" customHeight="1" x14ac:dyDescent="0.25">
      <c r="D325" s="3"/>
      <c r="E325" s="3"/>
      <c r="F325" s="3"/>
    </row>
    <row r="326" spans="4:6" ht="12.75" customHeight="1" x14ac:dyDescent="0.25">
      <c r="D326" s="3"/>
      <c r="E326" s="3"/>
      <c r="F326" s="3"/>
    </row>
    <row r="327" spans="4:6" ht="12.75" customHeight="1" x14ac:dyDescent="0.25">
      <c r="D327" s="3"/>
      <c r="E327" s="3"/>
      <c r="F327" s="3"/>
    </row>
    <row r="328" spans="4:6" ht="12.75" customHeight="1" x14ac:dyDescent="0.25">
      <c r="D328" s="3"/>
      <c r="E328" s="3"/>
      <c r="F328" s="3"/>
    </row>
    <row r="329" spans="4:6" ht="12.75" customHeight="1" x14ac:dyDescent="0.25">
      <c r="D329" s="3"/>
      <c r="E329" s="3"/>
      <c r="F329" s="3"/>
    </row>
    <row r="330" spans="4:6" ht="12.75" customHeight="1" x14ac:dyDescent="0.25">
      <c r="D330" s="3"/>
      <c r="E330" s="3"/>
      <c r="F330" s="3"/>
    </row>
    <row r="331" spans="4:6" ht="12.75" customHeight="1" x14ac:dyDescent="0.25">
      <c r="D331" s="3"/>
      <c r="E331" s="3"/>
      <c r="F331" s="3"/>
    </row>
    <row r="332" spans="4:6" ht="12.75" customHeight="1" x14ac:dyDescent="0.25">
      <c r="D332" s="3"/>
      <c r="E332" s="3"/>
      <c r="F332" s="3"/>
    </row>
    <row r="333" spans="4:6" ht="12.75" customHeight="1" x14ac:dyDescent="0.25">
      <c r="D333" s="3"/>
      <c r="E333" s="3"/>
      <c r="F333" s="3"/>
    </row>
    <row r="334" spans="4:6" ht="12.75" customHeight="1" x14ac:dyDescent="0.25">
      <c r="D334" s="3"/>
      <c r="E334" s="3"/>
      <c r="F334" s="3"/>
    </row>
    <row r="335" spans="4:6" ht="12.75" customHeight="1" x14ac:dyDescent="0.25">
      <c r="D335" s="3"/>
      <c r="E335" s="3"/>
      <c r="F335" s="3"/>
    </row>
    <row r="336" spans="4:6" ht="12.75" customHeight="1" x14ac:dyDescent="0.25">
      <c r="D336" s="3"/>
      <c r="E336" s="3"/>
      <c r="F336" s="3"/>
    </row>
    <row r="337" spans="4:6" ht="12.75" customHeight="1" x14ac:dyDescent="0.25">
      <c r="D337" s="3"/>
      <c r="E337" s="3"/>
      <c r="F337" s="3"/>
    </row>
    <row r="338" spans="4:6" ht="12.75" customHeight="1" x14ac:dyDescent="0.25">
      <c r="D338" s="3"/>
      <c r="E338" s="3"/>
      <c r="F338" s="3"/>
    </row>
    <row r="339" spans="4:6" ht="12.75" customHeight="1" x14ac:dyDescent="0.25">
      <c r="D339" s="3"/>
      <c r="E339" s="3"/>
      <c r="F339" s="3"/>
    </row>
    <row r="340" spans="4:6" ht="12.75" customHeight="1" x14ac:dyDescent="0.25">
      <c r="D340" s="3"/>
      <c r="E340" s="3"/>
      <c r="F340" s="3"/>
    </row>
    <row r="341" spans="4:6" ht="12.75" customHeight="1" x14ac:dyDescent="0.25">
      <c r="D341" s="3"/>
      <c r="E341" s="3"/>
      <c r="F341" s="3"/>
    </row>
    <row r="342" spans="4:6" ht="12.75" customHeight="1" x14ac:dyDescent="0.25">
      <c r="D342" s="3"/>
      <c r="E342" s="3"/>
      <c r="F342" s="3"/>
    </row>
    <row r="343" spans="4:6" ht="12.75" customHeight="1" x14ac:dyDescent="0.25">
      <c r="D343" s="3"/>
      <c r="E343" s="3"/>
      <c r="F343" s="3"/>
    </row>
    <row r="344" spans="4:6" ht="12.75" customHeight="1" x14ac:dyDescent="0.25">
      <c r="D344" s="3"/>
      <c r="E344" s="3"/>
      <c r="F344" s="3"/>
    </row>
    <row r="345" spans="4:6" ht="12.75" customHeight="1" x14ac:dyDescent="0.25">
      <c r="D345" s="3"/>
      <c r="E345" s="3"/>
      <c r="F345" s="3"/>
    </row>
    <row r="346" spans="4:6" ht="12.75" customHeight="1" x14ac:dyDescent="0.25">
      <c r="D346" s="3"/>
      <c r="E346" s="3"/>
      <c r="F346" s="3"/>
    </row>
    <row r="347" spans="4:6" ht="12.75" customHeight="1" x14ac:dyDescent="0.25">
      <c r="D347" s="3"/>
      <c r="E347" s="3"/>
      <c r="F347" s="3"/>
    </row>
    <row r="348" spans="4:6" ht="12.75" customHeight="1" x14ac:dyDescent="0.25">
      <c r="D348" s="3"/>
      <c r="E348" s="3"/>
      <c r="F348" s="3"/>
    </row>
    <row r="349" spans="4:6" ht="12.75" customHeight="1" x14ac:dyDescent="0.25">
      <c r="D349" s="3"/>
      <c r="E349" s="3"/>
      <c r="F349" s="3"/>
    </row>
    <row r="350" spans="4:6" ht="12.75" customHeight="1" x14ac:dyDescent="0.25">
      <c r="D350" s="3"/>
      <c r="E350" s="3"/>
      <c r="F350" s="3"/>
    </row>
    <row r="351" spans="4:6" ht="12.75" customHeight="1" x14ac:dyDescent="0.25">
      <c r="D351" s="3"/>
      <c r="E351" s="3"/>
      <c r="F351" s="3"/>
    </row>
    <row r="352" spans="4:6" ht="12.75" customHeight="1" x14ac:dyDescent="0.25">
      <c r="D352" s="3"/>
      <c r="E352" s="3"/>
      <c r="F352" s="3"/>
    </row>
    <row r="353" spans="4:6" ht="12.75" customHeight="1" x14ac:dyDescent="0.25">
      <c r="D353" s="3"/>
      <c r="E353" s="3"/>
      <c r="F353" s="3"/>
    </row>
    <row r="354" spans="4:6" ht="12.75" customHeight="1" x14ac:dyDescent="0.25">
      <c r="D354" s="3"/>
      <c r="E354" s="3"/>
      <c r="F354" s="3"/>
    </row>
    <row r="355" spans="4:6" ht="12.75" customHeight="1" x14ac:dyDescent="0.25">
      <c r="D355" s="3"/>
      <c r="E355" s="3"/>
      <c r="F355" s="3"/>
    </row>
    <row r="356" spans="4:6" ht="12.75" customHeight="1" x14ac:dyDescent="0.25">
      <c r="D356" s="3"/>
      <c r="E356" s="3"/>
      <c r="F356" s="3"/>
    </row>
    <row r="357" spans="4:6" ht="12.75" customHeight="1" x14ac:dyDescent="0.25">
      <c r="D357" s="3"/>
      <c r="E357" s="3"/>
      <c r="F357" s="3"/>
    </row>
    <row r="358" spans="4:6" ht="12.75" customHeight="1" x14ac:dyDescent="0.25">
      <c r="D358" s="3"/>
      <c r="E358" s="3"/>
      <c r="F358" s="3"/>
    </row>
    <row r="359" spans="4:6" ht="12.75" customHeight="1" x14ac:dyDescent="0.25">
      <c r="D359" s="3"/>
      <c r="E359" s="3"/>
      <c r="F359" s="3"/>
    </row>
    <row r="360" spans="4:6" ht="12.75" customHeight="1" x14ac:dyDescent="0.25">
      <c r="D360" s="3"/>
      <c r="E360" s="3"/>
      <c r="F360" s="3"/>
    </row>
    <row r="361" spans="4:6" ht="12.75" customHeight="1" x14ac:dyDescent="0.25">
      <c r="D361" s="3"/>
      <c r="E361" s="3"/>
      <c r="F361" s="3"/>
    </row>
    <row r="362" spans="4:6" ht="12.75" customHeight="1" x14ac:dyDescent="0.25">
      <c r="D362" s="3"/>
      <c r="E362" s="3"/>
      <c r="F362" s="3"/>
    </row>
    <row r="363" spans="4:6" ht="12.75" customHeight="1" x14ac:dyDescent="0.25">
      <c r="D363" s="3"/>
      <c r="E363" s="3"/>
      <c r="F363" s="3"/>
    </row>
    <row r="364" spans="4:6" ht="12.75" customHeight="1" x14ac:dyDescent="0.25">
      <c r="D364" s="3"/>
      <c r="E364" s="3"/>
      <c r="F364" s="3"/>
    </row>
    <row r="365" spans="4:6" ht="12.75" customHeight="1" x14ac:dyDescent="0.25">
      <c r="D365" s="3"/>
      <c r="E365" s="3"/>
      <c r="F365" s="3"/>
    </row>
    <row r="366" spans="4:6" ht="12.75" customHeight="1" x14ac:dyDescent="0.25">
      <c r="D366" s="3"/>
      <c r="E366" s="3"/>
      <c r="F366" s="3"/>
    </row>
    <row r="367" spans="4:6" ht="12.75" customHeight="1" x14ac:dyDescent="0.25">
      <c r="D367" s="3"/>
      <c r="E367" s="3"/>
      <c r="F367" s="3"/>
    </row>
    <row r="368" spans="4:6" ht="12.75" customHeight="1" x14ac:dyDescent="0.25">
      <c r="D368" s="3"/>
      <c r="E368" s="3"/>
      <c r="F368" s="3"/>
    </row>
    <row r="369" spans="4:6" ht="12.75" customHeight="1" x14ac:dyDescent="0.25">
      <c r="D369" s="3"/>
      <c r="E369" s="3"/>
      <c r="F369" s="3"/>
    </row>
    <row r="370" spans="4:6" ht="12.75" customHeight="1" x14ac:dyDescent="0.25">
      <c r="D370" s="3"/>
      <c r="E370" s="3"/>
      <c r="F370" s="3"/>
    </row>
    <row r="371" spans="4:6" ht="12.75" customHeight="1" x14ac:dyDescent="0.25">
      <c r="D371" s="3"/>
      <c r="E371" s="3"/>
      <c r="F371" s="3"/>
    </row>
    <row r="372" spans="4:6" ht="12.75" customHeight="1" x14ac:dyDescent="0.25">
      <c r="D372" s="3"/>
      <c r="E372" s="3"/>
      <c r="F372" s="3"/>
    </row>
    <row r="373" spans="4:6" ht="12.75" customHeight="1" x14ac:dyDescent="0.25">
      <c r="D373" s="3"/>
      <c r="E373" s="3"/>
      <c r="F373" s="3"/>
    </row>
    <row r="374" spans="4:6" ht="12.75" customHeight="1" x14ac:dyDescent="0.25">
      <c r="D374" s="3"/>
      <c r="E374" s="3"/>
      <c r="F374" s="3"/>
    </row>
    <row r="375" spans="4:6" ht="12.75" customHeight="1" x14ac:dyDescent="0.25">
      <c r="D375" s="3"/>
      <c r="E375" s="3"/>
      <c r="F375" s="3"/>
    </row>
    <row r="376" spans="4:6" ht="12.75" customHeight="1" x14ac:dyDescent="0.25">
      <c r="D376" s="3"/>
      <c r="E376" s="3"/>
      <c r="F376" s="3"/>
    </row>
    <row r="377" spans="4:6" ht="12.75" customHeight="1" x14ac:dyDescent="0.25">
      <c r="D377" s="3"/>
      <c r="E377" s="3"/>
      <c r="F377" s="3"/>
    </row>
    <row r="378" spans="4:6" ht="12.75" customHeight="1" x14ac:dyDescent="0.25">
      <c r="D378" s="3"/>
      <c r="E378" s="3"/>
      <c r="F378" s="3"/>
    </row>
    <row r="379" spans="4:6" ht="12.75" customHeight="1" x14ac:dyDescent="0.25">
      <c r="D379" s="3"/>
      <c r="E379" s="3"/>
      <c r="F379" s="3"/>
    </row>
    <row r="380" spans="4:6" ht="12.75" customHeight="1" x14ac:dyDescent="0.25">
      <c r="D380" s="3"/>
      <c r="E380" s="3"/>
      <c r="F380" s="3"/>
    </row>
    <row r="381" spans="4:6" ht="12.75" customHeight="1" x14ac:dyDescent="0.25">
      <c r="D381" s="3"/>
      <c r="E381" s="3"/>
      <c r="F381" s="3"/>
    </row>
    <row r="382" spans="4:6" ht="12.75" customHeight="1" x14ac:dyDescent="0.25">
      <c r="D382" s="3"/>
      <c r="E382" s="3"/>
      <c r="F382" s="3"/>
    </row>
    <row r="383" spans="4:6" ht="12.75" customHeight="1" x14ac:dyDescent="0.25">
      <c r="D383" s="3"/>
      <c r="E383" s="3"/>
      <c r="F383" s="3"/>
    </row>
    <row r="384" spans="4:6" ht="12.75" customHeight="1" x14ac:dyDescent="0.25">
      <c r="D384" s="3"/>
      <c r="E384" s="3"/>
      <c r="F384" s="3"/>
    </row>
    <row r="385" spans="4:6" ht="12.75" customHeight="1" x14ac:dyDescent="0.25">
      <c r="D385" s="3"/>
      <c r="E385" s="3"/>
      <c r="F385" s="3"/>
    </row>
    <row r="386" spans="4:6" ht="12.75" customHeight="1" x14ac:dyDescent="0.25">
      <c r="D386" s="3"/>
      <c r="E386" s="3"/>
      <c r="F386" s="3"/>
    </row>
    <row r="387" spans="4:6" ht="12.75" customHeight="1" x14ac:dyDescent="0.25">
      <c r="D387" s="3"/>
      <c r="E387" s="3"/>
      <c r="F387" s="3"/>
    </row>
    <row r="388" spans="4:6" ht="12.75" customHeight="1" x14ac:dyDescent="0.25">
      <c r="D388" s="3"/>
      <c r="E388" s="3"/>
      <c r="F388" s="3"/>
    </row>
    <row r="389" spans="4:6" ht="12.75" customHeight="1" x14ac:dyDescent="0.25">
      <c r="D389" s="3"/>
      <c r="E389" s="3"/>
      <c r="F389" s="3"/>
    </row>
    <row r="390" spans="4:6" ht="12.75" customHeight="1" x14ac:dyDescent="0.25">
      <c r="D390" s="3"/>
      <c r="E390" s="3"/>
      <c r="F390" s="3"/>
    </row>
    <row r="391" spans="4:6" ht="12.75" customHeight="1" x14ac:dyDescent="0.25">
      <c r="D391" s="3"/>
      <c r="E391" s="3"/>
      <c r="F391" s="3"/>
    </row>
    <row r="392" spans="4:6" ht="12.75" customHeight="1" x14ac:dyDescent="0.25">
      <c r="D392" s="3"/>
      <c r="E392" s="3"/>
      <c r="F392" s="3"/>
    </row>
    <row r="393" spans="4:6" ht="12.75" customHeight="1" x14ac:dyDescent="0.25">
      <c r="D393" s="3"/>
      <c r="E393" s="3"/>
      <c r="F393" s="3"/>
    </row>
    <row r="394" spans="4:6" ht="12.75" customHeight="1" x14ac:dyDescent="0.25">
      <c r="D394" s="3"/>
      <c r="E394" s="3"/>
      <c r="F394" s="3"/>
    </row>
    <row r="395" spans="4:6" ht="12.75" customHeight="1" x14ac:dyDescent="0.25">
      <c r="D395" s="3"/>
      <c r="E395" s="3"/>
      <c r="F395" s="3"/>
    </row>
    <row r="396" spans="4:6" ht="12.75" customHeight="1" x14ac:dyDescent="0.25">
      <c r="D396" s="3"/>
      <c r="E396" s="3"/>
      <c r="F396" s="3"/>
    </row>
    <row r="397" spans="4:6" ht="12.75" customHeight="1" x14ac:dyDescent="0.25">
      <c r="D397" s="3"/>
      <c r="E397" s="3"/>
      <c r="F397" s="3"/>
    </row>
    <row r="398" spans="4:6" ht="12.75" customHeight="1" x14ac:dyDescent="0.25">
      <c r="D398" s="3"/>
      <c r="E398" s="3"/>
      <c r="F398" s="3"/>
    </row>
    <row r="399" spans="4:6" ht="12.75" customHeight="1" x14ac:dyDescent="0.25">
      <c r="D399" s="3"/>
      <c r="E399" s="3"/>
      <c r="F399" s="3"/>
    </row>
    <row r="400" spans="4:6" ht="12.75" customHeight="1" x14ac:dyDescent="0.25">
      <c r="D400" s="3"/>
      <c r="E400" s="3"/>
      <c r="F400" s="3"/>
    </row>
    <row r="401" spans="4:6" ht="12.75" customHeight="1" x14ac:dyDescent="0.25">
      <c r="D401" s="3"/>
      <c r="E401" s="3"/>
      <c r="F401" s="3"/>
    </row>
    <row r="402" spans="4:6" ht="12.75" customHeight="1" x14ac:dyDescent="0.25">
      <c r="D402" s="3"/>
      <c r="E402" s="3"/>
      <c r="F402" s="3"/>
    </row>
    <row r="403" spans="4:6" ht="12.75" customHeight="1" x14ac:dyDescent="0.25">
      <c r="D403" s="3"/>
      <c r="E403" s="3"/>
      <c r="F403" s="3"/>
    </row>
    <row r="404" spans="4:6" ht="12.75" customHeight="1" x14ac:dyDescent="0.25">
      <c r="D404" s="3"/>
      <c r="E404" s="3"/>
      <c r="F404" s="3"/>
    </row>
    <row r="405" spans="4:6" ht="12.75" customHeight="1" x14ac:dyDescent="0.25">
      <c r="D405" s="3"/>
      <c r="E405" s="3"/>
      <c r="F405" s="3"/>
    </row>
    <row r="406" spans="4:6" ht="12.75" customHeight="1" x14ac:dyDescent="0.25">
      <c r="D406" s="3"/>
      <c r="E406" s="3"/>
      <c r="F406" s="3"/>
    </row>
    <row r="407" spans="4:6" ht="12.75" customHeight="1" x14ac:dyDescent="0.25">
      <c r="D407" s="3"/>
      <c r="E407" s="3"/>
      <c r="F407" s="3"/>
    </row>
    <row r="408" spans="4:6" ht="12.75" customHeight="1" x14ac:dyDescent="0.25">
      <c r="D408" s="3"/>
      <c r="E408" s="3"/>
      <c r="F408" s="3"/>
    </row>
    <row r="409" spans="4:6" ht="12.75" customHeight="1" x14ac:dyDescent="0.25">
      <c r="D409" s="3"/>
      <c r="E409" s="3"/>
      <c r="F409" s="3"/>
    </row>
    <row r="410" spans="4:6" ht="12.75" customHeight="1" x14ac:dyDescent="0.25">
      <c r="D410" s="3"/>
      <c r="E410" s="3"/>
      <c r="F410" s="3"/>
    </row>
    <row r="411" spans="4:6" ht="12.75" customHeight="1" x14ac:dyDescent="0.25">
      <c r="D411" s="3"/>
      <c r="E411" s="3"/>
      <c r="F411" s="3"/>
    </row>
    <row r="412" spans="4:6" ht="12.75" customHeight="1" x14ac:dyDescent="0.25">
      <c r="D412" s="3"/>
      <c r="E412" s="3"/>
      <c r="F412" s="3"/>
    </row>
    <row r="413" spans="4:6" ht="12.75" customHeight="1" x14ac:dyDescent="0.25">
      <c r="D413" s="3"/>
      <c r="E413" s="3"/>
      <c r="F413" s="3"/>
    </row>
    <row r="414" spans="4:6" ht="12.75" customHeight="1" x14ac:dyDescent="0.25">
      <c r="D414" s="3"/>
      <c r="E414" s="3"/>
      <c r="F414" s="3"/>
    </row>
    <row r="415" spans="4:6" ht="12.75" customHeight="1" x14ac:dyDescent="0.25">
      <c r="D415" s="3"/>
      <c r="E415" s="3"/>
      <c r="F415" s="3"/>
    </row>
    <row r="416" spans="4:6" ht="12.75" customHeight="1" x14ac:dyDescent="0.25">
      <c r="D416" s="3"/>
      <c r="E416" s="3"/>
      <c r="F416" s="3"/>
    </row>
    <row r="417" spans="4:6" ht="12.75" customHeight="1" x14ac:dyDescent="0.25">
      <c r="D417" s="3"/>
      <c r="E417" s="3"/>
      <c r="F417" s="3"/>
    </row>
    <row r="418" spans="4:6" ht="12.75" customHeight="1" x14ac:dyDescent="0.25">
      <c r="D418" s="3"/>
      <c r="E418" s="3"/>
      <c r="F418" s="3"/>
    </row>
    <row r="419" spans="4:6" ht="12.75" customHeight="1" x14ac:dyDescent="0.25">
      <c r="D419" s="3"/>
      <c r="E419" s="3"/>
      <c r="F419" s="3"/>
    </row>
    <row r="420" spans="4:6" ht="12.75" customHeight="1" x14ac:dyDescent="0.25">
      <c r="D420" s="3"/>
      <c r="E420" s="3"/>
      <c r="F420" s="3"/>
    </row>
    <row r="421" spans="4:6" ht="12.75" customHeight="1" x14ac:dyDescent="0.25">
      <c r="D421" s="3"/>
      <c r="E421" s="3"/>
      <c r="F421" s="3"/>
    </row>
    <row r="422" spans="4:6" ht="12.75" customHeight="1" x14ac:dyDescent="0.25">
      <c r="D422" s="3"/>
      <c r="E422" s="3"/>
      <c r="F422" s="3"/>
    </row>
    <row r="423" spans="4:6" ht="12.75" customHeight="1" x14ac:dyDescent="0.25">
      <c r="D423" s="3"/>
      <c r="E423" s="3"/>
      <c r="F423" s="3"/>
    </row>
    <row r="424" spans="4:6" ht="12.75" customHeight="1" x14ac:dyDescent="0.25">
      <c r="D424" s="3"/>
      <c r="E424" s="3"/>
      <c r="F424" s="3"/>
    </row>
    <row r="425" spans="4:6" ht="12.75" customHeight="1" x14ac:dyDescent="0.25">
      <c r="D425" s="3"/>
      <c r="E425" s="3"/>
      <c r="F425" s="3"/>
    </row>
    <row r="426" spans="4:6" ht="12.75" customHeight="1" x14ac:dyDescent="0.25">
      <c r="D426" s="3"/>
      <c r="E426" s="3"/>
      <c r="F426" s="3"/>
    </row>
    <row r="427" spans="4:6" ht="12.75" customHeight="1" x14ac:dyDescent="0.25">
      <c r="D427" s="3"/>
      <c r="E427" s="3"/>
      <c r="F427" s="3"/>
    </row>
    <row r="428" spans="4:6" ht="12.75" customHeight="1" x14ac:dyDescent="0.25">
      <c r="D428" s="3"/>
      <c r="E428" s="3"/>
      <c r="F428" s="3"/>
    </row>
    <row r="429" spans="4:6" ht="12.75" customHeight="1" x14ac:dyDescent="0.25">
      <c r="D429" s="3"/>
      <c r="E429" s="3"/>
      <c r="F429" s="3"/>
    </row>
    <row r="430" spans="4:6" ht="12.75" customHeight="1" x14ac:dyDescent="0.25">
      <c r="D430" s="3"/>
      <c r="E430" s="3"/>
      <c r="F430" s="3"/>
    </row>
    <row r="431" spans="4:6" ht="12.75" customHeight="1" x14ac:dyDescent="0.25">
      <c r="D431" s="3"/>
      <c r="E431" s="3"/>
      <c r="F431" s="3"/>
    </row>
    <row r="432" spans="4:6" ht="12.75" customHeight="1" x14ac:dyDescent="0.25">
      <c r="D432" s="3"/>
      <c r="E432" s="3"/>
      <c r="F432" s="3"/>
    </row>
    <row r="433" spans="4:6" ht="12.75" customHeight="1" x14ac:dyDescent="0.25">
      <c r="D433" s="3"/>
      <c r="E433" s="3"/>
      <c r="F433" s="3"/>
    </row>
    <row r="434" spans="4:6" ht="12.75" customHeight="1" x14ac:dyDescent="0.25">
      <c r="D434" s="3"/>
      <c r="E434" s="3"/>
      <c r="F434" s="3"/>
    </row>
    <row r="435" spans="4:6" ht="12.75" customHeight="1" x14ac:dyDescent="0.25">
      <c r="D435" s="3"/>
      <c r="E435" s="3"/>
      <c r="F435" s="3"/>
    </row>
    <row r="436" spans="4:6" ht="12.75" customHeight="1" x14ac:dyDescent="0.25">
      <c r="D436" s="3"/>
      <c r="E436" s="3"/>
      <c r="F436" s="3"/>
    </row>
    <row r="437" spans="4:6" ht="12.75" customHeight="1" x14ac:dyDescent="0.25">
      <c r="D437" s="3"/>
      <c r="E437" s="3"/>
      <c r="F437" s="3"/>
    </row>
    <row r="438" spans="4:6" ht="12.75" customHeight="1" x14ac:dyDescent="0.25">
      <c r="D438" s="3"/>
      <c r="E438" s="3"/>
      <c r="F438" s="3"/>
    </row>
    <row r="439" spans="4:6" ht="12.75" customHeight="1" x14ac:dyDescent="0.25">
      <c r="D439" s="3"/>
      <c r="E439" s="3"/>
      <c r="F439" s="3"/>
    </row>
    <row r="440" spans="4:6" ht="12.75" customHeight="1" x14ac:dyDescent="0.25">
      <c r="D440" s="3"/>
      <c r="E440" s="3"/>
      <c r="F440" s="3"/>
    </row>
    <row r="441" spans="4:6" ht="12.75" customHeight="1" x14ac:dyDescent="0.25">
      <c r="D441" s="3"/>
      <c r="E441" s="3"/>
      <c r="F441" s="3"/>
    </row>
    <row r="442" spans="4:6" ht="12.75" customHeight="1" x14ac:dyDescent="0.25">
      <c r="D442" s="3"/>
      <c r="E442" s="3"/>
      <c r="F442" s="3"/>
    </row>
    <row r="443" spans="4:6" ht="12.75" customHeight="1" x14ac:dyDescent="0.25">
      <c r="D443" s="3"/>
      <c r="E443" s="3"/>
      <c r="F443" s="3"/>
    </row>
    <row r="444" spans="4:6" ht="12.75" customHeight="1" x14ac:dyDescent="0.25">
      <c r="D444" s="3"/>
      <c r="E444" s="3"/>
      <c r="F444" s="3"/>
    </row>
    <row r="445" spans="4:6" ht="12.75" customHeight="1" x14ac:dyDescent="0.25">
      <c r="D445" s="3"/>
      <c r="E445" s="3"/>
      <c r="F445" s="3"/>
    </row>
    <row r="446" spans="4:6" ht="12.75" customHeight="1" x14ac:dyDescent="0.25">
      <c r="D446" s="3"/>
      <c r="E446" s="3"/>
      <c r="F446" s="3"/>
    </row>
    <row r="447" spans="4:6" ht="12.75" customHeight="1" x14ac:dyDescent="0.25">
      <c r="D447" s="3"/>
      <c r="E447" s="3"/>
      <c r="F447" s="3"/>
    </row>
    <row r="448" spans="4:6" ht="12.75" customHeight="1" x14ac:dyDescent="0.25">
      <c r="D448" s="3"/>
      <c r="E448" s="3"/>
      <c r="F448" s="3"/>
    </row>
    <row r="449" spans="4:6" ht="12.75" customHeight="1" x14ac:dyDescent="0.25">
      <c r="D449" s="3"/>
      <c r="E449" s="3"/>
      <c r="F449" s="3"/>
    </row>
    <row r="450" spans="4:6" ht="12.75" customHeight="1" x14ac:dyDescent="0.25">
      <c r="D450" s="3"/>
      <c r="E450" s="3"/>
      <c r="F450" s="3"/>
    </row>
    <row r="451" spans="4:6" ht="12.75" customHeight="1" x14ac:dyDescent="0.25">
      <c r="D451" s="3"/>
      <c r="E451" s="3"/>
      <c r="F451" s="3"/>
    </row>
    <row r="452" spans="4:6" ht="12.75" customHeight="1" x14ac:dyDescent="0.25">
      <c r="D452" s="3"/>
      <c r="E452" s="3"/>
      <c r="F452" s="3"/>
    </row>
    <row r="453" spans="4:6" ht="12.75" customHeight="1" x14ac:dyDescent="0.25">
      <c r="D453" s="3"/>
      <c r="E453" s="3"/>
      <c r="F453" s="3"/>
    </row>
    <row r="454" spans="4:6" ht="12.75" customHeight="1" x14ac:dyDescent="0.25">
      <c r="D454" s="3"/>
      <c r="E454" s="3"/>
      <c r="F454" s="3"/>
    </row>
    <row r="455" spans="4:6" ht="12.75" customHeight="1" x14ac:dyDescent="0.25">
      <c r="D455" s="3"/>
      <c r="E455" s="3"/>
      <c r="F455" s="3"/>
    </row>
    <row r="456" spans="4:6" ht="12.75" customHeight="1" x14ac:dyDescent="0.25">
      <c r="D456" s="3"/>
      <c r="E456" s="3"/>
      <c r="F456" s="3"/>
    </row>
    <row r="457" spans="4:6" ht="12.75" customHeight="1" x14ac:dyDescent="0.25">
      <c r="D457" s="3"/>
      <c r="E457" s="3"/>
      <c r="F457" s="3"/>
    </row>
    <row r="458" spans="4:6" ht="12.75" customHeight="1" x14ac:dyDescent="0.25">
      <c r="D458" s="3"/>
      <c r="E458" s="3"/>
      <c r="F458" s="3"/>
    </row>
    <row r="459" spans="4:6" ht="12.75" customHeight="1" x14ac:dyDescent="0.25">
      <c r="D459" s="3"/>
      <c r="E459" s="3"/>
      <c r="F459" s="3"/>
    </row>
    <row r="460" spans="4:6" ht="12.75" customHeight="1" x14ac:dyDescent="0.25">
      <c r="D460" s="3"/>
      <c r="E460" s="3"/>
      <c r="F460" s="3"/>
    </row>
    <row r="461" spans="4:6" ht="12.75" customHeight="1" x14ac:dyDescent="0.25">
      <c r="D461" s="3"/>
      <c r="E461" s="3"/>
      <c r="F461" s="3"/>
    </row>
    <row r="462" spans="4:6" ht="12.75" customHeight="1" x14ac:dyDescent="0.25">
      <c r="D462" s="3"/>
      <c r="E462" s="3"/>
      <c r="F462" s="3"/>
    </row>
    <row r="463" spans="4:6" ht="12.75" customHeight="1" x14ac:dyDescent="0.25">
      <c r="D463" s="3"/>
      <c r="E463" s="3"/>
      <c r="F463" s="3"/>
    </row>
    <row r="464" spans="4:6" ht="12.75" customHeight="1" x14ac:dyDescent="0.25">
      <c r="D464" s="3"/>
      <c r="E464" s="3"/>
      <c r="F464" s="3"/>
    </row>
    <row r="465" spans="4:6" ht="12.75" customHeight="1" x14ac:dyDescent="0.25">
      <c r="D465" s="3"/>
      <c r="E465" s="3"/>
      <c r="F465" s="3"/>
    </row>
    <row r="466" spans="4:6" ht="12.75" customHeight="1" x14ac:dyDescent="0.25">
      <c r="D466" s="3"/>
      <c r="E466" s="3"/>
      <c r="F466" s="3"/>
    </row>
    <row r="467" spans="4:6" ht="12.75" customHeight="1" x14ac:dyDescent="0.25">
      <c r="D467" s="3"/>
      <c r="E467" s="3"/>
      <c r="F467" s="3"/>
    </row>
    <row r="468" spans="4:6" ht="12.75" customHeight="1" x14ac:dyDescent="0.25">
      <c r="D468" s="3"/>
      <c r="E468" s="3"/>
      <c r="F468" s="3"/>
    </row>
    <row r="469" spans="4:6" ht="12.75" customHeight="1" x14ac:dyDescent="0.25">
      <c r="D469" s="3"/>
      <c r="E469" s="3"/>
      <c r="F469" s="3"/>
    </row>
    <row r="470" spans="4:6" ht="12.75" customHeight="1" x14ac:dyDescent="0.25">
      <c r="D470" s="3"/>
      <c r="E470" s="3"/>
      <c r="F470" s="3"/>
    </row>
    <row r="471" spans="4:6" ht="12.75" customHeight="1" x14ac:dyDescent="0.25">
      <c r="D471" s="3"/>
      <c r="E471" s="3"/>
      <c r="F471" s="3"/>
    </row>
    <row r="472" spans="4:6" ht="12.75" customHeight="1" x14ac:dyDescent="0.25">
      <c r="D472" s="3"/>
      <c r="E472" s="3"/>
      <c r="F472" s="3"/>
    </row>
    <row r="473" spans="4:6" ht="12.75" customHeight="1" x14ac:dyDescent="0.25">
      <c r="D473" s="3"/>
      <c r="E473" s="3"/>
      <c r="F473" s="3"/>
    </row>
    <row r="474" spans="4:6" ht="12.75" customHeight="1" x14ac:dyDescent="0.25">
      <c r="D474" s="3"/>
      <c r="E474" s="3"/>
      <c r="F474" s="3"/>
    </row>
    <row r="475" spans="4:6" ht="12.75" customHeight="1" x14ac:dyDescent="0.25">
      <c r="D475" s="3"/>
      <c r="E475" s="3"/>
      <c r="F475" s="3"/>
    </row>
    <row r="476" spans="4:6" ht="12.75" customHeight="1" x14ac:dyDescent="0.25">
      <c r="D476" s="3"/>
      <c r="E476" s="3"/>
      <c r="F476" s="3"/>
    </row>
    <row r="477" spans="4:6" ht="12.75" customHeight="1" x14ac:dyDescent="0.25">
      <c r="D477" s="3"/>
      <c r="E477" s="3"/>
      <c r="F477" s="3"/>
    </row>
    <row r="478" spans="4:6" ht="12.75" customHeight="1" x14ac:dyDescent="0.25">
      <c r="D478" s="3"/>
      <c r="E478" s="3"/>
      <c r="F478" s="3"/>
    </row>
    <row r="479" spans="4:6" ht="12.75" customHeight="1" x14ac:dyDescent="0.25">
      <c r="D479" s="3"/>
      <c r="E479" s="3"/>
      <c r="F479" s="3"/>
    </row>
    <row r="480" spans="4:6" ht="12.75" customHeight="1" x14ac:dyDescent="0.25">
      <c r="D480" s="3"/>
      <c r="E480" s="3"/>
      <c r="F480" s="3"/>
    </row>
    <row r="481" spans="4:6" ht="12.75" customHeight="1" x14ac:dyDescent="0.25">
      <c r="D481" s="3"/>
      <c r="E481" s="3"/>
      <c r="F481" s="3"/>
    </row>
    <row r="482" spans="4:6" ht="12.75" customHeight="1" x14ac:dyDescent="0.25">
      <c r="D482" s="3"/>
      <c r="E482" s="3"/>
      <c r="F482" s="3"/>
    </row>
    <row r="483" spans="4:6" ht="12.75" customHeight="1" x14ac:dyDescent="0.25">
      <c r="D483" s="3"/>
      <c r="E483" s="3"/>
      <c r="F483" s="3"/>
    </row>
    <row r="484" spans="4:6" ht="12.75" customHeight="1" x14ac:dyDescent="0.25">
      <c r="D484" s="3"/>
      <c r="E484" s="3"/>
      <c r="F484" s="3"/>
    </row>
    <row r="485" spans="4:6" ht="12.75" customHeight="1" x14ac:dyDescent="0.25">
      <c r="D485" s="3"/>
      <c r="E485" s="3"/>
      <c r="F485" s="3"/>
    </row>
    <row r="486" spans="4:6" ht="12.75" customHeight="1" x14ac:dyDescent="0.25">
      <c r="D486" s="3"/>
      <c r="E486" s="3"/>
      <c r="F486" s="3"/>
    </row>
    <row r="487" spans="4:6" ht="12.75" customHeight="1" x14ac:dyDescent="0.25">
      <c r="D487" s="3"/>
      <c r="E487" s="3"/>
      <c r="F487" s="3"/>
    </row>
    <row r="488" spans="4:6" ht="12.75" customHeight="1" x14ac:dyDescent="0.25">
      <c r="D488" s="3"/>
      <c r="E488" s="3"/>
      <c r="F488" s="3"/>
    </row>
    <row r="489" spans="4:6" ht="12.75" customHeight="1" x14ac:dyDescent="0.25">
      <c r="D489" s="3"/>
      <c r="E489" s="3"/>
      <c r="F489" s="3"/>
    </row>
    <row r="490" spans="4:6" ht="12.75" customHeight="1" x14ac:dyDescent="0.25">
      <c r="D490" s="3"/>
      <c r="E490" s="3"/>
      <c r="F490" s="3"/>
    </row>
    <row r="491" spans="4:6" ht="12.75" customHeight="1" x14ac:dyDescent="0.25">
      <c r="D491" s="3"/>
      <c r="E491" s="3"/>
      <c r="F491" s="3"/>
    </row>
    <row r="492" spans="4:6" ht="12.75" customHeight="1" x14ac:dyDescent="0.25">
      <c r="D492" s="3"/>
      <c r="E492" s="3"/>
      <c r="F492" s="3"/>
    </row>
    <row r="493" spans="4:6" ht="12.75" customHeight="1" x14ac:dyDescent="0.25">
      <c r="D493" s="3"/>
      <c r="E493" s="3"/>
      <c r="F493" s="3"/>
    </row>
    <row r="494" spans="4:6" ht="12.75" customHeight="1" x14ac:dyDescent="0.25">
      <c r="D494" s="3"/>
      <c r="E494" s="3"/>
      <c r="F494" s="3"/>
    </row>
    <row r="495" spans="4:6" ht="12.75" customHeight="1" x14ac:dyDescent="0.25">
      <c r="D495" s="3"/>
      <c r="E495" s="3"/>
      <c r="F495" s="3"/>
    </row>
    <row r="496" spans="4:6" ht="12.75" customHeight="1" x14ac:dyDescent="0.25">
      <c r="D496" s="3"/>
      <c r="E496" s="3"/>
      <c r="F496" s="3"/>
    </row>
    <row r="497" spans="4:6" ht="12.75" customHeight="1" x14ac:dyDescent="0.25">
      <c r="D497" s="3"/>
      <c r="E497" s="3"/>
      <c r="F497" s="3"/>
    </row>
    <row r="498" spans="4:6" ht="12.75" customHeight="1" x14ac:dyDescent="0.25">
      <c r="D498" s="3"/>
      <c r="E498" s="3"/>
      <c r="F498" s="3"/>
    </row>
    <row r="499" spans="4:6" ht="12.75" customHeight="1" x14ac:dyDescent="0.25">
      <c r="D499" s="3"/>
      <c r="E499" s="3"/>
      <c r="F499" s="3"/>
    </row>
    <row r="500" spans="4:6" ht="12.75" customHeight="1" x14ac:dyDescent="0.25">
      <c r="D500" s="3"/>
      <c r="E500" s="3"/>
      <c r="F500" s="3"/>
    </row>
    <row r="501" spans="4:6" ht="12.75" customHeight="1" x14ac:dyDescent="0.25">
      <c r="D501" s="3"/>
      <c r="E501" s="3"/>
      <c r="F501" s="3"/>
    </row>
    <row r="502" spans="4:6" ht="12.75" customHeight="1" x14ac:dyDescent="0.25">
      <c r="D502" s="3"/>
      <c r="E502" s="3"/>
      <c r="F502" s="3"/>
    </row>
    <row r="503" spans="4:6" ht="12.75" customHeight="1" x14ac:dyDescent="0.25">
      <c r="D503" s="3"/>
      <c r="E503" s="3"/>
      <c r="F503" s="3"/>
    </row>
    <row r="504" spans="4:6" ht="12.75" customHeight="1" x14ac:dyDescent="0.25">
      <c r="D504" s="3"/>
      <c r="E504" s="3"/>
      <c r="F504" s="3"/>
    </row>
    <row r="505" spans="4:6" ht="12.75" customHeight="1" x14ac:dyDescent="0.25">
      <c r="D505" s="3"/>
      <c r="E505" s="3"/>
      <c r="F505" s="3"/>
    </row>
    <row r="506" spans="4:6" ht="12.75" customHeight="1" x14ac:dyDescent="0.25">
      <c r="D506" s="3"/>
      <c r="E506" s="3"/>
      <c r="F506" s="3"/>
    </row>
    <row r="507" spans="4:6" ht="12.75" customHeight="1" x14ac:dyDescent="0.25">
      <c r="D507" s="3"/>
      <c r="E507" s="3"/>
      <c r="F507" s="3"/>
    </row>
    <row r="508" spans="4:6" ht="12.75" customHeight="1" x14ac:dyDescent="0.25">
      <c r="D508" s="3"/>
      <c r="E508" s="3"/>
      <c r="F508" s="3"/>
    </row>
    <row r="509" spans="4:6" ht="12.75" customHeight="1" x14ac:dyDescent="0.25">
      <c r="D509" s="3"/>
      <c r="E509" s="3"/>
      <c r="F509" s="3"/>
    </row>
    <row r="510" spans="4:6" ht="12.75" customHeight="1" x14ac:dyDescent="0.25">
      <c r="D510" s="3"/>
      <c r="E510" s="3"/>
      <c r="F510" s="3"/>
    </row>
    <row r="511" spans="4:6" ht="12.75" customHeight="1" x14ac:dyDescent="0.25">
      <c r="D511" s="3"/>
      <c r="E511" s="3"/>
      <c r="F511" s="3"/>
    </row>
    <row r="512" spans="4:6" ht="12.75" customHeight="1" x14ac:dyDescent="0.25">
      <c r="D512" s="3"/>
      <c r="E512" s="3"/>
      <c r="F512" s="3"/>
    </row>
    <row r="513" spans="4:6" ht="12.75" customHeight="1" x14ac:dyDescent="0.25">
      <c r="D513" s="3"/>
      <c r="E513" s="3"/>
      <c r="F513" s="3"/>
    </row>
    <row r="514" spans="4:6" ht="12.75" customHeight="1" x14ac:dyDescent="0.25">
      <c r="D514" s="3"/>
      <c r="E514" s="3"/>
      <c r="F514" s="3"/>
    </row>
    <row r="515" spans="4:6" ht="12.75" customHeight="1" x14ac:dyDescent="0.25">
      <c r="D515" s="3"/>
      <c r="E515" s="3"/>
      <c r="F515" s="3"/>
    </row>
    <row r="516" spans="4:6" ht="12.75" customHeight="1" x14ac:dyDescent="0.25">
      <c r="D516" s="3"/>
      <c r="E516" s="3"/>
      <c r="F516" s="3"/>
    </row>
    <row r="517" spans="4:6" ht="12.75" customHeight="1" x14ac:dyDescent="0.25">
      <c r="D517" s="3"/>
      <c r="E517" s="3"/>
      <c r="F517" s="3"/>
    </row>
    <row r="518" spans="4:6" ht="12.75" customHeight="1" x14ac:dyDescent="0.25">
      <c r="D518" s="3"/>
      <c r="E518" s="3"/>
      <c r="F518" s="3"/>
    </row>
    <row r="519" spans="4:6" ht="12.75" customHeight="1" x14ac:dyDescent="0.25">
      <c r="D519" s="3"/>
      <c r="E519" s="3"/>
      <c r="F519" s="3"/>
    </row>
    <row r="520" spans="4:6" ht="12.75" customHeight="1" x14ac:dyDescent="0.25">
      <c r="D520" s="3"/>
      <c r="E520" s="3"/>
      <c r="F520" s="3"/>
    </row>
    <row r="521" spans="4:6" ht="12.75" customHeight="1" x14ac:dyDescent="0.25">
      <c r="D521" s="3"/>
      <c r="E521" s="3"/>
      <c r="F521" s="3"/>
    </row>
    <row r="522" spans="4:6" ht="12.75" customHeight="1" x14ac:dyDescent="0.25">
      <c r="D522" s="3"/>
      <c r="E522" s="3"/>
      <c r="F522" s="3"/>
    </row>
    <row r="523" spans="4:6" ht="12.75" customHeight="1" x14ac:dyDescent="0.25">
      <c r="D523" s="3"/>
      <c r="E523" s="3"/>
      <c r="F523" s="3"/>
    </row>
    <row r="524" spans="4:6" ht="12.75" customHeight="1" x14ac:dyDescent="0.25">
      <c r="D524" s="3"/>
      <c r="E524" s="3"/>
      <c r="F524" s="3"/>
    </row>
    <row r="525" spans="4:6" ht="12.75" customHeight="1" x14ac:dyDescent="0.25">
      <c r="D525" s="3"/>
      <c r="E525" s="3"/>
      <c r="F525" s="3"/>
    </row>
    <row r="526" spans="4:6" ht="12.75" customHeight="1" x14ac:dyDescent="0.25">
      <c r="D526" s="3"/>
      <c r="E526" s="3"/>
      <c r="F526" s="3"/>
    </row>
    <row r="527" spans="4:6" ht="12.75" customHeight="1" x14ac:dyDescent="0.25">
      <c r="D527" s="3"/>
      <c r="E527" s="3"/>
      <c r="F527" s="3"/>
    </row>
    <row r="528" spans="4:6" ht="12.75" customHeight="1" x14ac:dyDescent="0.25">
      <c r="D528" s="3"/>
      <c r="E528" s="3"/>
      <c r="F528" s="3"/>
    </row>
    <row r="529" spans="4:6" ht="12.75" customHeight="1" x14ac:dyDescent="0.25">
      <c r="D529" s="3"/>
      <c r="E529" s="3"/>
      <c r="F529" s="3"/>
    </row>
    <row r="530" spans="4:6" ht="12.75" customHeight="1" x14ac:dyDescent="0.25">
      <c r="D530" s="3"/>
      <c r="E530" s="3"/>
      <c r="F530" s="3"/>
    </row>
    <row r="531" spans="4:6" ht="12.75" customHeight="1" x14ac:dyDescent="0.25">
      <c r="D531" s="3"/>
      <c r="E531" s="3"/>
      <c r="F531" s="3"/>
    </row>
    <row r="532" spans="4:6" ht="12.75" customHeight="1" x14ac:dyDescent="0.25">
      <c r="D532" s="3"/>
      <c r="E532" s="3"/>
      <c r="F532" s="3"/>
    </row>
    <row r="533" spans="4:6" ht="12.75" customHeight="1" x14ac:dyDescent="0.25">
      <c r="D533" s="3"/>
      <c r="E533" s="3"/>
      <c r="F533" s="3"/>
    </row>
    <row r="534" spans="4:6" ht="12.75" customHeight="1" x14ac:dyDescent="0.25">
      <c r="D534" s="3"/>
      <c r="E534" s="3"/>
      <c r="F534" s="3"/>
    </row>
    <row r="535" spans="4:6" ht="12.75" customHeight="1" x14ac:dyDescent="0.25">
      <c r="D535" s="3"/>
      <c r="E535" s="3"/>
      <c r="F535" s="3"/>
    </row>
    <row r="536" spans="4:6" ht="12.75" customHeight="1" x14ac:dyDescent="0.25">
      <c r="D536" s="3"/>
      <c r="E536" s="3"/>
      <c r="F536" s="3"/>
    </row>
    <row r="537" spans="4:6" ht="12.75" customHeight="1" x14ac:dyDescent="0.25">
      <c r="D537" s="3"/>
      <c r="E537" s="3"/>
      <c r="F537" s="3"/>
    </row>
    <row r="538" spans="4:6" ht="12.75" customHeight="1" x14ac:dyDescent="0.25">
      <c r="D538" s="3"/>
      <c r="E538" s="3"/>
      <c r="F538" s="3"/>
    </row>
    <row r="539" spans="4:6" ht="12.75" customHeight="1" x14ac:dyDescent="0.25">
      <c r="D539" s="3"/>
      <c r="E539" s="3"/>
      <c r="F539" s="3"/>
    </row>
    <row r="540" spans="4:6" ht="12.75" customHeight="1" x14ac:dyDescent="0.25">
      <c r="D540" s="3"/>
      <c r="E540" s="3"/>
      <c r="F540" s="3"/>
    </row>
    <row r="541" spans="4:6" ht="12.75" customHeight="1" x14ac:dyDescent="0.25">
      <c r="D541" s="3"/>
      <c r="E541" s="3"/>
      <c r="F541" s="3"/>
    </row>
    <row r="542" spans="4:6" ht="12.75" customHeight="1" x14ac:dyDescent="0.25">
      <c r="D542" s="3"/>
      <c r="E542" s="3"/>
      <c r="F542" s="3"/>
    </row>
    <row r="543" spans="4:6" ht="12.75" customHeight="1" x14ac:dyDescent="0.25">
      <c r="D543" s="3"/>
      <c r="E543" s="3"/>
      <c r="F543" s="3"/>
    </row>
    <row r="544" spans="4:6" ht="12.75" customHeight="1" x14ac:dyDescent="0.25">
      <c r="D544" s="3"/>
      <c r="E544" s="3"/>
      <c r="F544" s="3"/>
    </row>
    <row r="545" spans="4:6" ht="12.75" customHeight="1" x14ac:dyDescent="0.25">
      <c r="D545" s="3"/>
      <c r="E545" s="3"/>
      <c r="F545" s="3"/>
    </row>
    <row r="546" spans="4:6" ht="12.75" customHeight="1" x14ac:dyDescent="0.25">
      <c r="D546" s="3"/>
      <c r="E546" s="3"/>
      <c r="F546" s="3"/>
    </row>
    <row r="547" spans="4:6" ht="12.75" customHeight="1" x14ac:dyDescent="0.25">
      <c r="D547" s="3"/>
      <c r="E547" s="3"/>
      <c r="F547" s="3"/>
    </row>
    <row r="548" spans="4:6" ht="12.75" customHeight="1" x14ac:dyDescent="0.25">
      <c r="D548" s="3"/>
      <c r="E548" s="3"/>
      <c r="F548" s="3"/>
    </row>
    <row r="549" spans="4:6" ht="12.75" customHeight="1" x14ac:dyDescent="0.25">
      <c r="D549" s="3"/>
      <c r="E549" s="3"/>
      <c r="F549" s="3"/>
    </row>
    <row r="550" spans="4:6" ht="12.75" customHeight="1" x14ac:dyDescent="0.25">
      <c r="D550" s="3"/>
      <c r="E550" s="3"/>
      <c r="F550" s="3"/>
    </row>
    <row r="551" spans="4:6" ht="12.75" customHeight="1" x14ac:dyDescent="0.25">
      <c r="D551" s="3"/>
      <c r="E551" s="3"/>
      <c r="F551" s="3"/>
    </row>
    <row r="552" spans="4:6" ht="12.75" customHeight="1" x14ac:dyDescent="0.25">
      <c r="D552" s="3"/>
      <c r="E552" s="3"/>
      <c r="F552" s="3"/>
    </row>
    <row r="553" spans="4:6" ht="12.75" customHeight="1" x14ac:dyDescent="0.25">
      <c r="D553" s="3"/>
      <c r="E553" s="3"/>
      <c r="F553" s="3"/>
    </row>
    <row r="554" spans="4:6" ht="12.75" customHeight="1" x14ac:dyDescent="0.25">
      <c r="D554" s="3"/>
      <c r="E554" s="3"/>
      <c r="F554" s="3"/>
    </row>
    <row r="555" spans="4:6" ht="12.75" customHeight="1" x14ac:dyDescent="0.25">
      <c r="D555" s="3"/>
      <c r="E555" s="3"/>
      <c r="F555" s="3"/>
    </row>
    <row r="556" spans="4:6" ht="12.75" customHeight="1" x14ac:dyDescent="0.25">
      <c r="D556" s="3"/>
      <c r="E556" s="3"/>
      <c r="F556" s="3"/>
    </row>
    <row r="557" spans="4:6" ht="12.75" customHeight="1" x14ac:dyDescent="0.25">
      <c r="D557" s="3"/>
      <c r="E557" s="3"/>
      <c r="F557" s="3"/>
    </row>
    <row r="558" spans="4:6" ht="12.75" customHeight="1" x14ac:dyDescent="0.25">
      <c r="D558" s="3"/>
      <c r="E558" s="3"/>
      <c r="F558" s="3"/>
    </row>
    <row r="559" spans="4:6" ht="12.75" customHeight="1" x14ac:dyDescent="0.25">
      <c r="D559" s="3"/>
      <c r="E559" s="3"/>
      <c r="F559" s="3"/>
    </row>
    <row r="560" spans="4:6" ht="12.75" customHeight="1" x14ac:dyDescent="0.25">
      <c r="D560" s="3"/>
      <c r="E560" s="3"/>
      <c r="F560" s="3"/>
    </row>
    <row r="561" spans="4:6" ht="12.75" customHeight="1" x14ac:dyDescent="0.25">
      <c r="D561" s="3"/>
      <c r="E561" s="3"/>
      <c r="F561" s="3"/>
    </row>
    <row r="562" spans="4:6" ht="12.75" customHeight="1" x14ac:dyDescent="0.25">
      <c r="D562" s="3"/>
      <c r="E562" s="3"/>
      <c r="F562" s="3"/>
    </row>
    <row r="563" spans="4:6" ht="12.75" customHeight="1" x14ac:dyDescent="0.25">
      <c r="D563" s="3"/>
      <c r="E563" s="3"/>
      <c r="F563" s="3"/>
    </row>
    <row r="564" spans="4:6" ht="12.75" customHeight="1" x14ac:dyDescent="0.25">
      <c r="D564" s="3"/>
      <c r="E564" s="3"/>
      <c r="F564" s="3"/>
    </row>
    <row r="565" spans="4:6" ht="12.75" customHeight="1" x14ac:dyDescent="0.25">
      <c r="D565" s="3"/>
      <c r="E565" s="3"/>
      <c r="F565" s="3"/>
    </row>
    <row r="566" spans="4:6" ht="12.75" customHeight="1" x14ac:dyDescent="0.25">
      <c r="D566" s="3"/>
      <c r="E566" s="3"/>
      <c r="F566" s="3"/>
    </row>
    <row r="567" spans="4:6" ht="12.75" customHeight="1" x14ac:dyDescent="0.25">
      <c r="D567" s="3"/>
      <c r="E567" s="3"/>
      <c r="F567" s="3"/>
    </row>
    <row r="568" spans="4:6" ht="12.75" customHeight="1" x14ac:dyDescent="0.25">
      <c r="D568" s="3"/>
      <c r="E568" s="3"/>
      <c r="F568" s="3"/>
    </row>
    <row r="569" spans="4:6" ht="12.75" customHeight="1" x14ac:dyDescent="0.25">
      <c r="D569" s="3"/>
      <c r="E569" s="3"/>
      <c r="F569" s="3"/>
    </row>
    <row r="570" spans="4:6" ht="12.75" customHeight="1" x14ac:dyDescent="0.25">
      <c r="D570" s="3"/>
      <c r="E570" s="3"/>
      <c r="F570" s="3"/>
    </row>
    <row r="571" spans="4:6" ht="12.75" customHeight="1" x14ac:dyDescent="0.25">
      <c r="D571" s="3"/>
      <c r="E571" s="3"/>
      <c r="F571" s="3"/>
    </row>
    <row r="572" spans="4:6" ht="12.75" customHeight="1" x14ac:dyDescent="0.25">
      <c r="D572" s="3"/>
      <c r="E572" s="3"/>
      <c r="F572" s="3"/>
    </row>
    <row r="573" spans="4:6" ht="12.75" customHeight="1" x14ac:dyDescent="0.25">
      <c r="D573" s="3"/>
      <c r="E573" s="3"/>
      <c r="F573" s="3"/>
    </row>
    <row r="574" spans="4:6" ht="12.75" customHeight="1" x14ac:dyDescent="0.25">
      <c r="D574" s="3"/>
      <c r="E574" s="3"/>
      <c r="F574" s="3"/>
    </row>
    <row r="575" spans="4:6" ht="12.75" customHeight="1" x14ac:dyDescent="0.25">
      <c r="D575" s="3"/>
      <c r="E575" s="3"/>
      <c r="F575" s="3"/>
    </row>
    <row r="576" spans="4:6" ht="12.75" customHeight="1" x14ac:dyDescent="0.25">
      <c r="D576" s="3"/>
      <c r="E576" s="3"/>
      <c r="F576" s="3"/>
    </row>
    <row r="577" spans="4:6" ht="12.75" customHeight="1" x14ac:dyDescent="0.25">
      <c r="D577" s="3"/>
      <c r="E577" s="3"/>
      <c r="F577" s="3"/>
    </row>
    <row r="578" spans="4:6" ht="12.75" customHeight="1" x14ac:dyDescent="0.25">
      <c r="D578" s="3"/>
      <c r="E578" s="3"/>
      <c r="F578" s="3"/>
    </row>
    <row r="579" spans="4:6" ht="12.75" customHeight="1" x14ac:dyDescent="0.25">
      <c r="D579" s="3"/>
      <c r="E579" s="3"/>
      <c r="F579" s="3"/>
    </row>
    <row r="580" spans="4:6" ht="12.75" customHeight="1" x14ac:dyDescent="0.25">
      <c r="D580" s="3"/>
      <c r="E580" s="3"/>
      <c r="F580" s="3"/>
    </row>
    <row r="581" spans="4:6" ht="12.75" customHeight="1" x14ac:dyDescent="0.25">
      <c r="D581" s="3"/>
      <c r="E581" s="3"/>
      <c r="F581" s="3"/>
    </row>
    <row r="582" spans="4:6" ht="12.75" customHeight="1" x14ac:dyDescent="0.25">
      <c r="D582" s="3"/>
      <c r="E582" s="3"/>
      <c r="F582" s="3"/>
    </row>
    <row r="583" spans="4:6" ht="12.75" customHeight="1" x14ac:dyDescent="0.25">
      <c r="D583" s="3"/>
      <c r="E583" s="3"/>
      <c r="F583" s="3"/>
    </row>
    <row r="584" spans="4:6" ht="12.75" customHeight="1" x14ac:dyDescent="0.25">
      <c r="D584" s="3"/>
      <c r="E584" s="3"/>
      <c r="F584" s="3"/>
    </row>
    <row r="585" spans="4:6" ht="12.75" customHeight="1" x14ac:dyDescent="0.25">
      <c r="D585" s="3"/>
      <c r="E585" s="3"/>
      <c r="F585" s="3"/>
    </row>
    <row r="586" spans="4:6" ht="12.75" customHeight="1" x14ac:dyDescent="0.25">
      <c r="D586" s="3"/>
      <c r="E586" s="3"/>
      <c r="F586" s="3"/>
    </row>
    <row r="587" spans="4:6" ht="12.75" customHeight="1" x14ac:dyDescent="0.25">
      <c r="D587" s="3"/>
      <c r="E587" s="3"/>
      <c r="F587" s="3"/>
    </row>
    <row r="588" spans="4:6" ht="12.75" customHeight="1" x14ac:dyDescent="0.25">
      <c r="D588" s="3"/>
      <c r="E588" s="3"/>
      <c r="F588" s="3"/>
    </row>
    <row r="589" spans="4:6" ht="12.75" customHeight="1" x14ac:dyDescent="0.25">
      <c r="D589" s="3"/>
      <c r="E589" s="3"/>
      <c r="F589" s="3"/>
    </row>
    <row r="590" spans="4:6" ht="12.75" customHeight="1" x14ac:dyDescent="0.25">
      <c r="D590" s="3"/>
      <c r="E590" s="3"/>
      <c r="F590" s="3"/>
    </row>
    <row r="591" spans="4:6" ht="12.75" customHeight="1" x14ac:dyDescent="0.25">
      <c r="D591" s="3"/>
      <c r="E591" s="3"/>
      <c r="F591" s="3"/>
    </row>
    <row r="592" spans="4:6" ht="12.75" customHeight="1" x14ac:dyDescent="0.25">
      <c r="D592" s="3"/>
      <c r="E592" s="3"/>
      <c r="F592" s="3"/>
    </row>
    <row r="593" spans="4:6" ht="12.75" customHeight="1" x14ac:dyDescent="0.25">
      <c r="D593" s="3"/>
      <c r="E593" s="3"/>
      <c r="F593" s="3"/>
    </row>
    <row r="594" spans="4:6" ht="12.75" customHeight="1" x14ac:dyDescent="0.25">
      <c r="D594" s="3"/>
      <c r="E594" s="3"/>
      <c r="F594" s="3"/>
    </row>
    <row r="595" spans="4:6" ht="12.75" customHeight="1" x14ac:dyDescent="0.25">
      <c r="D595" s="3"/>
      <c r="E595" s="3"/>
      <c r="F595" s="3"/>
    </row>
    <row r="596" spans="4:6" ht="12.75" customHeight="1" x14ac:dyDescent="0.25">
      <c r="D596" s="3"/>
      <c r="E596" s="3"/>
      <c r="F596" s="3"/>
    </row>
    <row r="597" spans="4:6" ht="12.75" customHeight="1" x14ac:dyDescent="0.25">
      <c r="D597" s="3"/>
      <c r="E597" s="3"/>
      <c r="F597" s="3"/>
    </row>
    <row r="598" spans="4:6" ht="12.75" customHeight="1" x14ac:dyDescent="0.25">
      <c r="D598" s="3"/>
      <c r="E598" s="3"/>
      <c r="F598" s="3"/>
    </row>
    <row r="599" spans="4:6" ht="12.75" customHeight="1" x14ac:dyDescent="0.25">
      <c r="D599" s="3"/>
      <c r="E599" s="3"/>
      <c r="F599" s="3"/>
    </row>
    <row r="600" spans="4:6" ht="12.75" customHeight="1" x14ac:dyDescent="0.25">
      <c r="D600" s="3"/>
      <c r="E600" s="3"/>
      <c r="F600" s="3"/>
    </row>
    <row r="601" spans="4:6" ht="12.75" customHeight="1" x14ac:dyDescent="0.25">
      <c r="D601" s="3"/>
      <c r="E601" s="3"/>
      <c r="F601" s="3"/>
    </row>
    <row r="602" spans="4:6" ht="12.75" customHeight="1" x14ac:dyDescent="0.25">
      <c r="D602" s="3"/>
      <c r="E602" s="3"/>
      <c r="F602" s="3"/>
    </row>
    <row r="603" spans="4:6" ht="12.75" customHeight="1" x14ac:dyDescent="0.25">
      <c r="D603" s="3"/>
      <c r="E603" s="3"/>
      <c r="F603" s="3"/>
    </row>
    <row r="604" spans="4:6" ht="12.75" customHeight="1" x14ac:dyDescent="0.25">
      <c r="D604" s="3"/>
      <c r="E604" s="3"/>
      <c r="F604" s="3"/>
    </row>
    <row r="605" spans="4:6" ht="12.75" customHeight="1" x14ac:dyDescent="0.25">
      <c r="D605" s="3"/>
      <c r="E605" s="3"/>
      <c r="F605" s="3"/>
    </row>
    <row r="606" spans="4:6" ht="12.75" customHeight="1" x14ac:dyDescent="0.25">
      <c r="D606" s="3"/>
      <c r="E606" s="3"/>
      <c r="F606" s="3"/>
    </row>
    <row r="607" spans="4:6" ht="12.75" customHeight="1" x14ac:dyDescent="0.25">
      <c r="D607" s="3"/>
      <c r="E607" s="3"/>
      <c r="F607" s="3"/>
    </row>
    <row r="608" spans="4:6" ht="12.75" customHeight="1" x14ac:dyDescent="0.25">
      <c r="D608" s="3"/>
      <c r="E608" s="3"/>
      <c r="F608" s="3"/>
    </row>
    <row r="609" spans="4:6" ht="12.75" customHeight="1" x14ac:dyDescent="0.25">
      <c r="D609" s="3"/>
      <c r="E609" s="3"/>
      <c r="F609" s="3"/>
    </row>
    <row r="610" spans="4:6" ht="12.75" customHeight="1" x14ac:dyDescent="0.25">
      <c r="D610" s="3"/>
      <c r="E610" s="3"/>
      <c r="F610" s="3"/>
    </row>
    <row r="611" spans="4:6" ht="12.75" customHeight="1" x14ac:dyDescent="0.25">
      <c r="D611" s="3"/>
      <c r="E611" s="3"/>
      <c r="F611" s="3"/>
    </row>
    <row r="612" spans="4:6" ht="12.75" customHeight="1" x14ac:dyDescent="0.25">
      <c r="D612" s="3"/>
      <c r="E612" s="3"/>
      <c r="F612" s="3"/>
    </row>
    <row r="613" spans="4:6" ht="12.75" customHeight="1" x14ac:dyDescent="0.25">
      <c r="D613" s="3"/>
      <c r="E613" s="3"/>
      <c r="F613" s="3"/>
    </row>
    <row r="614" spans="4:6" ht="12.75" customHeight="1" x14ac:dyDescent="0.25">
      <c r="D614" s="3"/>
      <c r="E614" s="3"/>
      <c r="F614" s="3"/>
    </row>
    <row r="615" spans="4:6" ht="12.75" customHeight="1" x14ac:dyDescent="0.25">
      <c r="D615" s="3"/>
      <c r="E615" s="3"/>
      <c r="F615" s="3"/>
    </row>
    <row r="616" spans="4:6" ht="12.75" customHeight="1" x14ac:dyDescent="0.25">
      <c r="D616" s="3"/>
      <c r="E616" s="3"/>
      <c r="F616" s="3"/>
    </row>
    <row r="617" spans="4:6" ht="12.75" customHeight="1" x14ac:dyDescent="0.25">
      <c r="D617" s="3"/>
      <c r="E617" s="3"/>
      <c r="F617" s="3"/>
    </row>
    <row r="618" spans="4:6" ht="12.75" customHeight="1" x14ac:dyDescent="0.25">
      <c r="D618" s="3"/>
      <c r="E618" s="3"/>
      <c r="F618" s="3"/>
    </row>
    <row r="619" spans="4:6" ht="12.75" customHeight="1" x14ac:dyDescent="0.25">
      <c r="D619" s="3"/>
      <c r="E619" s="3"/>
      <c r="F619" s="3"/>
    </row>
    <row r="620" spans="4:6" ht="12.75" customHeight="1" x14ac:dyDescent="0.25">
      <c r="D620" s="3"/>
      <c r="E620" s="3"/>
      <c r="F620" s="3"/>
    </row>
    <row r="621" spans="4:6" ht="12.75" customHeight="1" x14ac:dyDescent="0.25">
      <c r="D621" s="3"/>
      <c r="E621" s="3"/>
      <c r="F621" s="3"/>
    </row>
    <row r="622" spans="4:6" ht="12.75" customHeight="1" x14ac:dyDescent="0.25">
      <c r="D622" s="3"/>
      <c r="E622" s="3"/>
      <c r="F622" s="3"/>
    </row>
    <row r="623" spans="4:6" ht="12.75" customHeight="1" x14ac:dyDescent="0.25">
      <c r="D623" s="3"/>
      <c r="E623" s="3"/>
      <c r="F623" s="3"/>
    </row>
    <row r="624" spans="4:6" ht="12.75" customHeight="1" x14ac:dyDescent="0.25">
      <c r="D624" s="3"/>
      <c r="E624" s="3"/>
      <c r="F624" s="3"/>
    </row>
    <row r="625" spans="4:6" ht="12.75" customHeight="1" x14ac:dyDescent="0.25">
      <c r="D625" s="3"/>
      <c r="E625" s="3"/>
      <c r="F625" s="3"/>
    </row>
    <row r="626" spans="4:6" ht="12.75" customHeight="1" x14ac:dyDescent="0.25">
      <c r="D626" s="3"/>
      <c r="E626" s="3"/>
      <c r="F626" s="3"/>
    </row>
    <row r="627" spans="4:6" ht="12.75" customHeight="1" x14ac:dyDescent="0.25">
      <c r="D627" s="3"/>
      <c r="E627" s="3"/>
      <c r="F627" s="3"/>
    </row>
    <row r="628" spans="4:6" ht="12.75" customHeight="1" x14ac:dyDescent="0.25">
      <c r="D628" s="3"/>
      <c r="E628" s="3"/>
      <c r="F628" s="3"/>
    </row>
    <row r="629" spans="4:6" ht="12.75" customHeight="1" x14ac:dyDescent="0.25">
      <c r="D629" s="3"/>
      <c r="E629" s="3"/>
      <c r="F629" s="3"/>
    </row>
    <row r="630" spans="4:6" ht="12.75" customHeight="1" x14ac:dyDescent="0.25">
      <c r="D630" s="3"/>
      <c r="E630" s="3"/>
      <c r="F630" s="3"/>
    </row>
    <row r="631" spans="4:6" ht="12.75" customHeight="1" x14ac:dyDescent="0.25">
      <c r="D631" s="3"/>
      <c r="E631" s="3"/>
      <c r="F631" s="3"/>
    </row>
    <row r="632" spans="4:6" ht="12.75" customHeight="1" x14ac:dyDescent="0.25">
      <c r="D632" s="3"/>
      <c r="E632" s="3"/>
      <c r="F632" s="3"/>
    </row>
    <row r="633" spans="4:6" ht="12.75" customHeight="1" x14ac:dyDescent="0.25">
      <c r="D633" s="3"/>
      <c r="E633" s="3"/>
      <c r="F633" s="3"/>
    </row>
    <row r="634" spans="4:6" ht="12.75" customHeight="1" x14ac:dyDescent="0.25">
      <c r="D634" s="3"/>
      <c r="E634" s="3"/>
      <c r="F634" s="3"/>
    </row>
    <row r="635" spans="4:6" ht="12.75" customHeight="1" x14ac:dyDescent="0.25">
      <c r="D635" s="3"/>
      <c r="E635" s="3"/>
      <c r="F635" s="3"/>
    </row>
    <row r="636" spans="4:6" ht="12.75" customHeight="1" x14ac:dyDescent="0.25">
      <c r="D636" s="3"/>
      <c r="E636" s="3"/>
      <c r="F636" s="3"/>
    </row>
    <row r="637" spans="4:6" ht="12.75" customHeight="1" x14ac:dyDescent="0.25">
      <c r="D637" s="3"/>
      <c r="E637" s="3"/>
      <c r="F637" s="3"/>
    </row>
    <row r="638" spans="4:6" ht="12.75" customHeight="1" x14ac:dyDescent="0.25">
      <c r="D638" s="3"/>
      <c r="E638" s="3"/>
      <c r="F638" s="3"/>
    </row>
    <row r="639" spans="4:6" ht="12.75" customHeight="1" x14ac:dyDescent="0.25">
      <c r="D639" s="3"/>
      <c r="E639" s="3"/>
      <c r="F639" s="3"/>
    </row>
    <row r="640" spans="4:6" ht="12.75" customHeight="1" x14ac:dyDescent="0.25">
      <c r="D640" s="3"/>
      <c r="E640" s="3"/>
      <c r="F640" s="3"/>
    </row>
    <row r="641" spans="4:6" ht="12.75" customHeight="1" x14ac:dyDescent="0.25">
      <c r="D641" s="3"/>
      <c r="E641" s="3"/>
      <c r="F641" s="3"/>
    </row>
    <row r="642" spans="4:6" ht="12.75" customHeight="1" x14ac:dyDescent="0.25">
      <c r="D642" s="3"/>
      <c r="E642" s="3"/>
      <c r="F642" s="3"/>
    </row>
    <row r="643" spans="4:6" ht="12.75" customHeight="1" x14ac:dyDescent="0.25">
      <c r="D643" s="3"/>
      <c r="E643" s="3"/>
      <c r="F643" s="3"/>
    </row>
    <row r="644" spans="4:6" ht="12.75" customHeight="1" x14ac:dyDescent="0.25">
      <c r="D644" s="3"/>
      <c r="E644" s="3"/>
      <c r="F644" s="3"/>
    </row>
    <row r="645" spans="4:6" ht="12.75" customHeight="1" x14ac:dyDescent="0.25">
      <c r="D645" s="3"/>
      <c r="E645" s="3"/>
      <c r="F645" s="3"/>
    </row>
    <row r="646" spans="4:6" ht="12.75" customHeight="1" x14ac:dyDescent="0.25">
      <c r="D646" s="3"/>
      <c r="E646" s="3"/>
      <c r="F646" s="3"/>
    </row>
    <row r="647" spans="4:6" ht="12.75" customHeight="1" x14ac:dyDescent="0.25">
      <c r="D647" s="3"/>
      <c r="E647" s="3"/>
      <c r="F647" s="3"/>
    </row>
    <row r="648" spans="4:6" ht="12.75" customHeight="1" x14ac:dyDescent="0.25">
      <c r="D648" s="3"/>
      <c r="E648" s="3"/>
      <c r="F648" s="3"/>
    </row>
    <row r="649" spans="4:6" ht="12.75" customHeight="1" x14ac:dyDescent="0.25">
      <c r="D649" s="3"/>
      <c r="E649" s="3"/>
      <c r="F649" s="3"/>
    </row>
    <row r="650" spans="4:6" ht="12.75" customHeight="1" x14ac:dyDescent="0.25">
      <c r="D650" s="3"/>
      <c r="E650" s="3"/>
      <c r="F650" s="3"/>
    </row>
    <row r="651" spans="4:6" ht="12.75" customHeight="1" x14ac:dyDescent="0.25">
      <c r="D651" s="3"/>
      <c r="E651" s="3"/>
      <c r="F651" s="3"/>
    </row>
    <row r="652" spans="4:6" ht="12.75" customHeight="1" x14ac:dyDescent="0.25">
      <c r="D652" s="3"/>
      <c r="E652" s="3"/>
      <c r="F652" s="3"/>
    </row>
    <row r="653" spans="4:6" ht="12.75" customHeight="1" x14ac:dyDescent="0.25">
      <c r="D653" s="3"/>
      <c r="E653" s="3"/>
      <c r="F653" s="3"/>
    </row>
    <row r="654" spans="4:6" ht="12.75" customHeight="1" x14ac:dyDescent="0.25">
      <c r="D654" s="3"/>
      <c r="E654" s="3"/>
      <c r="F654" s="3"/>
    </row>
    <row r="655" spans="4:6" ht="12.75" customHeight="1" x14ac:dyDescent="0.25">
      <c r="D655" s="3"/>
      <c r="E655" s="3"/>
      <c r="F655" s="3"/>
    </row>
    <row r="656" spans="4:6" ht="12.75" customHeight="1" x14ac:dyDescent="0.25">
      <c r="D656" s="3"/>
      <c r="E656" s="3"/>
      <c r="F656" s="3"/>
    </row>
    <row r="657" spans="4:6" ht="12.75" customHeight="1" x14ac:dyDescent="0.25">
      <c r="D657" s="3"/>
      <c r="E657" s="3"/>
      <c r="F657" s="3"/>
    </row>
    <row r="658" spans="4:6" ht="12.75" customHeight="1" x14ac:dyDescent="0.25">
      <c r="D658" s="3"/>
      <c r="E658" s="3"/>
      <c r="F658" s="3"/>
    </row>
    <row r="659" spans="4:6" ht="12.75" customHeight="1" x14ac:dyDescent="0.25">
      <c r="D659" s="3"/>
      <c r="E659" s="3"/>
      <c r="F659" s="3"/>
    </row>
    <row r="660" spans="4:6" ht="12.75" customHeight="1" x14ac:dyDescent="0.25">
      <c r="D660" s="3"/>
      <c r="E660" s="3"/>
      <c r="F660" s="3"/>
    </row>
    <row r="661" spans="4:6" ht="12.75" customHeight="1" x14ac:dyDescent="0.25">
      <c r="D661" s="3"/>
      <c r="E661" s="3"/>
      <c r="F661" s="3"/>
    </row>
    <row r="662" spans="4:6" ht="12.75" customHeight="1" x14ac:dyDescent="0.25">
      <c r="D662" s="3"/>
      <c r="E662" s="3"/>
      <c r="F662" s="3"/>
    </row>
    <row r="663" spans="4:6" ht="12.75" customHeight="1" x14ac:dyDescent="0.25">
      <c r="D663" s="3"/>
      <c r="E663" s="3"/>
      <c r="F663" s="3"/>
    </row>
    <row r="664" spans="4:6" ht="12.75" customHeight="1" x14ac:dyDescent="0.25">
      <c r="D664" s="3"/>
      <c r="E664" s="3"/>
      <c r="F664" s="3"/>
    </row>
    <row r="665" spans="4:6" ht="12.75" customHeight="1" x14ac:dyDescent="0.25">
      <c r="D665" s="3"/>
      <c r="E665" s="3"/>
      <c r="F665" s="3"/>
    </row>
    <row r="666" spans="4:6" ht="12.75" customHeight="1" x14ac:dyDescent="0.25">
      <c r="D666" s="3"/>
      <c r="E666" s="3"/>
      <c r="F666" s="3"/>
    </row>
    <row r="667" spans="4:6" ht="12.75" customHeight="1" x14ac:dyDescent="0.25">
      <c r="D667" s="3"/>
      <c r="E667" s="3"/>
      <c r="F667" s="3"/>
    </row>
    <row r="668" spans="4:6" ht="12.75" customHeight="1" x14ac:dyDescent="0.25">
      <c r="D668" s="3"/>
      <c r="E668" s="3"/>
      <c r="F668" s="3"/>
    </row>
    <row r="669" spans="4:6" ht="12.75" customHeight="1" x14ac:dyDescent="0.25">
      <c r="D669" s="3"/>
      <c r="E669" s="3"/>
      <c r="F669" s="3"/>
    </row>
    <row r="670" spans="4:6" ht="12.75" customHeight="1" x14ac:dyDescent="0.25">
      <c r="D670" s="3"/>
      <c r="E670" s="3"/>
      <c r="F670" s="3"/>
    </row>
    <row r="671" spans="4:6" ht="12.75" customHeight="1" x14ac:dyDescent="0.25">
      <c r="D671" s="3"/>
      <c r="E671" s="3"/>
      <c r="F671" s="3"/>
    </row>
    <row r="672" spans="4:6" ht="12.75" customHeight="1" x14ac:dyDescent="0.25">
      <c r="D672" s="3"/>
      <c r="E672" s="3"/>
      <c r="F672" s="3"/>
    </row>
    <row r="673" spans="4:6" ht="12.75" customHeight="1" x14ac:dyDescent="0.25">
      <c r="D673" s="3"/>
      <c r="E673" s="3"/>
      <c r="F673" s="3"/>
    </row>
    <row r="674" spans="4:6" ht="12.75" customHeight="1" x14ac:dyDescent="0.25">
      <c r="D674" s="3"/>
      <c r="E674" s="3"/>
      <c r="F674" s="3"/>
    </row>
    <row r="675" spans="4:6" ht="12.75" customHeight="1" x14ac:dyDescent="0.25">
      <c r="D675" s="3"/>
      <c r="E675" s="3"/>
      <c r="F675" s="3"/>
    </row>
    <row r="676" spans="4:6" ht="12.75" customHeight="1" x14ac:dyDescent="0.25">
      <c r="D676" s="3"/>
      <c r="E676" s="3"/>
      <c r="F676" s="3"/>
    </row>
    <row r="677" spans="4:6" ht="12.75" customHeight="1" x14ac:dyDescent="0.25">
      <c r="D677" s="3"/>
      <c r="E677" s="3"/>
      <c r="F677" s="3"/>
    </row>
    <row r="678" spans="4:6" ht="12.75" customHeight="1" x14ac:dyDescent="0.25">
      <c r="D678" s="3"/>
      <c r="E678" s="3"/>
      <c r="F678" s="3"/>
    </row>
    <row r="679" spans="4:6" ht="12.75" customHeight="1" x14ac:dyDescent="0.25">
      <c r="D679" s="3"/>
      <c r="E679" s="3"/>
      <c r="F679" s="3"/>
    </row>
    <row r="680" spans="4:6" ht="12.75" customHeight="1" x14ac:dyDescent="0.25">
      <c r="D680" s="3"/>
      <c r="E680" s="3"/>
      <c r="F680" s="3"/>
    </row>
    <row r="681" spans="4:6" ht="12.75" customHeight="1" x14ac:dyDescent="0.25">
      <c r="D681" s="3"/>
      <c r="E681" s="3"/>
      <c r="F681" s="3"/>
    </row>
    <row r="682" spans="4:6" ht="12.75" customHeight="1" x14ac:dyDescent="0.25">
      <c r="D682" s="3"/>
      <c r="E682" s="3"/>
      <c r="F682" s="3"/>
    </row>
    <row r="683" spans="4:6" ht="12.75" customHeight="1" x14ac:dyDescent="0.25">
      <c r="D683" s="3"/>
      <c r="E683" s="3"/>
      <c r="F683" s="3"/>
    </row>
    <row r="684" spans="4:6" ht="12.75" customHeight="1" x14ac:dyDescent="0.25">
      <c r="D684" s="3"/>
      <c r="E684" s="3"/>
      <c r="F684" s="3"/>
    </row>
    <row r="685" spans="4:6" ht="12.75" customHeight="1" x14ac:dyDescent="0.25">
      <c r="D685" s="3"/>
      <c r="E685" s="3"/>
      <c r="F685" s="3"/>
    </row>
    <row r="686" spans="4:6" ht="12.75" customHeight="1" x14ac:dyDescent="0.25">
      <c r="D686" s="3"/>
      <c r="E686" s="3"/>
      <c r="F686" s="3"/>
    </row>
    <row r="687" spans="4:6" ht="12.75" customHeight="1" x14ac:dyDescent="0.25">
      <c r="D687" s="3"/>
      <c r="E687" s="3"/>
      <c r="F687" s="3"/>
    </row>
    <row r="688" spans="4:6" ht="12.75" customHeight="1" x14ac:dyDescent="0.25">
      <c r="D688" s="3"/>
      <c r="E688" s="3"/>
      <c r="F688" s="3"/>
    </row>
    <row r="689" spans="4:6" ht="12.75" customHeight="1" x14ac:dyDescent="0.25">
      <c r="D689" s="3"/>
      <c r="E689" s="3"/>
      <c r="F689" s="3"/>
    </row>
    <row r="690" spans="4:6" ht="12.75" customHeight="1" x14ac:dyDescent="0.25">
      <c r="D690" s="3"/>
      <c r="E690" s="3"/>
      <c r="F690" s="3"/>
    </row>
    <row r="691" spans="4:6" ht="12.75" customHeight="1" x14ac:dyDescent="0.25">
      <c r="D691" s="3"/>
      <c r="E691" s="3"/>
      <c r="F691" s="3"/>
    </row>
    <row r="692" spans="4:6" ht="12.75" customHeight="1" x14ac:dyDescent="0.25">
      <c r="D692" s="3"/>
      <c r="E692" s="3"/>
      <c r="F692" s="3"/>
    </row>
    <row r="693" spans="4:6" ht="12.75" customHeight="1" x14ac:dyDescent="0.25">
      <c r="D693" s="3"/>
      <c r="E693" s="3"/>
      <c r="F693" s="3"/>
    </row>
    <row r="694" spans="4:6" ht="12.75" customHeight="1" x14ac:dyDescent="0.25">
      <c r="D694" s="3"/>
      <c r="E694" s="3"/>
      <c r="F694" s="3"/>
    </row>
    <row r="695" spans="4:6" ht="12.75" customHeight="1" x14ac:dyDescent="0.25">
      <c r="D695" s="3"/>
      <c r="E695" s="3"/>
      <c r="F695" s="3"/>
    </row>
    <row r="696" spans="4:6" ht="12.75" customHeight="1" x14ac:dyDescent="0.25">
      <c r="D696" s="3"/>
      <c r="E696" s="3"/>
      <c r="F696" s="3"/>
    </row>
    <row r="697" spans="4:6" ht="12.75" customHeight="1" x14ac:dyDescent="0.25">
      <c r="D697" s="3"/>
      <c r="E697" s="3"/>
      <c r="F697" s="3"/>
    </row>
    <row r="698" spans="4:6" ht="12.75" customHeight="1" x14ac:dyDescent="0.25">
      <c r="D698" s="3"/>
      <c r="E698" s="3"/>
      <c r="F698" s="3"/>
    </row>
    <row r="699" spans="4:6" ht="12.75" customHeight="1" x14ac:dyDescent="0.25">
      <c r="D699" s="3"/>
      <c r="E699" s="3"/>
      <c r="F699" s="3"/>
    </row>
    <row r="700" spans="4:6" ht="12.75" customHeight="1" x14ac:dyDescent="0.25">
      <c r="D700" s="3"/>
      <c r="E700" s="3"/>
      <c r="F700" s="3"/>
    </row>
    <row r="701" spans="4:6" ht="12.75" customHeight="1" x14ac:dyDescent="0.25">
      <c r="D701" s="3"/>
      <c r="E701" s="3"/>
      <c r="F701" s="3"/>
    </row>
    <row r="702" spans="4:6" ht="12.75" customHeight="1" x14ac:dyDescent="0.25">
      <c r="D702" s="3"/>
      <c r="E702" s="3"/>
      <c r="F702" s="3"/>
    </row>
    <row r="703" spans="4:6" ht="12.75" customHeight="1" x14ac:dyDescent="0.25">
      <c r="D703" s="3"/>
      <c r="E703" s="3"/>
      <c r="F703" s="3"/>
    </row>
    <row r="704" spans="4:6" ht="12.75" customHeight="1" x14ac:dyDescent="0.25">
      <c r="D704" s="3"/>
      <c r="E704" s="3"/>
      <c r="F704" s="3"/>
    </row>
    <row r="705" spans="4:6" ht="12.75" customHeight="1" x14ac:dyDescent="0.25">
      <c r="D705" s="3"/>
      <c r="E705" s="3"/>
      <c r="F705" s="3"/>
    </row>
    <row r="706" spans="4:6" ht="12.75" customHeight="1" x14ac:dyDescent="0.25">
      <c r="D706" s="3"/>
      <c r="E706" s="3"/>
      <c r="F706" s="3"/>
    </row>
    <row r="707" spans="4:6" ht="12.75" customHeight="1" x14ac:dyDescent="0.25">
      <c r="D707" s="3"/>
      <c r="E707" s="3"/>
      <c r="F707" s="3"/>
    </row>
    <row r="708" spans="4:6" ht="12.75" customHeight="1" x14ac:dyDescent="0.25">
      <c r="D708" s="3"/>
      <c r="E708" s="3"/>
      <c r="F708" s="3"/>
    </row>
    <row r="709" spans="4:6" ht="12.75" customHeight="1" x14ac:dyDescent="0.25">
      <c r="D709" s="3"/>
      <c r="E709" s="3"/>
      <c r="F709" s="3"/>
    </row>
    <row r="710" spans="4:6" ht="12.75" customHeight="1" x14ac:dyDescent="0.25">
      <c r="D710" s="3"/>
      <c r="E710" s="3"/>
      <c r="F710" s="3"/>
    </row>
    <row r="711" spans="4:6" ht="12.75" customHeight="1" x14ac:dyDescent="0.25">
      <c r="D711" s="3"/>
      <c r="E711" s="3"/>
      <c r="F711" s="3"/>
    </row>
    <row r="712" spans="4:6" ht="12.75" customHeight="1" x14ac:dyDescent="0.25">
      <c r="D712" s="3"/>
      <c r="E712" s="3"/>
      <c r="F712" s="3"/>
    </row>
    <row r="713" spans="4:6" ht="12.75" customHeight="1" x14ac:dyDescent="0.25">
      <c r="D713" s="3"/>
      <c r="E713" s="3"/>
      <c r="F713" s="3"/>
    </row>
    <row r="714" spans="4:6" ht="12.75" customHeight="1" x14ac:dyDescent="0.25">
      <c r="D714" s="3"/>
      <c r="E714" s="3"/>
      <c r="F714" s="3"/>
    </row>
    <row r="715" spans="4:6" ht="12.75" customHeight="1" x14ac:dyDescent="0.25">
      <c r="D715" s="3"/>
      <c r="E715" s="3"/>
      <c r="F715" s="3"/>
    </row>
    <row r="716" spans="4:6" ht="12.75" customHeight="1" x14ac:dyDescent="0.25">
      <c r="D716" s="3"/>
      <c r="E716" s="3"/>
      <c r="F716" s="3"/>
    </row>
    <row r="717" spans="4:6" ht="12.75" customHeight="1" x14ac:dyDescent="0.25">
      <c r="D717" s="3"/>
      <c r="E717" s="3"/>
      <c r="F717" s="3"/>
    </row>
    <row r="718" spans="4:6" ht="12.75" customHeight="1" x14ac:dyDescent="0.25">
      <c r="D718" s="3"/>
      <c r="E718" s="3"/>
      <c r="F718" s="3"/>
    </row>
    <row r="719" spans="4:6" ht="12.75" customHeight="1" x14ac:dyDescent="0.25">
      <c r="D719" s="3"/>
      <c r="E719" s="3"/>
      <c r="F719" s="3"/>
    </row>
    <row r="720" spans="4:6" ht="12.75" customHeight="1" x14ac:dyDescent="0.25">
      <c r="D720" s="3"/>
      <c r="E720" s="3"/>
      <c r="F720" s="3"/>
    </row>
    <row r="721" spans="4:6" ht="12.75" customHeight="1" x14ac:dyDescent="0.25">
      <c r="D721" s="3"/>
      <c r="E721" s="3"/>
      <c r="F721" s="3"/>
    </row>
    <row r="722" spans="4:6" ht="12.75" customHeight="1" x14ac:dyDescent="0.25">
      <c r="D722" s="3"/>
      <c r="E722" s="3"/>
      <c r="F722" s="3"/>
    </row>
    <row r="723" spans="4:6" ht="12.75" customHeight="1" x14ac:dyDescent="0.25">
      <c r="D723" s="3"/>
      <c r="E723" s="3"/>
      <c r="F723" s="3"/>
    </row>
    <row r="724" spans="4:6" ht="12.75" customHeight="1" x14ac:dyDescent="0.25">
      <c r="D724" s="3"/>
      <c r="E724" s="3"/>
      <c r="F724" s="3"/>
    </row>
    <row r="725" spans="4:6" ht="12.75" customHeight="1" x14ac:dyDescent="0.25">
      <c r="D725" s="3"/>
      <c r="E725" s="3"/>
      <c r="F725" s="3"/>
    </row>
    <row r="726" spans="4:6" ht="12.75" customHeight="1" x14ac:dyDescent="0.25">
      <c r="D726" s="3"/>
      <c r="E726" s="3"/>
      <c r="F726" s="3"/>
    </row>
    <row r="727" spans="4:6" ht="12.75" customHeight="1" x14ac:dyDescent="0.25">
      <c r="D727" s="3"/>
      <c r="E727" s="3"/>
      <c r="F727" s="3"/>
    </row>
    <row r="728" spans="4:6" ht="12.75" customHeight="1" x14ac:dyDescent="0.25">
      <c r="D728" s="3"/>
      <c r="E728" s="3"/>
      <c r="F728" s="3"/>
    </row>
    <row r="729" spans="4:6" ht="12.75" customHeight="1" x14ac:dyDescent="0.25">
      <c r="D729" s="3"/>
      <c r="E729" s="3"/>
      <c r="F729" s="3"/>
    </row>
    <row r="730" spans="4:6" ht="12.75" customHeight="1" x14ac:dyDescent="0.25">
      <c r="D730" s="3"/>
      <c r="E730" s="3"/>
      <c r="F730" s="3"/>
    </row>
    <row r="731" spans="4:6" ht="12.75" customHeight="1" x14ac:dyDescent="0.25">
      <c r="D731" s="3"/>
      <c r="E731" s="3"/>
      <c r="F731" s="3"/>
    </row>
    <row r="732" spans="4:6" ht="12.75" customHeight="1" x14ac:dyDescent="0.25">
      <c r="D732" s="3"/>
      <c r="E732" s="3"/>
      <c r="F732" s="3"/>
    </row>
    <row r="733" spans="4:6" ht="12.75" customHeight="1" x14ac:dyDescent="0.25">
      <c r="D733" s="3"/>
      <c r="E733" s="3"/>
      <c r="F733" s="3"/>
    </row>
    <row r="734" spans="4:6" ht="12.75" customHeight="1" x14ac:dyDescent="0.25">
      <c r="D734" s="3"/>
      <c r="E734" s="3"/>
      <c r="F734" s="3"/>
    </row>
    <row r="735" spans="4:6" ht="12.75" customHeight="1" x14ac:dyDescent="0.25">
      <c r="D735" s="3"/>
      <c r="E735" s="3"/>
      <c r="F735" s="3"/>
    </row>
    <row r="736" spans="4:6" ht="12.75" customHeight="1" x14ac:dyDescent="0.25">
      <c r="D736" s="3"/>
      <c r="E736" s="3"/>
      <c r="F736" s="3"/>
    </row>
    <row r="737" spans="4:6" ht="12.75" customHeight="1" x14ac:dyDescent="0.25">
      <c r="D737" s="3"/>
      <c r="E737" s="3"/>
      <c r="F737" s="3"/>
    </row>
    <row r="738" spans="4:6" ht="12.75" customHeight="1" x14ac:dyDescent="0.25">
      <c r="D738" s="3"/>
      <c r="E738" s="3"/>
      <c r="F738" s="3"/>
    </row>
    <row r="739" spans="4:6" ht="12.75" customHeight="1" x14ac:dyDescent="0.25">
      <c r="D739" s="3"/>
      <c r="E739" s="3"/>
      <c r="F739" s="3"/>
    </row>
    <row r="740" spans="4:6" ht="12.75" customHeight="1" x14ac:dyDescent="0.25">
      <c r="D740" s="3"/>
      <c r="E740" s="3"/>
      <c r="F740" s="3"/>
    </row>
    <row r="741" spans="4:6" ht="12.75" customHeight="1" x14ac:dyDescent="0.25">
      <c r="D741" s="3"/>
      <c r="E741" s="3"/>
      <c r="F741" s="3"/>
    </row>
    <row r="742" spans="4:6" ht="12.75" customHeight="1" x14ac:dyDescent="0.25">
      <c r="D742" s="3"/>
      <c r="E742" s="3"/>
      <c r="F742" s="3"/>
    </row>
    <row r="743" spans="4:6" ht="12.75" customHeight="1" x14ac:dyDescent="0.25">
      <c r="D743" s="3"/>
      <c r="E743" s="3"/>
      <c r="F743" s="3"/>
    </row>
    <row r="744" spans="4:6" ht="12.75" customHeight="1" x14ac:dyDescent="0.25">
      <c r="D744" s="3"/>
      <c r="E744" s="3"/>
      <c r="F744" s="3"/>
    </row>
    <row r="745" spans="4:6" ht="12.75" customHeight="1" x14ac:dyDescent="0.25">
      <c r="D745" s="3"/>
      <c r="E745" s="3"/>
      <c r="F745" s="3"/>
    </row>
    <row r="746" spans="4:6" ht="12.75" customHeight="1" x14ac:dyDescent="0.25">
      <c r="D746" s="3"/>
      <c r="E746" s="3"/>
      <c r="F746" s="3"/>
    </row>
    <row r="747" spans="4:6" ht="12.75" customHeight="1" x14ac:dyDescent="0.25">
      <c r="D747" s="3"/>
      <c r="E747" s="3"/>
      <c r="F747" s="3"/>
    </row>
    <row r="748" spans="4:6" ht="12.75" customHeight="1" x14ac:dyDescent="0.25">
      <c r="D748" s="3"/>
      <c r="E748" s="3"/>
      <c r="F748" s="3"/>
    </row>
    <row r="749" spans="4:6" ht="12.75" customHeight="1" x14ac:dyDescent="0.25">
      <c r="D749" s="3"/>
      <c r="E749" s="3"/>
      <c r="F749" s="3"/>
    </row>
    <row r="750" spans="4:6" ht="12.75" customHeight="1" x14ac:dyDescent="0.25">
      <c r="D750" s="3"/>
      <c r="E750" s="3"/>
      <c r="F750" s="3"/>
    </row>
    <row r="751" spans="4:6" ht="12.75" customHeight="1" x14ac:dyDescent="0.25">
      <c r="D751" s="3"/>
      <c r="E751" s="3"/>
      <c r="F751" s="3"/>
    </row>
    <row r="752" spans="4:6" ht="12.75" customHeight="1" x14ac:dyDescent="0.25">
      <c r="D752" s="3"/>
      <c r="E752" s="3"/>
      <c r="F752" s="3"/>
    </row>
    <row r="753" spans="4:6" ht="12.75" customHeight="1" x14ac:dyDescent="0.25">
      <c r="D753" s="3"/>
      <c r="E753" s="3"/>
      <c r="F753" s="3"/>
    </row>
    <row r="754" spans="4:6" ht="12.75" customHeight="1" x14ac:dyDescent="0.25">
      <c r="D754" s="3"/>
      <c r="E754" s="3"/>
      <c r="F754" s="3"/>
    </row>
    <row r="755" spans="4:6" ht="12.75" customHeight="1" x14ac:dyDescent="0.25">
      <c r="D755" s="3"/>
      <c r="E755" s="3"/>
      <c r="F755" s="3"/>
    </row>
    <row r="756" spans="4:6" ht="12.75" customHeight="1" x14ac:dyDescent="0.25">
      <c r="D756" s="3"/>
      <c r="E756" s="3"/>
      <c r="F756" s="3"/>
    </row>
    <row r="757" spans="4:6" ht="12.75" customHeight="1" x14ac:dyDescent="0.25">
      <c r="D757" s="3"/>
      <c r="E757" s="3"/>
      <c r="F757" s="3"/>
    </row>
    <row r="758" spans="4:6" ht="12.75" customHeight="1" x14ac:dyDescent="0.25">
      <c r="D758" s="3"/>
      <c r="E758" s="3"/>
      <c r="F758" s="3"/>
    </row>
    <row r="759" spans="4:6" ht="12.75" customHeight="1" x14ac:dyDescent="0.25">
      <c r="D759" s="3"/>
      <c r="E759" s="3"/>
      <c r="F759" s="3"/>
    </row>
    <row r="760" spans="4:6" ht="12.75" customHeight="1" x14ac:dyDescent="0.25">
      <c r="D760" s="3"/>
      <c r="E760" s="3"/>
      <c r="F760" s="3"/>
    </row>
    <row r="761" spans="4:6" ht="12.75" customHeight="1" x14ac:dyDescent="0.25">
      <c r="D761" s="3"/>
      <c r="E761" s="3"/>
      <c r="F761" s="3"/>
    </row>
    <row r="762" spans="4:6" ht="12.75" customHeight="1" x14ac:dyDescent="0.25">
      <c r="D762" s="3"/>
      <c r="E762" s="3"/>
      <c r="F762" s="3"/>
    </row>
    <row r="763" spans="4:6" ht="12.75" customHeight="1" x14ac:dyDescent="0.25">
      <c r="D763" s="3"/>
      <c r="E763" s="3"/>
      <c r="F763" s="3"/>
    </row>
    <row r="764" spans="4:6" ht="12.75" customHeight="1" x14ac:dyDescent="0.25">
      <c r="D764" s="3"/>
      <c r="E764" s="3"/>
      <c r="F764" s="3"/>
    </row>
    <row r="765" spans="4:6" ht="12.75" customHeight="1" x14ac:dyDescent="0.25">
      <c r="D765" s="3"/>
      <c r="E765" s="3"/>
      <c r="F765" s="3"/>
    </row>
    <row r="766" spans="4:6" ht="12.75" customHeight="1" x14ac:dyDescent="0.25">
      <c r="D766" s="3"/>
      <c r="E766" s="3"/>
      <c r="F766" s="3"/>
    </row>
    <row r="767" spans="4:6" ht="12.75" customHeight="1" x14ac:dyDescent="0.25">
      <c r="D767" s="3"/>
      <c r="E767" s="3"/>
      <c r="F767" s="3"/>
    </row>
    <row r="768" spans="4:6" ht="12.75" customHeight="1" x14ac:dyDescent="0.25">
      <c r="D768" s="3"/>
      <c r="E768" s="3"/>
      <c r="F768" s="3"/>
    </row>
    <row r="769" spans="4:6" ht="12.75" customHeight="1" x14ac:dyDescent="0.25">
      <c r="D769" s="3"/>
      <c r="E769" s="3"/>
      <c r="F769" s="3"/>
    </row>
    <row r="770" spans="4:6" ht="12.75" customHeight="1" x14ac:dyDescent="0.25">
      <c r="D770" s="3"/>
      <c r="E770" s="3"/>
      <c r="F770" s="3"/>
    </row>
    <row r="771" spans="4:6" ht="12.75" customHeight="1" x14ac:dyDescent="0.25">
      <c r="D771" s="3"/>
      <c r="E771" s="3"/>
      <c r="F771" s="3"/>
    </row>
    <row r="772" spans="4:6" ht="12.75" customHeight="1" x14ac:dyDescent="0.25">
      <c r="D772" s="3"/>
      <c r="E772" s="3"/>
      <c r="F772" s="3"/>
    </row>
    <row r="773" spans="4:6" ht="12.75" customHeight="1" x14ac:dyDescent="0.25">
      <c r="D773" s="3"/>
      <c r="E773" s="3"/>
      <c r="F773" s="3"/>
    </row>
    <row r="774" spans="4:6" ht="12.75" customHeight="1" x14ac:dyDescent="0.25">
      <c r="D774" s="3"/>
      <c r="E774" s="3"/>
      <c r="F774" s="3"/>
    </row>
    <row r="775" spans="4:6" ht="12.75" customHeight="1" x14ac:dyDescent="0.25">
      <c r="D775" s="3"/>
      <c r="E775" s="3"/>
      <c r="F775" s="3"/>
    </row>
    <row r="776" spans="4:6" ht="12.75" customHeight="1" x14ac:dyDescent="0.25">
      <c r="D776" s="3"/>
      <c r="E776" s="3"/>
      <c r="F776" s="3"/>
    </row>
    <row r="777" spans="4:6" ht="12.75" customHeight="1" x14ac:dyDescent="0.25">
      <c r="D777" s="3"/>
      <c r="E777" s="3"/>
      <c r="F777" s="3"/>
    </row>
    <row r="778" spans="4:6" ht="12.75" customHeight="1" x14ac:dyDescent="0.25">
      <c r="D778" s="3"/>
      <c r="E778" s="3"/>
      <c r="F778" s="3"/>
    </row>
    <row r="779" spans="4:6" ht="12.75" customHeight="1" x14ac:dyDescent="0.25">
      <c r="D779" s="3"/>
      <c r="E779" s="3"/>
      <c r="F779" s="3"/>
    </row>
    <row r="780" spans="4:6" ht="12.75" customHeight="1" x14ac:dyDescent="0.25">
      <c r="D780" s="3"/>
      <c r="E780" s="3"/>
      <c r="F780" s="3"/>
    </row>
    <row r="781" spans="4:6" ht="12.75" customHeight="1" x14ac:dyDescent="0.25">
      <c r="D781" s="3"/>
      <c r="E781" s="3"/>
      <c r="F781" s="3"/>
    </row>
    <row r="782" spans="4:6" ht="12.75" customHeight="1" x14ac:dyDescent="0.25">
      <c r="D782" s="3"/>
      <c r="E782" s="3"/>
      <c r="F782" s="3"/>
    </row>
    <row r="783" spans="4:6" ht="12.75" customHeight="1" x14ac:dyDescent="0.25">
      <c r="D783" s="3"/>
      <c r="E783" s="3"/>
      <c r="F783" s="3"/>
    </row>
    <row r="784" spans="4:6" ht="12.75" customHeight="1" x14ac:dyDescent="0.25">
      <c r="D784" s="3"/>
      <c r="E784" s="3"/>
      <c r="F784" s="3"/>
    </row>
    <row r="785" spans="4:6" ht="12.75" customHeight="1" x14ac:dyDescent="0.25">
      <c r="D785" s="3"/>
      <c r="E785" s="3"/>
      <c r="F785" s="3"/>
    </row>
    <row r="786" spans="4:6" ht="12.75" customHeight="1" x14ac:dyDescent="0.25">
      <c r="D786" s="3"/>
      <c r="E786" s="3"/>
      <c r="F786" s="3"/>
    </row>
    <row r="787" spans="4:6" ht="12.75" customHeight="1" x14ac:dyDescent="0.25">
      <c r="D787" s="3"/>
      <c r="E787" s="3"/>
      <c r="F787" s="3"/>
    </row>
    <row r="788" spans="4:6" ht="12.75" customHeight="1" x14ac:dyDescent="0.25">
      <c r="D788" s="3"/>
      <c r="E788" s="3"/>
      <c r="F788" s="3"/>
    </row>
    <row r="789" spans="4:6" ht="12.75" customHeight="1" x14ac:dyDescent="0.25">
      <c r="D789" s="3"/>
      <c r="E789" s="3"/>
      <c r="F789" s="3"/>
    </row>
    <row r="790" spans="4:6" ht="12.75" customHeight="1" x14ac:dyDescent="0.25">
      <c r="D790" s="3"/>
      <c r="E790" s="3"/>
      <c r="F790" s="3"/>
    </row>
    <row r="791" spans="4:6" ht="12.75" customHeight="1" x14ac:dyDescent="0.25">
      <c r="D791" s="3"/>
      <c r="E791" s="3"/>
      <c r="F791" s="3"/>
    </row>
    <row r="792" spans="4:6" ht="12.75" customHeight="1" x14ac:dyDescent="0.25">
      <c r="D792" s="3"/>
      <c r="E792" s="3"/>
      <c r="F792" s="3"/>
    </row>
    <row r="793" spans="4:6" ht="12.75" customHeight="1" x14ac:dyDescent="0.25">
      <c r="D793" s="3"/>
      <c r="E793" s="3"/>
      <c r="F793" s="3"/>
    </row>
    <row r="794" spans="4:6" ht="12.75" customHeight="1" x14ac:dyDescent="0.25">
      <c r="D794" s="3"/>
      <c r="E794" s="3"/>
      <c r="F794" s="3"/>
    </row>
    <row r="795" spans="4:6" ht="12.75" customHeight="1" x14ac:dyDescent="0.25">
      <c r="D795" s="3"/>
      <c r="E795" s="3"/>
      <c r="F795" s="3"/>
    </row>
    <row r="796" spans="4:6" ht="12.75" customHeight="1" x14ac:dyDescent="0.25">
      <c r="D796" s="3"/>
      <c r="E796" s="3"/>
      <c r="F796" s="3"/>
    </row>
    <row r="797" spans="4:6" ht="12.75" customHeight="1" x14ac:dyDescent="0.25">
      <c r="D797" s="3"/>
      <c r="E797" s="3"/>
      <c r="F797" s="3"/>
    </row>
    <row r="798" spans="4:6" ht="12.75" customHeight="1" x14ac:dyDescent="0.25">
      <c r="D798" s="3"/>
      <c r="E798" s="3"/>
      <c r="F798" s="3"/>
    </row>
    <row r="799" spans="4:6" ht="12.75" customHeight="1" x14ac:dyDescent="0.25">
      <c r="D799" s="3"/>
      <c r="E799" s="3"/>
      <c r="F799" s="3"/>
    </row>
    <row r="800" spans="4:6" ht="12.75" customHeight="1" x14ac:dyDescent="0.25">
      <c r="D800" s="3"/>
      <c r="E800" s="3"/>
      <c r="F800" s="3"/>
    </row>
    <row r="801" spans="4:6" ht="12.75" customHeight="1" x14ac:dyDescent="0.25">
      <c r="D801" s="3"/>
      <c r="E801" s="3"/>
      <c r="F801" s="3"/>
    </row>
    <row r="802" spans="4:6" ht="12.75" customHeight="1" x14ac:dyDescent="0.25">
      <c r="D802" s="3"/>
      <c r="E802" s="3"/>
      <c r="F802" s="3"/>
    </row>
    <row r="803" spans="4:6" ht="12.75" customHeight="1" x14ac:dyDescent="0.25">
      <c r="D803" s="3"/>
      <c r="E803" s="3"/>
      <c r="F803" s="3"/>
    </row>
    <row r="804" spans="4:6" ht="12.75" customHeight="1" x14ac:dyDescent="0.25">
      <c r="D804" s="3"/>
      <c r="E804" s="3"/>
      <c r="F804" s="3"/>
    </row>
    <row r="805" spans="4:6" ht="12.75" customHeight="1" x14ac:dyDescent="0.25">
      <c r="D805" s="3"/>
      <c r="E805" s="3"/>
      <c r="F805" s="3"/>
    </row>
    <row r="806" spans="4:6" ht="12.75" customHeight="1" x14ac:dyDescent="0.25">
      <c r="D806" s="3"/>
      <c r="E806" s="3"/>
      <c r="F806" s="3"/>
    </row>
    <row r="807" spans="4:6" ht="12.75" customHeight="1" x14ac:dyDescent="0.25">
      <c r="D807" s="3"/>
      <c r="E807" s="3"/>
      <c r="F807" s="3"/>
    </row>
    <row r="808" spans="4:6" ht="12.75" customHeight="1" x14ac:dyDescent="0.25">
      <c r="D808" s="3"/>
      <c r="E808" s="3"/>
      <c r="F808" s="3"/>
    </row>
    <row r="809" spans="4:6" ht="12.75" customHeight="1" x14ac:dyDescent="0.25">
      <c r="D809" s="3"/>
      <c r="E809" s="3"/>
      <c r="F809" s="3"/>
    </row>
    <row r="810" spans="4:6" ht="12.75" customHeight="1" x14ac:dyDescent="0.25">
      <c r="D810" s="3"/>
      <c r="E810" s="3"/>
      <c r="F810" s="3"/>
    </row>
    <row r="811" spans="4:6" ht="12.75" customHeight="1" x14ac:dyDescent="0.25">
      <c r="D811" s="3"/>
      <c r="E811" s="3"/>
      <c r="F811" s="3"/>
    </row>
    <row r="812" spans="4:6" ht="12.75" customHeight="1" x14ac:dyDescent="0.25">
      <c r="D812" s="3"/>
      <c r="E812" s="3"/>
      <c r="F812" s="3"/>
    </row>
    <row r="813" spans="4:6" ht="12.75" customHeight="1" x14ac:dyDescent="0.25">
      <c r="D813" s="3"/>
      <c r="E813" s="3"/>
      <c r="F813" s="3"/>
    </row>
    <row r="814" spans="4:6" ht="12.75" customHeight="1" x14ac:dyDescent="0.25">
      <c r="D814" s="3"/>
      <c r="E814" s="3"/>
      <c r="F814" s="3"/>
    </row>
    <row r="815" spans="4:6" ht="12.75" customHeight="1" x14ac:dyDescent="0.25">
      <c r="D815" s="3"/>
      <c r="E815" s="3"/>
      <c r="F815" s="3"/>
    </row>
    <row r="816" spans="4:6" ht="12.75" customHeight="1" x14ac:dyDescent="0.25">
      <c r="D816" s="3"/>
      <c r="E816" s="3"/>
      <c r="F816" s="3"/>
    </row>
    <row r="817" spans="4:6" ht="12.75" customHeight="1" x14ac:dyDescent="0.25">
      <c r="D817" s="3"/>
      <c r="E817" s="3"/>
      <c r="F817" s="3"/>
    </row>
    <row r="818" spans="4:6" ht="12.75" customHeight="1" x14ac:dyDescent="0.25">
      <c r="D818" s="3"/>
      <c r="E818" s="3"/>
      <c r="F818" s="3"/>
    </row>
    <row r="819" spans="4:6" ht="12.75" customHeight="1" x14ac:dyDescent="0.25">
      <c r="D819" s="3"/>
      <c r="E819" s="3"/>
      <c r="F819" s="3"/>
    </row>
    <row r="820" spans="4:6" ht="12.75" customHeight="1" x14ac:dyDescent="0.25">
      <c r="D820" s="3"/>
      <c r="E820" s="3"/>
      <c r="F820" s="3"/>
    </row>
    <row r="821" spans="4:6" ht="12.75" customHeight="1" x14ac:dyDescent="0.25">
      <c r="D821" s="3"/>
      <c r="E821" s="3"/>
      <c r="F821" s="3"/>
    </row>
    <row r="822" spans="4:6" ht="12.75" customHeight="1" x14ac:dyDescent="0.25">
      <c r="D822" s="3"/>
      <c r="E822" s="3"/>
      <c r="F822" s="3"/>
    </row>
    <row r="823" spans="4:6" ht="12.75" customHeight="1" x14ac:dyDescent="0.25">
      <c r="D823" s="3"/>
      <c r="E823" s="3"/>
      <c r="F823" s="3"/>
    </row>
    <row r="824" spans="4:6" ht="12.75" customHeight="1" x14ac:dyDescent="0.25">
      <c r="D824" s="3"/>
      <c r="E824" s="3"/>
      <c r="F824" s="3"/>
    </row>
    <row r="825" spans="4:6" ht="12.75" customHeight="1" x14ac:dyDescent="0.25">
      <c r="D825" s="3"/>
      <c r="E825" s="3"/>
      <c r="F825" s="3"/>
    </row>
    <row r="826" spans="4:6" ht="12.75" customHeight="1" x14ac:dyDescent="0.25">
      <c r="D826" s="3"/>
      <c r="E826" s="3"/>
      <c r="F826" s="3"/>
    </row>
    <row r="827" spans="4:6" ht="12.75" customHeight="1" x14ac:dyDescent="0.25">
      <c r="D827" s="3"/>
      <c r="E827" s="3"/>
      <c r="F827" s="3"/>
    </row>
    <row r="828" spans="4:6" ht="12.75" customHeight="1" x14ac:dyDescent="0.25">
      <c r="D828" s="3"/>
      <c r="E828" s="3"/>
      <c r="F828" s="3"/>
    </row>
    <row r="829" spans="4:6" ht="12.75" customHeight="1" x14ac:dyDescent="0.25">
      <c r="D829" s="3"/>
      <c r="E829" s="3"/>
      <c r="F829" s="3"/>
    </row>
    <row r="830" spans="4:6" ht="12.75" customHeight="1" x14ac:dyDescent="0.25">
      <c r="D830" s="3"/>
      <c r="E830" s="3"/>
      <c r="F830" s="3"/>
    </row>
    <row r="831" spans="4:6" ht="12.75" customHeight="1" x14ac:dyDescent="0.25">
      <c r="D831" s="3"/>
      <c r="E831" s="3"/>
      <c r="F831" s="3"/>
    </row>
    <row r="832" spans="4:6" ht="12.75" customHeight="1" x14ac:dyDescent="0.25">
      <c r="D832" s="3"/>
      <c r="E832" s="3"/>
      <c r="F832" s="3"/>
    </row>
    <row r="833" spans="4:6" ht="12.75" customHeight="1" x14ac:dyDescent="0.25">
      <c r="D833" s="3"/>
      <c r="E833" s="3"/>
      <c r="F833" s="3"/>
    </row>
    <row r="834" spans="4:6" ht="12.75" customHeight="1" x14ac:dyDescent="0.25">
      <c r="D834" s="3"/>
      <c r="E834" s="3"/>
      <c r="F834" s="3"/>
    </row>
    <row r="835" spans="4:6" ht="12.75" customHeight="1" x14ac:dyDescent="0.25">
      <c r="D835" s="3"/>
      <c r="E835" s="3"/>
      <c r="F835" s="3"/>
    </row>
    <row r="836" spans="4:6" ht="12.75" customHeight="1" x14ac:dyDescent="0.25">
      <c r="D836" s="3"/>
      <c r="E836" s="3"/>
      <c r="F836" s="3"/>
    </row>
    <row r="837" spans="4:6" ht="12.75" customHeight="1" x14ac:dyDescent="0.25">
      <c r="D837" s="3"/>
      <c r="E837" s="3"/>
      <c r="F837" s="3"/>
    </row>
    <row r="838" spans="4:6" ht="12.75" customHeight="1" x14ac:dyDescent="0.25">
      <c r="D838" s="3"/>
      <c r="E838" s="3"/>
      <c r="F838" s="3"/>
    </row>
    <row r="839" spans="4:6" ht="12.75" customHeight="1" x14ac:dyDescent="0.25">
      <c r="D839" s="3"/>
      <c r="E839" s="3"/>
      <c r="F839" s="3"/>
    </row>
    <row r="840" spans="4:6" ht="12.75" customHeight="1" x14ac:dyDescent="0.25">
      <c r="D840" s="3"/>
      <c r="E840" s="3"/>
      <c r="F840" s="3"/>
    </row>
    <row r="841" spans="4:6" ht="12.75" customHeight="1" x14ac:dyDescent="0.25">
      <c r="D841" s="3"/>
      <c r="E841" s="3"/>
      <c r="F841" s="3"/>
    </row>
    <row r="842" spans="4:6" ht="12.75" customHeight="1" x14ac:dyDescent="0.25">
      <c r="D842" s="3"/>
      <c r="E842" s="3"/>
      <c r="F842" s="3"/>
    </row>
    <row r="843" spans="4:6" ht="12.75" customHeight="1" x14ac:dyDescent="0.25">
      <c r="D843" s="3"/>
      <c r="E843" s="3"/>
      <c r="F843" s="3"/>
    </row>
    <row r="844" spans="4:6" ht="12.75" customHeight="1" x14ac:dyDescent="0.25">
      <c r="D844" s="3"/>
      <c r="E844" s="3"/>
      <c r="F844" s="3"/>
    </row>
    <row r="845" spans="4:6" ht="12.75" customHeight="1" x14ac:dyDescent="0.25">
      <c r="D845" s="3"/>
      <c r="E845" s="3"/>
      <c r="F845" s="3"/>
    </row>
    <row r="846" spans="4:6" ht="12.75" customHeight="1" x14ac:dyDescent="0.25">
      <c r="D846" s="3"/>
      <c r="E846" s="3"/>
      <c r="F846" s="3"/>
    </row>
    <row r="847" spans="4:6" ht="12.75" customHeight="1" x14ac:dyDescent="0.25">
      <c r="D847" s="3"/>
      <c r="E847" s="3"/>
      <c r="F847" s="3"/>
    </row>
    <row r="848" spans="4:6" ht="12.75" customHeight="1" x14ac:dyDescent="0.25">
      <c r="D848" s="3"/>
      <c r="E848" s="3"/>
      <c r="F848" s="3"/>
    </row>
    <row r="849" spans="4:6" ht="12.75" customHeight="1" x14ac:dyDescent="0.25">
      <c r="D849" s="3"/>
      <c r="E849" s="3"/>
      <c r="F849" s="3"/>
    </row>
    <row r="850" spans="4:6" ht="12.75" customHeight="1" x14ac:dyDescent="0.25">
      <c r="D850" s="3"/>
      <c r="E850" s="3"/>
      <c r="F850" s="3"/>
    </row>
    <row r="851" spans="4:6" ht="12.75" customHeight="1" x14ac:dyDescent="0.25">
      <c r="D851" s="3"/>
      <c r="E851" s="3"/>
      <c r="F851" s="3"/>
    </row>
    <row r="852" spans="4:6" ht="12.75" customHeight="1" x14ac:dyDescent="0.25">
      <c r="D852" s="3"/>
      <c r="E852" s="3"/>
      <c r="F852" s="3"/>
    </row>
    <row r="853" spans="4:6" ht="12.75" customHeight="1" x14ac:dyDescent="0.25">
      <c r="D853" s="3"/>
      <c r="E853" s="3"/>
      <c r="F853" s="3"/>
    </row>
    <row r="854" spans="4:6" ht="12.75" customHeight="1" x14ac:dyDescent="0.25">
      <c r="D854" s="3"/>
      <c r="E854" s="3"/>
      <c r="F854" s="3"/>
    </row>
    <row r="855" spans="4:6" ht="12.75" customHeight="1" x14ac:dyDescent="0.25">
      <c r="D855" s="3"/>
      <c r="E855" s="3"/>
      <c r="F855" s="3"/>
    </row>
    <row r="856" spans="4:6" ht="12.75" customHeight="1" x14ac:dyDescent="0.25">
      <c r="D856" s="3"/>
      <c r="E856" s="3"/>
      <c r="F856" s="3"/>
    </row>
    <row r="857" spans="4:6" ht="12.75" customHeight="1" x14ac:dyDescent="0.25">
      <c r="D857" s="3"/>
      <c r="E857" s="3"/>
      <c r="F857" s="3"/>
    </row>
    <row r="858" spans="4:6" ht="12.75" customHeight="1" x14ac:dyDescent="0.25">
      <c r="D858" s="3"/>
      <c r="E858" s="3"/>
      <c r="F858" s="3"/>
    </row>
    <row r="859" spans="4:6" ht="12.75" customHeight="1" x14ac:dyDescent="0.25">
      <c r="D859" s="3"/>
      <c r="E859" s="3"/>
      <c r="F859" s="3"/>
    </row>
    <row r="860" spans="4:6" ht="12.75" customHeight="1" x14ac:dyDescent="0.25">
      <c r="D860" s="3"/>
      <c r="E860" s="3"/>
      <c r="F860" s="3"/>
    </row>
    <row r="861" spans="4:6" ht="12.75" customHeight="1" x14ac:dyDescent="0.25">
      <c r="D861" s="3"/>
      <c r="E861" s="3"/>
      <c r="F861" s="3"/>
    </row>
    <row r="862" spans="4:6" ht="12.75" customHeight="1" x14ac:dyDescent="0.25">
      <c r="D862" s="3"/>
      <c r="E862" s="3"/>
      <c r="F862" s="3"/>
    </row>
    <row r="863" spans="4:6" ht="12.75" customHeight="1" x14ac:dyDescent="0.25">
      <c r="D863" s="3"/>
      <c r="E863" s="3"/>
      <c r="F863" s="3"/>
    </row>
    <row r="864" spans="4:6" ht="12.75" customHeight="1" x14ac:dyDescent="0.25">
      <c r="D864" s="3"/>
      <c r="E864" s="3"/>
      <c r="F864" s="3"/>
    </row>
    <row r="865" spans="4:6" ht="12.75" customHeight="1" x14ac:dyDescent="0.25">
      <c r="D865" s="3"/>
      <c r="E865" s="3"/>
      <c r="F865" s="3"/>
    </row>
    <row r="866" spans="4:6" ht="12.75" customHeight="1" x14ac:dyDescent="0.25">
      <c r="D866" s="3"/>
      <c r="E866" s="3"/>
      <c r="F866" s="3"/>
    </row>
    <row r="867" spans="4:6" ht="12.75" customHeight="1" x14ac:dyDescent="0.25">
      <c r="D867" s="3"/>
      <c r="E867" s="3"/>
      <c r="F867" s="3"/>
    </row>
    <row r="868" spans="4:6" ht="12.75" customHeight="1" x14ac:dyDescent="0.25">
      <c r="D868" s="3"/>
      <c r="E868" s="3"/>
      <c r="F868" s="3"/>
    </row>
    <row r="869" spans="4:6" ht="12.75" customHeight="1" x14ac:dyDescent="0.25">
      <c r="D869" s="3"/>
      <c r="E869" s="3"/>
      <c r="F869" s="3"/>
    </row>
    <row r="870" spans="4:6" ht="12.75" customHeight="1" x14ac:dyDescent="0.25">
      <c r="D870" s="3"/>
      <c r="E870" s="3"/>
      <c r="F870" s="3"/>
    </row>
    <row r="871" spans="4:6" ht="12.75" customHeight="1" x14ac:dyDescent="0.25">
      <c r="D871" s="3"/>
      <c r="E871" s="3"/>
      <c r="F871" s="3"/>
    </row>
    <row r="872" spans="4:6" ht="12.75" customHeight="1" x14ac:dyDescent="0.25">
      <c r="D872" s="3"/>
      <c r="E872" s="3"/>
      <c r="F872" s="3"/>
    </row>
    <row r="873" spans="4:6" ht="12.75" customHeight="1" x14ac:dyDescent="0.25">
      <c r="D873" s="3"/>
      <c r="E873" s="3"/>
      <c r="F873" s="3"/>
    </row>
    <row r="874" spans="4:6" ht="12.75" customHeight="1" x14ac:dyDescent="0.25">
      <c r="D874" s="3"/>
      <c r="E874" s="3"/>
      <c r="F874" s="3"/>
    </row>
    <row r="875" spans="4:6" ht="12.75" customHeight="1" x14ac:dyDescent="0.25">
      <c r="D875" s="3"/>
      <c r="E875" s="3"/>
      <c r="F875" s="3"/>
    </row>
    <row r="876" spans="4:6" ht="12.75" customHeight="1" x14ac:dyDescent="0.25">
      <c r="D876" s="3"/>
      <c r="E876" s="3"/>
      <c r="F876" s="3"/>
    </row>
    <row r="877" spans="4:6" ht="12.75" customHeight="1" x14ac:dyDescent="0.25">
      <c r="D877" s="3"/>
      <c r="E877" s="3"/>
      <c r="F877" s="3"/>
    </row>
    <row r="878" spans="4:6" ht="12.75" customHeight="1" x14ac:dyDescent="0.25">
      <c r="D878" s="3"/>
      <c r="E878" s="3"/>
      <c r="F878" s="3"/>
    </row>
    <row r="879" spans="4:6" ht="12.75" customHeight="1" x14ac:dyDescent="0.25">
      <c r="D879" s="3"/>
      <c r="E879" s="3"/>
      <c r="F879" s="3"/>
    </row>
    <row r="880" spans="4:6" ht="12.75" customHeight="1" x14ac:dyDescent="0.25">
      <c r="D880" s="3"/>
      <c r="E880" s="3"/>
      <c r="F880" s="3"/>
    </row>
    <row r="881" spans="4:6" ht="12.75" customHeight="1" x14ac:dyDescent="0.25">
      <c r="D881" s="3"/>
      <c r="E881" s="3"/>
      <c r="F881" s="3"/>
    </row>
    <row r="882" spans="4:6" ht="12.75" customHeight="1" x14ac:dyDescent="0.25">
      <c r="D882" s="3"/>
      <c r="E882" s="3"/>
      <c r="F882" s="3"/>
    </row>
    <row r="883" spans="4:6" ht="12.75" customHeight="1" x14ac:dyDescent="0.25">
      <c r="D883" s="3"/>
      <c r="E883" s="3"/>
      <c r="F883" s="3"/>
    </row>
    <row r="884" spans="4:6" ht="12.75" customHeight="1" x14ac:dyDescent="0.25">
      <c r="D884" s="3"/>
      <c r="E884" s="3"/>
      <c r="F884" s="3"/>
    </row>
    <row r="885" spans="4:6" ht="12.75" customHeight="1" x14ac:dyDescent="0.25">
      <c r="D885" s="3"/>
      <c r="E885" s="3"/>
      <c r="F885" s="3"/>
    </row>
    <row r="886" spans="4:6" ht="12.75" customHeight="1" x14ac:dyDescent="0.25">
      <c r="D886" s="3"/>
      <c r="E886" s="3"/>
      <c r="F886" s="3"/>
    </row>
    <row r="887" spans="4:6" ht="12.75" customHeight="1" x14ac:dyDescent="0.25">
      <c r="D887" s="3"/>
      <c r="E887" s="3"/>
      <c r="F887" s="3"/>
    </row>
    <row r="888" spans="4:6" ht="12.75" customHeight="1" x14ac:dyDescent="0.25">
      <c r="D888" s="3"/>
      <c r="E888" s="3"/>
      <c r="F888" s="3"/>
    </row>
    <row r="889" spans="4:6" ht="12.75" customHeight="1" x14ac:dyDescent="0.25">
      <c r="D889" s="3"/>
      <c r="E889" s="3"/>
      <c r="F889" s="3"/>
    </row>
    <row r="890" spans="4:6" ht="12.75" customHeight="1" x14ac:dyDescent="0.25">
      <c r="D890" s="3"/>
      <c r="E890" s="3"/>
      <c r="F890" s="3"/>
    </row>
    <row r="891" spans="4:6" ht="12.75" customHeight="1" x14ac:dyDescent="0.25">
      <c r="D891" s="3"/>
      <c r="E891" s="3"/>
      <c r="F891" s="3"/>
    </row>
    <row r="892" spans="4:6" ht="12.75" customHeight="1" x14ac:dyDescent="0.25">
      <c r="D892" s="3"/>
      <c r="E892" s="3"/>
      <c r="F892" s="3"/>
    </row>
    <row r="893" spans="4:6" ht="12.75" customHeight="1" x14ac:dyDescent="0.25">
      <c r="D893" s="3"/>
      <c r="E893" s="3"/>
      <c r="F893" s="3"/>
    </row>
    <row r="894" spans="4:6" ht="12.75" customHeight="1" x14ac:dyDescent="0.25">
      <c r="D894" s="3"/>
      <c r="E894" s="3"/>
      <c r="F894" s="3"/>
    </row>
    <row r="895" spans="4:6" ht="12.75" customHeight="1" x14ac:dyDescent="0.25">
      <c r="D895" s="3"/>
      <c r="E895" s="3"/>
      <c r="F895" s="3"/>
    </row>
    <row r="896" spans="4:6" ht="12.75" customHeight="1" x14ac:dyDescent="0.25">
      <c r="D896" s="3"/>
      <c r="E896" s="3"/>
      <c r="F896" s="3"/>
    </row>
    <row r="897" spans="4:6" ht="12.75" customHeight="1" x14ac:dyDescent="0.25">
      <c r="D897" s="3"/>
      <c r="E897" s="3"/>
      <c r="F897" s="3"/>
    </row>
    <row r="898" spans="4:6" ht="12.75" customHeight="1" x14ac:dyDescent="0.25">
      <c r="D898" s="3"/>
      <c r="E898" s="3"/>
      <c r="F898" s="3"/>
    </row>
    <row r="899" spans="4:6" ht="12.75" customHeight="1" x14ac:dyDescent="0.25">
      <c r="D899" s="3"/>
      <c r="E899" s="3"/>
      <c r="F899" s="3"/>
    </row>
    <row r="900" spans="4:6" ht="12.75" customHeight="1" x14ac:dyDescent="0.25">
      <c r="D900" s="3"/>
      <c r="E900" s="3"/>
      <c r="F900" s="3"/>
    </row>
    <row r="901" spans="4:6" ht="12.75" customHeight="1" x14ac:dyDescent="0.25">
      <c r="D901" s="3"/>
      <c r="E901" s="3"/>
      <c r="F901" s="3"/>
    </row>
    <row r="902" spans="4:6" ht="12.75" customHeight="1" x14ac:dyDescent="0.25">
      <c r="D902" s="3"/>
      <c r="E902" s="3"/>
      <c r="F902" s="3"/>
    </row>
    <row r="903" spans="4:6" ht="12.75" customHeight="1" x14ac:dyDescent="0.25">
      <c r="D903" s="3"/>
      <c r="E903" s="3"/>
      <c r="F903" s="3"/>
    </row>
    <row r="904" spans="4:6" ht="12.75" customHeight="1" x14ac:dyDescent="0.25">
      <c r="D904" s="3"/>
      <c r="E904" s="3"/>
      <c r="F904" s="3"/>
    </row>
    <row r="905" spans="4:6" ht="12.75" customHeight="1" x14ac:dyDescent="0.25">
      <c r="D905" s="3"/>
      <c r="E905" s="3"/>
      <c r="F905" s="3"/>
    </row>
    <row r="906" spans="4:6" ht="12.75" customHeight="1" x14ac:dyDescent="0.25">
      <c r="D906" s="3"/>
      <c r="E906" s="3"/>
      <c r="F906" s="3"/>
    </row>
    <row r="907" spans="4:6" ht="12.75" customHeight="1" x14ac:dyDescent="0.25">
      <c r="D907" s="3"/>
      <c r="E907" s="3"/>
      <c r="F907" s="3"/>
    </row>
    <row r="908" spans="4:6" ht="12.75" customHeight="1" x14ac:dyDescent="0.25">
      <c r="D908" s="3"/>
      <c r="E908" s="3"/>
      <c r="F908" s="3"/>
    </row>
    <row r="909" spans="4:6" ht="12.75" customHeight="1" x14ac:dyDescent="0.25">
      <c r="D909" s="3"/>
      <c r="E909" s="3"/>
      <c r="F909" s="3"/>
    </row>
    <row r="910" spans="4:6" ht="12.75" customHeight="1" x14ac:dyDescent="0.25">
      <c r="D910" s="3"/>
      <c r="E910" s="3"/>
      <c r="F910" s="3"/>
    </row>
    <row r="911" spans="4:6" ht="12.75" customHeight="1" x14ac:dyDescent="0.25">
      <c r="D911" s="3"/>
      <c r="E911" s="3"/>
      <c r="F911" s="3"/>
    </row>
    <row r="912" spans="4:6" ht="12.75" customHeight="1" x14ac:dyDescent="0.25">
      <c r="D912" s="3"/>
      <c r="E912" s="3"/>
      <c r="F912" s="3"/>
    </row>
    <row r="913" spans="4:6" ht="12.75" customHeight="1" x14ac:dyDescent="0.25">
      <c r="D913" s="3"/>
      <c r="E913" s="3"/>
      <c r="F913" s="3"/>
    </row>
    <row r="914" spans="4:6" ht="12.75" customHeight="1" x14ac:dyDescent="0.25">
      <c r="D914" s="3"/>
      <c r="E914" s="3"/>
      <c r="F914" s="3"/>
    </row>
    <row r="915" spans="4:6" ht="12.75" customHeight="1" x14ac:dyDescent="0.25">
      <c r="D915" s="3"/>
      <c r="E915" s="3"/>
      <c r="F915" s="3"/>
    </row>
    <row r="916" spans="4:6" ht="12.75" customHeight="1" x14ac:dyDescent="0.25">
      <c r="D916" s="3"/>
      <c r="E916" s="3"/>
      <c r="F916" s="3"/>
    </row>
    <row r="917" spans="4:6" ht="12.75" customHeight="1" x14ac:dyDescent="0.25">
      <c r="D917" s="3"/>
      <c r="E917" s="3"/>
      <c r="F917" s="3"/>
    </row>
    <row r="918" spans="4:6" ht="12.75" customHeight="1" x14ac:dyDescent="0.25">
      <c r="D918" s="3"/>
      <c r="E918" s="3"/>
      <c r="F918" s="3"/>
    </row>
    <row r="919" spans="4:6" ht="12.75" customHeight="1" x14ac:dyDescent="0.25">
      <c r="D919" s="3"/>
      <c r="E919" s="3"/>
      <c r="F919" s="3"/>
    </row>
    <row r="920" spans="4:6" ht="12.75" customHeight="1" x14ac:dyDescent="0.25">
      <c r="D920" s="3"/>
      <c r="E920" s="3"/>
      <c r="F920" s="3"/>
    </row>
    <row r="921" spans="4:6" ht="12.75" customHeight="1" x14ac:dyDescent="0.25">
      <c r="D921" s="3"/>
      <c r="E921" s="3"/>
      <c r="F921" s="3"/>
    </row>
    <row r="922" spans="4:6" ht="12.75" customHeight="1" x14ac:dyDescent="0.25">
      <c r="D922" s="3"/>
      <c r="E922" s="3"/>
      <c r="F922" s="3"/>
    </row>
    <row r="923" spans="4:6" ht="12.75" customHeight="1" x14ac:dyDescent="0.25">
      <c r="D923" s="3"/>
      <c r="E923" s="3"/>
      <c r="F923" s="3"/>
    </row>
    <row r="924" spans="4:6" ht="12.75" customHeight="1" x14ac:dyDescent="0.25">
      <c r="D924" s="3"/>
      <c r="E924" s="3"/>
      <c r="F924" s="3"/>
    </row>
    <row r="925" spans="4:6" ht="12.75" customHeight="1" x14ac:dyDescent="0.25">
      <c r="D925" s="3"/>
      <c r="E925" s="3"/>
      <c r="F925" s="3"/>
    </row>
    <row r="926" spans="4:6" ht="12.75" customHeight="1" x14ac:dyDescent="0.25">
      <c r="D926" s="3"/>
      <c r="E926" s="3"/>
      <c r="F926" s="3"/>
    </row>
    <row r="927" spans="4:6" ht="12.75" customHeight="1" x14ac:dyDescent="0.25">
      <c r="D927" s="3"/>
      <c r="E927" s="3"/>
      <c r="F927" s="3"/>
    </row>
    <row r="928" spans="4:6" ht="12.75" customHeight="1" x14ac:dyDescent="0.25">
      <c r="D928" s="3"/>
      <c r="E928" s="3"/>
      <c r="F928" s="3"/>
    </row>
    <row r="929" spans="4:6" ht="12.75" customHeight="1" x14ac:dyDescent="0.25">
      <c r="D929" s="3"/>
      <c r="E929" s="3"/>
      <c r="F929" s="3"/>
    </row>
    <row r="930" spans="4:6" ht="12.75" customHeight="1" x14ac:dyDescent="0.25">
      <c r="D930" s="3"/>
      <c r="E930" s="3"/>
      <c r="F930" s="3"/>
    </row>
    <row r="931" spans="4:6" ht="12.75" customHeight="1" x14ac:dyDescent="0.25">
      <c r="D931" s="3"/>
      <c r="E931" s="3"/>
      <c r="F931" s="3"/>
    </row>
    <row r="932" spans="4:6" ht="12.75" customHeight="1" x14ac:dyDescent="0.25">
      <c r="D932" s="3"/>
      <c r="E932" s="3"/>
      <c r="F932" s="3"/>
    </row>
    <row r="933" spans="4:6" ht="12.75" customHeight="1" x14ac:dyDescent="0.25">
      <c r="D933" s="3"/>
      <c r="E933" s="3"/>
      <c r="F933" s="3"/>
    </row>
    <row r="934" spans="4:6" ht="12.75" customHeight="1" x14ac:dyDescent="0.25">
      <c r="D934" s="3"/>
      <c r="E934" s="3"/>
      <c r="F934" s="3"/>
    </row>
    <row r="935" spans="4:6" ht="12.75" customHeight="1" x14ac:dyDescent="0.25">
      <c r="D935" s="3"/>
      <c r="E935" s="3"/>
      <c r="F935" s="3"/>
    </row>
    <row r="936" spans="4:6" ht="12.75" customHeight="1" x14ac:dyDescent="0.25">
      <c r="D936" s="3"/>
      <c r="E936" s="3"/>
      <c r="F936" s="3"/>
    </row>
    <row r="937" spans="4:6" ht="12.75" customHeight="1" x14ac:dyDescent="0.25">
      <c r="D937" s="3"/>
      <c r="E937" s="3"/>
      <c r="F937" s="3"/>
    </row>
    <row r="938" spans="4:6" ht="12.75" customHeight="1" x14ac:dyDescent="0.25">
      <c r="D938" s="3"/>
      <c r="E938" s="3"/>
      <c r="F938" s="3"/>
    </row>
    <row r="939" spans="4:6" ht="12.75" customHeight="1" x14ac:dyDescent="0.25">
      <c r="D939" s="3"/>
      <c r="E939" s="3"/>
      <c r="F939" s="3"/>
    </row>
    <row r="940" spans="4:6" ht="12.75" customHeight="1" x14ac:dyDescent="0.25">
      <c r="D940" s="3"/>
      <c r="E940" s="3"/>
      <c r="F940" s="3"/>
    </row>
    <row r="941" spans="4:6" ht="12.75" customHeight="1" x14ac:dyDescent="0.25">
      <c r="D941" s="3"/>
      <c r="E941" s="3"/>
      <c r="F941" s="3"/>
    </row>
    <row r="942" spans="4:6" ht="12.75" customHeight="1" x14ac:dyDescent="0.25">
      <c r="D942" s="3"/>
      <c r="E942" s="3"/>
      <c r="F942" s="3"/>
    </row>
    <row r="943" spans="4:6" ht="12.75" customHeight="1" x14ac:dyDescent="0.25">
      <c r="D943" s="3"/>
      <c r="E943" s="3"/>
      <c r="F943" s="3"/>
    </row>
    <row r="944" spans="4:6" ht="12.75" customHeight="1" x14ac:dyDescent="0.25">
      <c r="D944" s="3"/>
      <c r="E944" s="3"/>
      <c r="F944" s="3"/>
    </row>
    <row r="945" spans="4:6" ht="12.75" customHeight="1" x14ac:dyDescent="0.25">
      <c r="D945" s="3"/>
      <c r="E945" s="3"/>
      <c r="F945" s="3"/>
    </row>
    <row r="946" spans="4:6" ht="12.75" customHeight="1" x14ac:dyDescent="0.25">
      <c r="D946" s="3"/>
      <c r="E946" s="3"/>
      <c r="F946" s="3"/>
    </row>
    <row r="947" spans="4:6" ht="12.75" customHeight="1" x14ac:dyDescent="0.25">
      <c r="D947" s="3"/>
      <c r="E947" s="3"/>
      <c r="F947" s="3"/>
    </row>
    <row r="948" spans="4:6" ht="12.75" customHeight="1" x14ac:dyDescent="0.25">
      <c r="D948" s="3"/>
      <c r="E948" s="3"/>
      <c r="F948" s="3"/>
    </row>
    <row r="949" spans="4:6" ht="12.75" customHeight="1" x14ac:dyDescent="0.25">
      <c r="D949" s="3"/>
      <c r="E949" s="3"/>
      <c r="F949" s="3"/>
    </row>
    <row r="950" spans="4:6" ht="12.75" customHeight="1" x14ac:dyDescent="0.25">
      <c r="D950" s="3"/>
      <c r="E950" s="3"/>
      <c r="F950" s="3"/>
    </row>
    <row r="951" spans="4:6" ht="12.75" customHeight="1" x14ac:dyDescent="0.25">
      <c r="D951" s="3"/>
      <c r="E951" s="3"/>
      <c r="F951" s="3"/>
    </row>
    <row r="952" spans="4:6" ht="12.75" customHeight="1" x14ac:dyDescent="0.25">
      <c r="D952" s="3"/>
      <c r="E952" s="3"/>
      <c r="F952" s="3"/>
    </row>
    <row r="953" spans="4:6" ht="12.75" customHeight="1" x14ac:dyDescent="0.25">
      <c r="D953" s="3"/>
      <c r="E953" s="3"/>
      <c r="F953" s="3"/>
    </row>
    <row r="954" spans="4:6" ht="12.75" customHeight="1" x14ac:dyDescent="0.25">
      <c r="D954" s="3"/>
      <c r="E954" s="3"/>
      <c r="F954" s="3"/>
    </row>
    <row r="955" spans="4:6" ht="12.75" customHeight="1" x14ac:dyDescent="0.25">
      <c r="D955" s="3"/>
      <c r="E955" s="3"/>
      <c r="F955" s="3"/>
    </row>
    <row r="956" spans="4:6" ht="12.75" customHeight="1" x14ac:dyDescent="0.25">
      <c r="D956" s="3"/>
      <c r="E956" s="3"/>
      <c r="F956" s="3"/>
    </row>
    <row r="957" spans="4:6" ht="12.75" customHeight="1" x14ac:dyDescent="0.25">
      <c r="D957" s="3"/>
      <c r="E957" s="3"/>
      <c r="F957" s="3"/>
    </row>
    <row r="958" spans="4:6" ht="12.75" customHeight="1" x14ac:dyDescent="0.25">
      <c r="D958" s="3"/>
      <c r="E958" s="3"/>
      <c r="F958" s="3"/>
    </row>
    <row r="959" spans="4:6" ht="12.75" customHeight="1" x14ac:dyDescent="0.25">
      <c r="D959" s="3"/>
      <c r="E959" s="3"/>
      <c r="F959" s="3"/>
    </row>
    <row r="960" spans="4:6" ht="12.75" customHeight="1" x14ac:dyDescent="0.25">
      <c r="D960" s="3"/>
      <c r="E960" s="3"/>
      <c r="F960" s="3"/>
    </row>
    <row r="961" spans="4:6" ht="12.75" customHeight="1" x14ac:dyDescent="0.25">
      <c r="D961" s="3"/>
      <c r="E961" s="3"/>
      <c r="F961" s="3"/>
    </row>
    <row r="962" spans="4:6" ht="12.75" customHeight="1" x14ac:dyDescent="0.25">
      <c r="D962" s="3"/>
      <c r="E962" s="3"/>
      <c r="F962" s="3"/>
    </row>
    <row r="963" spans="4:6" ht="12.75" customHeight="1" x14ac:dyDescent="0.25">
      <c r="D963" s="3"/>
      <c r="E963" s="3"/>
      <c r="F963" s="3"/>
    </row>
    <row r="964" spans="4:6" ht="12.75" customHeight="1" x14ac:dyDescent="0.25">
      <c r="D964" s="3"/>
      <c r="E964" s="3"/>
      <c r="F964" s="3"/>
    </row>
    <row r="965" spans="4:6" ht="12.75" customHeight="1" x14ac:dyDescent="0.25">
      <c r="D965" s="3"/>
      <c r="E965" s="3"/>
      <c r="F965" s="3"/>
    </row>
    <row r="966" spans="4:6" ht="12.75" customHeight="1" x14ac:dyDescent="0.25">
      <c r="D966" s="3"/>
      <c r="E966" s="3"/>
      <c r="F966" s="3"/>
    </row>
    <row r="967" spans="4:6" ht="12.75" customHeight="1" x14ac:dyDescent="0.25">
      <c r="D967" s="3"/>
      <c r="E967" s="3"/>
      <c r="F967" s="3"/>
    </row>
    <row r="968" spans="4:6" ht="12.75" customHeight="1" x14ac:dyDescent="0.25">
      <c r="D968" s="3"/>
      <c r="E968" s="3"/>
      <c r="F968" s="3"/>
    </row>
    <row r="969" spans="4:6" ht="12.75" customHeight="1" x14ac:dyDescent="0.25">
      <c r="D969" s="3"/>
      <c r="E969" s="3"/>
      <c r="F969" s="3"/>
    </row>
    <row r="970" spans="4:6" ht="12.75" customHeight="1" x14ac:dyDescent="0.25">
      <c r="D970" s="3"/>
      <c r="E970" s="3"/>
      <c r="F970" s="3"/>
    </row>
    <row r="971" spans="4:6" ht="12.75" customHeight="1" x14ac:dyDescent="0.25">
      <c r="D971" s="3"/>
      <c r="E971" s="3"/>
      <c r="F971" s="3"/>
    </row>
    <row r="972" spans="4:6" ht="12.75" customHeight="1" x14ac:dyDescent="0.25">
      <c r="D972" s="3"/>
      <c r="E972" s="3"/>
      <c r="F972" s="3"/>
    </row>
    <row r="973" spans="4:6" ht="12.75" customHeight="1" x14ac:dyDescent="0.25">
      <c r="D973" s="3"/>
      <c r="E973" s="3"/>
      <c r="F973" s="3"/>
    </row>
    <row r="974" spans="4:6" ht="12.75" customHeight="1" x14ac:dyDescent="0.25">
      <c r="D974" s="3"/>
      <c r="E974" s="3"/>
      <c r="F974" s="3"/>
    </row>
    <row r="975" spans="4:6" ht="12.75" customHeight="1" x14ac:dyDescent="0.25">
      <c r="D975" s="3"/>
      <c r="E975" s="3"/>
      <c r="F975" s="3"/>
    </row>
    <row r="976" spans="4:6" ht="12.75" customHeight="1" x14ac:dyDescent="0.25">
      <c r="D976" s="3"/>
      <c r="E976" s="3"/>
      <c r="F976" s="3"/>
    </row>
    <row r="977" spans="4:6" ht="12.75" customHeight="1" x14ac:dyDescent="0.25">
      <c r="D977" s="3"/>
      <c r="E977" s="3"/>
      <c r="F977" s="3"/>
    </row>
    <row r="978" spans="4:6" ht="12.75" customHeight="1" x14ac:dyDescent="0.25">
      <c r="D978" s="3"/>
      <c r="E978" s="3"/>
      <c r="F978" s="3"/>
    </row>
    <row r="979" spans="4:6" ht="12.75" customHeight="1" x14ac:dyDescent="0.25">
      <c r="D979" s="3"/>
      <c r="E979" s="3"/>
      <c r="F979" s="3"/>
    </row>
    <row r="980" spans="4:6" ht="12.75" customHeight="1" x14ac:dyDescent="0.25">
      <c r="D980" s="3"/>
      <c r="E980" s="3"/>
      <c r="F980" s="3"/>
    </row>
    <row r="981" spans="4:6" ht="12.75" customHeight="1" x14ac:dyDescent="0.25">
      <c r="D981" s="3"/>
      <c r="E981" s="3"/>
      <c r="F981" s="3"/>
    </row>
    <row r="982" spans="4:6" ht="12.75" customHeight="1" x14ac:dyDescent="0.25">
      <c r="D982" s="3"/>
      <c r="E982" s="3"/>
      <c r="F982" s="3"/>
    </row>
    <row r="983" spans="4:6" ht="12.75" customHeight="1" x14ac:dyDescent="0.25">
      <c r="D983" s="3"/>
      <c r="E983" s="3"/>
      <c r="F983" s="3"/>
    </row>
    <row r="984" spans="4:6" ht="12.75" customHeight="1" x14ac:dyDescent="0.25">
      <c r="D984" s="3"/>
      <c r="E984" s="3"/>
      <c r="F984" s="3"/>
    </row>
    <row r="985" spans="4:6" ht="12.75" customHeight="1" x14ac:dyDescent="0.25">
      <c r="D985" s="3"/>
      <c r="E985" s="3"/>
      <c r="F985" s="3"/>
    </row>
    <row r="986" spans="4:6" ht="12.75" customHeight="1" x14ac:dyDescent="0.25">
      <c r="D986" s="3"/>
      <c r="E986" s="3"/>
      <c r="F986" s="3"/>
    </row>
    <row r="987" spans="4:6" ht="12.75" customHeight="1" x14ac:dyDescent="0.25">
      <c r="D987" s="3"/>
      <c r="E987" s="3"/>
      <c r="F987" s="3"/>
    </row>
    <row r="988" spans="4:6" ht="12.75" customHeight="1" x14ac:dyDescent="0.25">
      <c r="D988" s="3"/>
      <c r="E988" s="3"/>
      <c r="F988" s="3"/>
    </row>
    <row r="989" spans="4:6" ht="12.75" customHeight="1" x14ac:dyDescent="0.25">
      <c r="D989" s="3"/>
      <c r="E989" s="3"/>
      <c r="F989" s="3"/>
    </row>
    <row r="990" spans="4:6" ht="12.75" customHeight="1" x14ac:dyDescent="0.25">
      <c r="D990" s="3"/>
      <c r="E990" s="3"/>
      <c r="F990" s="3"/>
    </row>
    <row r="991" spans="4:6" ht="12.75" customHeight="1" x14ac:dyDescent="0.25">
      <c r="D991" s="3"/>
      <c r="E991" s="3"/>
      <c r="F991" s="3"/>
    </row>
    <row r="992" spans="4:6" ht="12.75" customHeight="1" x14ac:dyDescent="0.25">
      <c r="D992" s="3"/>
      <c r="E992" s="3"/>
      <c r="F992" s="3"/>
    </row>
    <row r="993" spans="4:6" ht="12.75" customHeight="1" x14ac:dyDescent="0.25">
      <c r="D993" s="3"/>
      <c r="E993" s="3"/>
      <c r="F993" s="3"/>
    </row>
    <row r="994" spans="4:6" ht="12.75" customHeight="1" x14ac:dyDescent="0.25">
      <c r="D994" s="3"/>
      <c r="E994" s="3"/>
      <c r="F994" s="3"/>
    </row>
    <row r="995" spans="4:6" ht="12.75" customHeight="1" x14ac:dyDescent="0.25">
      <c r="D995" s="3"/>
      <c r="E995" s="3"/>
      <c r="F995" s="3"/>
    </row>
    <row r="996" spans="4:6" ht="12.75" customHeight="1" x14ac:dyDescent="0.25">
      <c r="D996" s="3"/>
      <c r="E996" s="3"/>
      <c r="F996" s="3"/>
    </row>
    <row r="997" spans="4:6" ht="12.75" customHeight="1" x14ac:dyDescent="0.25">
      <c r="D997" s="3"/>
      <c r="E997" s="3"/>
      <c r="F997" s="3"/>
    </row>
    <row r="998" spans="4:6" ht="12.75" customHeight="1" x14ac:dyDescent="0.25">
      <c r="D998" s="3"/>
      <c r="E998" s="3"/>
      <c r="F998" s="3"/>
    </row>
    <row r="999" spans="4:6" ht="12.75" customHeight="1" x14ac:dyDescent="0.25">
      <c r="D999" s="3"/>
      <c r="E999" s="3"/>
      <c r="F999" s="3"/>
    </row>
    <row r="1000" spans="4:6" ht="12.75" customHeight="1" x14ac:dyDescent="0.25">
      <c r="D1000" s="3"/>
      <c r="E1000" s="3"/>
      <c r="F1000" s="3"/>
    </row>
  </sheetData>
  <mergeCells count="4">
    <mergeCell ref="I3:M5"/>
    <mergeCell ref="I6:M8"/>
    <mergeCell ref="I10:M12"/>
    <mergeCell ref="I13:M15"/>
  </mergeCells>
  <conditionalFormatting sqref="G3:G15 G17:G1000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G3:G15 G17:G1000">
    <cfRule type="cellIs" dxfId="17" priority="2" stopIfTrue="1" operator="equal">
      <formula>"error"</formula>
    </cfRule>
  </conditionalFormatting>
  <conditionalFormatting sqref="G3:G15 G17:G1000">
    <cfRule type="cellIs" dxfId="16" priority="3" stopIfTrue="1" operator="equal">
      <formula>"OK"</formula>
    </cfRule>
  </conditionalFormatting>
  <conditionalFormatting sqref="I13">
    <cfRule type="colorScale" priority="4">
      <colorScale>
        <cfvo type="formula" val="0.19"/>
        <cfvo type="formula" val="0.2"/>
        <cfvo type="formula" val="0.5"/>
        <color rgb="FF92D050"/>
        <color rgb="FFFFEB84"/>
        <color rgb="FFD99594"/>
      </colorScale>
    </cfRule>
  </conditionalFormatting>
  <conditionalFormatting sqref="I6:M8">
    <cfRule type="colorScale" priority="5">
      <colorScale>
        <cfvo type="formula" val="0.19"/>
        <cfvo type="formula" val="0.2"/>
        <cfvo type="formula" val="0.5"/>
        <color rgb="FF92D050"/>
        <color rgb="FFFFEB84"/>
        <color rgb="FFD99594"/>
      </colorScale>
    </cfRule>
  </conditionalFormatting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00"/>
  <sheetViews>
    <sheetView workbookViewId="0"/>
  </sheetViews>
  <sheetFormatPr baseColWidth="10" defaultColWidth="12.6328125" defaultRowHeight="15" customHeight="1" x14ac:dyDescent="0.25"/>
  <cols>
    <col min="1" max="1" width="10.6328125" customWidth="1"/>
    <col min="2" max="2" width="13" customWidth="1"/>
    <col min="3" max="3" width="12.26953125" customWidth="1"/>
    <col min="4" max="4" width="18" customWidth="1"/>
    <col min="5" max="5" width="3" hidden="1" customWidth="1"/>
    <col min="6" max="6" width="3.6328125" hidden="1" customWidth="1"/>
    <col min="7" max="7" width="17.36328125" customWidth="1"/>
    <col min="8" max="8" width="3.90625" customWidth="1"/>
    <col min="9" max="26" width="10.6328125" customWidth="1"/>
  </cols>
  <sheetData>
    <row r="1" spans="2:13" ht="12.75" customHeight="1" x14ac:dyDescent="0.25">
      <c r="D1" s="3"/>
      <c r="E1" s="3"/>
      <c r="F1" s="3"/>
    </row>
    <row r="2" spans="2:13" ht="12.75" customHeight="1" x14ac:dyDescent="0.25">
      <c r="D2" s="3"/>
      <c r="E2" s="3"/>
      <c r="F2" s="3"/>
    </row>
    <row r="3" spans="2:13" ht="19.5" customHeight="1" x14ac:dyDescent="0.4">
      <c r="B3" s="17" t="s">
        <v>30</v>
      </c>
      <c r="C3" s="18" t="s">
        <v>23</v>
      </c>
      <c r="D3" s="18" t="s">
        <v>24</v>
      </c>
      <c r="E3" s="18"/>
      <c r="F3" s="18"/>
      <c r="G3" s="19"/>
      <c r="H3" s="3"/>
      <c r="I3" s="48" t="s">
        <v>25</v>
      </c>
      <c r="J3" s="49"/>
      <c r="K3" s="49"/>
      <c r="L3" s="49"/>
      <c r="M3" s="50"/>
    </row>
    <row r="4" spans="2:13" ht="19.5" customHeight="1" x14ac:dyDescent="0.4">
      <c r="B4" s="20">
        <v>1</v>
      </c>
      <c r="C4" s="21">
        <v>10</v>
      </c>
      <c r="D4" s="21">
        <v>9</v>
      </c>
      <c r="E4" s="21">
        <f>C4-TOTAL!G4</f>
        <v>0</v>
      </c>
      <c r="F4" s="21">
        <f>D4-TOTAL!H4</f>
        <v>0</v>
      </c>
      <c r="G4" s="22" t="str">
        <f t="shared" ref="G4:G14" si="0">IF(AND(E4=0,F4=0),IF(B4="T","OKPELEA","OK"),IF(B4="T","ERRORPELEA","ERROR"))</f>
        <v>OK</v>
      </c>
      <c r="H4" s="3"/>
      <c r="I4" s="51"/>
      <c r="J4" s="52"/>
      <c r="K4" s="52"/>
      <c r="L4" s="52"/>
      <c r="M4" s="53"/>
    </row>
    <row r="5" spans="2:13" ht="19.5" customHeight="1" x14ac:dyDescent="0.4">
      <c r="B5" s="20">
        <v>2</v>
      </c>
      <c r="C5" s="21">
        <v>10</v>
      </c>
      <c r="D5" s="21">
        <v>9</v>
      </c>
      <c r="E5" s="21">
        <f>C5-TOTAL!G5</f>
        <v>0</v>
      </c>
      <c r="F5" s="21">
        <f>D5-TOTAL!H5</f>
        <v>0</v>
      </c>
      <c r="G5" s="22" t="str">
        <f t="shared" si="0"/>
        <v>OK</v>
      </c>
      <c r="H5" s="3"/>
      <c r="I5" s="54"/>
      <c r="J5" s="55"/>
      <c r="K5" s="55"/>
      <c r="L5" s="55"/>
      <c r="M5" s="56"/>
    </row>
    <row r="6" spans="2:13" ht="19.5" customHeight="1" x14ac:dyDescent="0.4">
      <c r="B6" s="20">
        <v>3</v>
      </c>
      <c r="C6" s="21">
        <v>10</v>
      </c>
      <c r="D6" s="21">
        <v>9</v>
      </c>
      <c r="E6" s="21">
        <f>C6-TOTAL!G6</f>
        <v>0</v>
      </c>
      <c r="F6" s="21">
        <f>D6-TOTAL!H6</f>
        <v>0</v>
      </c>
      <c r="G6" s="22" t="str">
        <f t="shared" si="0"/>
        <v>OK</v>
      </c>
      <c r="H6" s="3"/>
      <c r="I6" s="57">
        <f>COUNTIF(G4:G13,"ERROR")*1/10</f>
        <v>0.1</v>
      </c>
      <c r="J6" s="49"/>
      <c r="K6" s="49"/>
      <c r="L6" s="49"/>
      <c r="M6" s="50"/>
    </row>
    <row r="7" spans="2:13" ht="19.5" customHeight="1" x14ac:dyDescent="0.4">
      <c r="B7" s="20">
        <v>4</v>
      </c>
      <c r="C7" s="23">
        <v>10</v>
      </c>
      <c r="D7" s="23">
        <v>9</v>
      </c>
      <c r="E7" s="21">
        <f>C7-TOTAL!G7</f>
        <v>1</v>
      </c>
      <c r="F7" s="21">
        <f>D7-TOTAL!H7</f>
        <v>-1</v>
      </c>
      <c r="G7" s="22" t="str">
        <f t="shared" si="0"/>
        <v>ERROR</v>
      </c>
      <c r="H7" s="3"/>
      <c r="I7" s="51"/>
      <c r="J7" s="52"/>
      <c r="K7" s="52"/>
      <c r="L7" s="52"/>
      <c r="M7" s="53"/>
    </row>
    <row r="8" spans="2:13" ht="19.5" customHeight="1" x14ac:dyDescent="0.4">
      <c r="B8" s="20">
        <v>5</v>
      </c>
      <c r="C8" s="21">
        <v>9</v>
      </c>
      <c r="D8" s="21">
        <v>10</v>
      </c>
      <c r="E8" s="21">
        <f>C8-TOTAL!G8</f>
        <v>0</v>
      </c>
      <c r="F8" s="21">
        <f>D8-TOTAL!H8</f>
        <v>0</v>
      </c>
      <c r="G8" s="22" t="str">
        <f t="shared" si="0"/>
        <v>OK</v>
      </c>
      <c r="H8" s="3"/>
      <c r="I8" s="54"/>
      <c r="J8" s="55"/>
      <c r="K8" s="55"/>
      <c r="L8" s="55"/>
      <c r="M8" s="56"/>
    </row>
    <row r="9" spans="2:13" ht="19.5" customHeight="1" x14ac:dyDescent="0.4">
      <c r="B9" s="20">
        <v>6</v>
      </c>
      <c r="C9" s="23">
        <v>10</v>
      </c>
      <c r="D9" s="23">
        <v>9</v>
      </c>
      <c r="E9" s="21">
        <f>C9-TOTAL!G9</f>
        <v>0</v>
      </c>
      <c r="F9" s="21">
        <f>D9-TOTAL!H9</f>
        <v>0</v>
      </c>
      <c r="G9" s="22" t="str">
        <f t="shared" si="0"/>
        <v>OK</v>
      </c>
      <c r="H9" s="3"/>
    </row>
    <row r="10" spans="2:13" ht="19.5" customHeight="1" x14ac:dyDescent="0.4">
      <c r="B10" s="20">
        <v>7</v>
      </c>
      <c r="C10" s="21">
        <v>10</v>
      </c>
      <c r="D10" s="21">
        <v>9</v>
      </c>
      <c r="E10" s="21">
        <f>C10-TOTAL!G10</f>
        <v>0</v>
      </c>
      <c r="F10" s="21">
        <f>D10-TOTAL!H10</f>
        <v>0</v>
      </c>
      <c r="G10" s="22" t="str">
        <f t="shared" si="0"/>
        <v>OK</v>
      </c>
      <c r="H10" s="3"/>
      <c r="I10" s="48" t="s">
        <v>31</v>
      </c>
      <c r="J10" s="49"/>
      <c r="K10" s="49"/>
      <c r="L10" s="49"/>
      <c r="M10" s="50"/>
    </row>
    <row r="11" spans="2:13" ht="19.5" customHeight="1" x14ac:dyDescent="0.4">
      <c r="B11" s="20">
        <v>8</v>
      </c>
      <c r="C11" s="21">
        <v>10</v>
      </c>
      <c r="D11" s="21">
        <v>9</v>
      </c>
      <c r="E11" s="21">
        <f>C11-TOTAL!G11</f>
        <v>0</v>
      </c>
      <c r="F11" s="21">
        <f>D11-TOTAL!H11</f>
        <v>0</v>
      </c>
      <c r="G11" s="22" t="str">
        <f t="shared" si="0"/>
        <v>OK</v>
      </c>
      <c r="H11" s="3"/>
      <c r="I11" s="51"/>
      <c r="J11" s="52"/>
      <c r="K11" s="52"/>
      <c r="L11" s="52"/>
      <c r="M11" s="53"/>
    </row>
    <row r="12" spans="2:13" ht="19.5" customHeight="1" x14ac:dyDescent="0.4">
      <c r="B12" s="20">
        <v>9</v>
      </c>
      <c r="C12" s="21">
        <v>10</v>
      </c>
      <c r="D12" s="21">
        <v>9</v>
      </c>
      <c r="E12" s="21">
        <f>C12-TOTAL!G12</f>
        <v>0</v>
      </c>
      <c r="F12" s="21">
        <f>D12-TOTAL!H12</f>
        <v>0</v>
      </c>
      <c r="G12" s="22" t="str">
        <f t="shared" si="0"/>
        <v>OK</v>
      </c>
      <c r="H12" s="3"/>
      <c r="I12" s="54"/>
      <c r="J12" s="55"/>
      <c r="K12" s="55"/>
      <c r="L12" s="55"/>
      <c r="M12" s="56"/>
    </row>
    <row r="13" spans="2:13" ht="19.5" customHeight="1" x14ac:dyDescent="0.4">
      <c r="B13" s="20">
        <v>10</v>
      </c>
      <c r="C13" s="21">
        <v>10</v>
      </c>
      <c r="D13" s="21">
        <v>9</v>
      </c>
      <c r="E13" s="21">
        <f>C13-TOTAL!G13</f>
        <v>0</v>
      </c>
      <c r="F13" s="21">
        <f>D13-TOTAL!H13</f>
        <v>0</v>
      </c>
      <c r="G13" s="22" t="str">
        <f t="shared" si="0"/>
        <v>OK</v>
      </c>
      <c r="H13" s="3"/>
      <c r="I13" s="58">
        <v>0.1</v>
      </c>
      <c r="J13" s="49"/>
      <c r="K13" s="49"/>
      <c r="L13" s="49"/>
      <c r="M13" s="50"/>
    </row>
    <row r="14" spans="2:13" ht="19.5" customHeight="1" x14ac:dyDescent="0.4">
      <c r="B14" s="20" t="s">
        <v>3</v>
      </c>
      <c r="C14" s="21">
        <f t="shared" ref="C14:D14" si="1">SUM(C4:C13)</f>
        <v>99</v>
      </c>
      <c r="D14" s="21">
        <f t="shared" si="1"/>
        <v>91</v>
      </c>
      <c r="E14" s="21">
        <f>C14-TOTAL!G14</f>
        <v>1</v>
      </c>
      <c r="F14" s="21">
        <f>D14-TOTAL!H14</f>
        <v>-1</v>
      </c>
      <c r="G14" s="22" t="str">
        <f t="shared" si="0"/>
        <v>ERRORPELEA</v>
      </c>
      <c r="H14" s="3"/>
      <c r="I14" s="51"/>
      <c r="J14" s="52"/>
      <c r="K14" s="52"/>
      <c r="L14" s="52"/>
      <c r="M14" s="53"/>
    </row>
    <row r="15" spans="2:13" ht="19.5" customHeight="1" x14ac:dyDescent="0.4">
      <c r="B15" s="24"/>
      <c r="C15" s="25"/>
      <c r="D15" s="26" t="s">
        <v>27</v>
      </c>
      <c r="E15" s="26"/>
      <c r="F15" s="26"/>
      <c r="G15" s="27">
        <f>COUNTIF(G4:G13,"error")</f>
        <v>1</v>
      </c>
      <c r="I15" s="54"/>
      <c r="J15" s="55"/>
      <c r="K15" s="55"/>
      <c r="L15" s="55"/>
      <c r="M15" s="56"/>
    </row>
    <row r="16" spans="2:13" ht="12.75" customHeight="1" x14ac:dyDescent="0.25">
      <c r="D16" s="3"/>
      <c r="E16" s="3"/>
      <c r="F16" s="3"/>
    </row>
    <row r="17" spans="4:6" ht="12.75" customHeight="1" x14ac:dyDescent="0.25">
      <c r="D17" s="3"/>
      <c r="E17" s="3"/>
      <c r="F17" s="3"/>
    </row>
    <row r="18" spans="4:6" ht="12.75" customHeight="1" x14ac:dyDescent="0.25">
      <c r="D18" s="3"/>
      <c r="E18" s="3"/>
      <c r="F18" s="3"/>
    </row>
    <row r="19" spans="4:6" ht="12.75" customHeight="1" x14ac:dyDescent="0.25">
      <c r="D19" s="3"/>
      <c r="E19" s="3"/>
      <c r="F19" s="3"/>
    </row>
    <row r="20" spans="4:6" ht="12.75" customHeight="1" x14ac:dyDescent="0.25">
      <c r="D20" s="3"/>
      <c r="E20" s="3"/>
      <c r="F20" s="3"/>
    </row>
    <row r="21" spans="4:6" ht="12.75" customHeight="1" x14ac:dyDescent="0.25">
      <c r="D21" s="3"/>
      <c r="E21" s="3"/>
      <c r="F21" s="3"/>
    </row>
    <row r="22" spans="4:6" ht="12.75" customHeight="1" x14ac:dyDescent="0.25">
      <c r="D22" s="3"/>
      <c r="E22" s="3"/>
      <c r="F22" s="3"/>
    </row>
    <row r="23" spans="4:6" ht="12.75" customHeight="1" x14ac:dyDescent="0.25">
      <c r="D23" s="3"/>
      <c r="E23" s="3"/>
      <c r="F23" s="3"/>
    </row>
    <row r="24" spans="4:6" ht="12.75" customHeight="1" x14ac:dyDescent="0.25">
      <c r="D24" s="3"/>
      <c r="E24" s="3"/>
      <c r="F24" s="3"/>
    </row>
    <row r="25" spans="4:6" ht="12.75" customHeight="1" x14ac:dyDescent="0.25">
      <c r="D25" s="3"/>
      <c r="E25" s="3"/>
      <c r="F25" s="3"/>
    </row>
    <row r="26" spans="4:6" ht="12.75" customHeight="1" x14ac:dyDescent="0.25">
      <c r="D26" s="3"/>
      <c r="E26" s="3"/>
      <c r="F26" s="3"/>
    </row>
    <row r="27" spans="4:6" ht="12.75" customHeight="1" x14ac:dyDescent="0.25">
      <c r="D27" s="3"/>
      <c r="E27" s="3"/>
      <c r="F27" s="3"/>
    </row>
    <row r="28" spans="4:6" ht="12.75" customHeight="1" x14ac:dyDescent="0.25">
      <c r="D28" s="3"/>
      <c r="E28" s="3"/>
      <c r="F28" s="3"/>
    </row>
    <row r="29" spans="4:6" ht="12.75" customHeight="1" x14ac:dyDescent="0.25">
      <c r="D29" s="3"/>
      <c r="E29" s="3"/>
      <c r="F29" s="3"/>
    </row>
    <row r="30" spans="4:6" ht="12.75" customHeight="1" x14ac:dyDescent="0.25">
      <c r="D30" s="3"/>
      <c r="E30" s="3"/>
      <c r="F30" s="3"/>
    </row>
    <row r="31" spans="4:6" ht="12.75" customHeight="1" x14ac:dyDescent="0.25">
      <c r="D31" s="3"/>
      <c r="E31" s="3"/>
      <c r="F31" s="3"/>
    </row>
    <row r="32" spans="4:6" ht="12.75" customHeight="1" x14ac:dyDescent="0.25">
      <c r="D32" s="3"/>
      <c r="E32" s="3"/>
      <c r="F32" s="3"/>
    </row>
    <row r="33" spans="4:6" ht="12.75" customHeight="1" x14ac:dyDescent="0.25">
      <c r="D33" s="3"/>
      <c r="E33" s="3"/>
      <c r="F33" s="3"/>
    </row>
    <row r="34" spans="4:6" ht="12.75" customHeight="1" x14ac:dyDescent="0.25">
      <c r="D34" s="3"/>
      <c r="E34" s="3"/>
      <c r="F34" s="3"/>
    </row>
    <row r="35" spans="4:6" ht="12.75" customHeight="1" x14ac:dyDescent="0.25">
      <c r="D35" s="3"/>
      <c r="E35" s="3"/>
      <c r="F35" s="3"/>
    </row>
    <row r="36" spans="4:6" ht="12.75" customHeight="1" x14ac:dyDescent="0.25">
      <c r="D36" s="3"/>
      <c r="E36" s="3"/>
      <c r="F36" s="3"/>
    </row>
    <row r="37" spans="4:6" ht="12.75" customHeight="1" x14ac:dyDescent="0.25">
      <c r="D37" s="3"/>
      <c r="E37" s="3"/>
      <c r="F37" s="3"/>
    </row>
    <row r="38" spans="4:6" ht="12.75" customHeight="1" x14ac:dyDescent="0.25">
      <c r="D38" s="3"/>
      <c r="E38" s="3"/>
      <c r="F38" s="3"/>
    </row>
    <row r="39" spans="4:6" ht="12.75" customHeight="1" x14ac:dyDescent="0.25">
      <c r="D39" s="3"/>
      <c r="E39" s="3"/>
      <c r="F39" s="3"/>
    </row>
    <row r="40" spans="4:6" ht="12.75" customHeight="1" x14ac:dyDescent="0.25">
      <c r="D40" s="3"/>
      <c r="E40" s="3"/>
      <c r="F40" s="3"/>
    </row>
    <row r="41" spans="4:6" ht="12.75" customHeight="1" x14ac:dyDescent="0.25">
      <c r="D41" s="3"/>
      <c r="E41" s="3"/>
      <c r="F41" s="3"/>
    </row>
    <row r="42" spans="4:6" ht="12.75" customHeight="1" x14ac:dyDescent="0.25">
      <c r="D42" s="3"/>
      <c r="E42" s="3"/>
      <c r="F42" s="3"/>
    </row>
    <row r="43" spans="4:6" ht="12.75" customHeight="1" x14ac:dyDescent="0.25">
      <c r="D43" s="3"/>
      <c r="E43" s="3"/>
      <c r="F43" s="3"/>
    </row>
    <row r="44" spans="4:6" ht="12.75" customHeight="1" x14ac:dyDescent="0.25">
      <c r="D44" s="3"/>
      <c r="E44" s="3"/>
      <c r="F44" s="3"/>
    </row>
    <row r="45" spans="4:6" ht="12.75" customHeight="1" x14ac:dyDescent="0.25">
      <c r="D45" s="3"/>
      <c r="E45" s="3"/>
      <c r="F45" s="3"/>
    </row>
    <row r="46" spans="4:6" ht="12.75" customHeight="1" x14ac:dyDescent="0.25">
      <c r="D46" s="3"/>
      <c r="E46" s="3"/>
      <c r="F46" s="3"/>
    </row>
    <row r="47" spans="4:6" ht="12.75" customHeight="1" x14ac:dyDescent="0.25">
      <c r="D47" s="3"/>
      <c r="E47" s="3"/>
      <c r="F47" s="3"/>
    </row>
    <row r="48" spans="4:6" ht="12.75" customHeight="1" x14ac:dyDescent="0.25">
      <c r="D48" s="3"/>
      <c r="E48" s="3"/>
      <c r="F48" s="3"/>
    </row>
    <row r="49" spans="4:6" ht="12.75" customHeight="1" x14ac:dyDescent="0.25">
      <c r="D49" s="3"/>
      <c r="E49" s="3"/>
      <c r="F49" s="3"/>
    </row>
    <row r="50" spans="4:6" ht="12.75" customHeight="1" x14ac:dyDescent="0.25">
      <c r="D50" s="3"/>
      <c r="E50" s="3"/>
      <c r="F50" s="3"/>
    </row>
    <row r="51" spans="4:6" ht="12.75" customHeight="1" x14ac:dyDescent="0.25">
      <c r="D51" s="3"/>
      <c r="E51" s="3"/>
      <c r="F51" s="3"/>
    </row>
    <row r="52" spans="4:6" ht="12.75" customHeight="1" x14ac:dyDescent="0.25">
      <c r="D52" s="3"/>
      <c r="E52" s="3"/>
      <c r="F52" s="3"/>
    </row>
    <row r="53" spans="4:6" ht="12.75" customHeight="1" x14ac:dyDescent="0.25">
      <c r="D53" s="3"/>
      <c r="E53" s="3"/>
      <c r="F53" s="3"/>
    </row>
    <row r="54" spans="4:6" ht="12.75" customHeight="1" x14ac:dyDescent="0.25">
      <c r="D54" s="3"/>
      <c r="E54" s="3"/>
      <c r="F54" s="3"/>
    </row>
    <row r="55" spans="4:6" ht="12.75" customHeight="1" x14ac:dyDescent="0.25">
      <c r="D55" s="3"/>
      <c r="E55" s="3"/>
      <c r="F55" s="3"/>
    </row>
    <row r="56" spans="4:6" ht="12.75" customHeight="1" x14ac:dyDescent="0.25">
      <c r="D56" s="3"/>
      <c r="E56" s="3"/>
      <c r="F56" s="3"/>
    </row>
    <row r="57" spans="4:6" ht="12.75" customHeight="1" x14ac:dyDescent="0.25">
      <c r="D57" s="3"/>
      <c r="E57" s="3"/>
      <c r="F57" s="3"/>
    </row>
    <row r="58" spans="4:6" ht="12.75" customHeight="1" x14ac:dyDescent="0.25">
      <c r="D58" s="3"/>
      <c r="E58" s="3"/>
      <c r="F58" s="3"/>
    </row>
    <row r="59" spans="4:6" ht="12.75" customHeight="1" x14ac:dyDescent="0.25">
      <c r="D59" s="3"/>
      <c r="E59" s="3"/>
      <c r="F59" s="3"/>
    </row>
    <row r="60" spans="4:6" ht="12.75" customHeight="1" x14ac:dyDescent="0.25">
      <c r="D60" s="3"/>
      <c r="E60" s="3"/>
      <c r="F60" s="3"/>
    </row>
    <row r="61" spans="4:6" ht="12.75" customHeight="1" x14ac:dyDescent="0.25">
      <c r="D61" s="3"/>
      <c r="E61" s="3"/>
      <c r="F61" s="3"/>
    </row>
    <row r="62" spans="4:6" ht="12.75" customHeight="1" x14ac:dyDescent="0.25">
      <c r="D62" s="3"/>
      <c r="E62" s="3"/>
      <c r="F62" s="3"/>
    </row>
    <row r="63" spans="4:6" ht="12.75" customHeight="1" x14ac:dyDescent="0.25">
      <c r="D63" s="3"/>
      <c r="E63" s="3"/>
      <c r="F63" s="3"/>
    </row>
    <row r="64" spans="4:6" ht="12.75" customHeight="1" x14ac:dyDescent="0.25">
      <c r="D64" s="3"/>
      <c r="E64" s="3"/>
      <c r="F64" s="3"/>
    </row>
    <row r="65" spans="4:6" ht="12.75" customHeight="1" x14ac:dyDescent="0.25">
      <c r="D65" s="3"/>
      <c r="E65" s="3"/>
      <c r="F65" s="3"/>
    </row>
    <row r="66" spans="4:6" ht="12.75" customHeight="1" x14ac:dyDescent="0.25">
      <c r="D66" s="3"/>
      <c r="E66" s="3"/>
      <c r="F66" s="3"/>
    </row>
    <row r="67" spans="4:6" ht="12.75" customHeight="1" x14ac:dyDescent="0.25">
      <c r="D67" s="3"/>
      <c r="E67" s="3"/>
      <c r="F67" s="3"/>
    </row>
    <row r="68" spans="4:6" ht="12.75" customHeight="1" x14ac:dyDescent="0.25">
      <c r="D68" s="3"/>
      <c r="E68" s="3"/>
      <c r="F68" s="3"/>
    </row>
    <row r="69" spans="4:6" ht="12.75" customHeight="1" x14ac:dyDescent="0.25">
      <c r="D69" s="3"/>
      <c r="E69" s="3"/>
      <c r="F69" s="3"/>
    </row>
    <row r="70" spans="4:6" ht="12.75" customHeight="1" x14ac:dyDescent="0.25">
      <c r="D70" s="3"/>
      <c r="E70" s="3"/>
      <c r="F70" s="3"/>
    </row>
    <row r="71" spans="4:6" ht="12.75" customHeight="1" x14ac:dyDescent="0.25">
      <c r="D71" s="3"/>
      <c r="E71" s="3"/>
      <c r="F71" s="3"/>
    </row>
    <row r="72" spans="4:6" ht="12.75" customHeight="1" x14ac:dyDescent="0.25">
      <c r="D72" s="3"/>
      <c r="E72" s="3"/>
      <c r="F72" s="3"/>
    </row>
    <row r="73" spans="4:6" ht="12.75" customHeight="1" x14ac:dyDescent="0.25">
      <c r="D73" s="3"/>
      <c r="E73" s="3"/>
      <c r="F73" s="3"/>
    </row>
    <row r="74" spans="4:6" ht="12.75" customHeight="1" x14ac:dyDescent="0.25">
      <c r="D74" s="3"/>
      <c r="E74" s="3"/>
      <c r="F74" s="3"/>
    </row>
    <row r="75" spans="4:6" ht="12.75" customHeight="1" x14ac:dyDescent="0.25">
      <c r="D75" s="3"/>
      <c r="E75" s="3"/>
      <c r="F75" s="3"/>
    </row>
    <row r="76" spans="4:6" ht="12.75" customHeight="1" x14ac:dyDescent="0.25">
      <c r="D76" s="3"/>
      <c r="E76" s="3"/>
      <c r="F76" s="3"/>
    </row>
    <row r="77" spans="4:6" ht="12.75" customHeight="1" x14ac:dyDescent="0.25">
      <c r="D77" s="3"/>
      <c r="E77" s="3"/>
      <c r="F77" s="3"/>
    </row>
    <row r="78" spans="4:6" ht="12.75" customHeight="1" x14ac:dyDescent="0.25">
      <c r="D78" s="3"/>
      <c r="E78" s="3"/>
      <c r="F78" s="3"/>
    </row>
    <row r="79" spans="4:6" ht="12.75" customHeight="1" x14ac:dyDescent="0.25">
      <c r="D79" s="3"/>
      <c r="E79" s="3"/>
      <c r="F79" s="3"/>
    </row>
    <row r="80" spans="4:6" ht="12.75" customHeight="1" x14ac:dyDescent="0.25">
      <c r="D80" s="3"/>
      <c r="E80" s="3"/>
      <c r="F80" s="3"/>
    </row>
    <row r="81" spans="4:6" ht="12.75" customHeight="1" x14ac:dyDescent="0.25">
      <c r="D81" s="3"/>
      <c r="E81" s="3"/>
      <c r="F81" s="3"/>
    </row>
    <row r="82" spans="4:6" ht="12.75" customHeight="1" x14ac:dyDescent="0.25">
      <c r="D82" s="3"/>
      <c r="E82" s="3"/>
      <c r="F82" s="3"/>
    </row>
    <row r="83" spans="4:6" ht="12.75" customHeight="1" x14ac:dyDescent="0.25">
      <c r="D83" s="3"/>
      <c r="E83" s="3"/>
      <c r="F83" s="3"/>
    </row>
    <row r="84" spans="4:6" ht="12.75" customHeight="1" x14ac:dyDescent="0.25">
      <c r="D84" s="3"/>
      <c r="E84" s="3"/>
      <c r="F84" s="3"/>
    </row>
    <row r="85" spans="4:6" ht="12.75" customHeight="1" x14ac:dyDescent="0.25">
      <c r="D85" s="3"/>
      <c r="E85" s="3"/>
      <c r="F85" s="3"/>
    </row>
    <row r="86" spans="4:6" ht="12.75" customHeight="1" x14ac:dyDescent="0.25">
      <c r="D86" s="3"/>
      <c r="E86" s="3"/>
      <c r="F86" s="3"/>
    </row>
    <row r="87" spans="4:6" ht="12.75" customHeight="1" x14ac:dyDescent="0.25">
      <c r="D87" s="3"/>
      <c r="E87" s="3"/>
      <c r="F87" s="3"/>
    </row>
    <row r="88" spans="4:6" ht="12.75" customHeight="1" x14ac:dyDescent="0.25">
      <c r="D88" s="3"/>
      <c r="E88" s="3"/>
      <c r="F88" s="3"/>
    </row>
    <row r="89" spans="4:6" ht="12.75" customHeight="1" x14ac:dyDescent="0.25">
      <c r="D89" s="3"/>
      <c r="E89" s="3"/>
      <c r="F89" s="3"/>
    </row>
    <row r="90" spans="4:6" ht="12.75" customHeight="1" x14ac:dyDescent="0.25">
      <c r="D90" s="3"/>
      <c r="E90" s="3"/>
      <c r="F90" s="3"/>
    </row>
    <row r="91" spans="4:6" ht="12.75" customHeight="1" x14ac:dyDescent="0.25">
      <c r="D91" s="3"/>
      <c r="E91" s="3"/>
      <c r="F91" s="3"/>
    </row>
    <row r="92" spans="4:6" ht="12.75" customHeight="1" x14ac:dyDescent="0.25">
      <c r="D92" s="3"/>
      <c r="E92" s="3"/>
      <c r="F92" s="3"/>
    </row>
    <row r="93" spans="4:6" ht="12.75" customHeight="1" x14ac:dyDescent="0.25">
      <c r="D93" s="3"/>
      <c r="E93" s="3"/>
      <c r="F93" s="3"/>
    </row>
    <row r="94" spans="4:6" ht="12.75" customHeight="1" x14ac:dyDescent="0.25">
      <c r="D94" s="3"/>
      <c r="E94" s="3"/>
      <c r="F94" s="3"/>
    </row>
    <row r="95" spans="4:6" ht="12.75" customHeight="1" x14ac:dyDescent="0.25">
      <c r="D95" s="3"/>
      <c r="E95" s="3"/>
      <c r="F95" s="3"/>
    </row>
    <row r="96" spans="4:6" ht="12.75" customHeight="1" x14ac:dyDescent="0.25">
      <c r="D96" s="3"/>
      <c r="E96" s="3"/>
      <c r="F96" s="3"/>
    </row>
    <row r="97" spans="4:6" ht="12.75" customHeight="1" x14ac:dyDescent="0.25">
      <c r="D97" s="3"/>
      <c r="E97" s="3"/>
      <c r="F97" s="3"/>
    </row>
    <row r="98" spans="4:6" ht="12.75" customHeight="1" x14ac:dyDescent="0.25">
      <c r="D98" s="3"/>
      <c r="E98" s="3"/>
      <c r="F98" s="3"/>
    </row>
    <row r="99" spans="4:6" ht="12.75" customHeight="1" x14ac:dyDescent="0.25">
      <c r="D99" s="3"/>
      <c r="E99" s="3"/>
      <c r="F99" s="3"/>
    </row>
    <row r="100" spans="4:6" ht="12.75" customHeight="1" x14ac:dyDescent="0.25">
      <c r="D100" s="3"/>
      <c r="E100" s="3"/>
      <c r="F100" s="3"/>
    </row>
    <row r="101" spans="4:6" ht="12.75" customHeight="1" x14ac:dyDescent="0.25">
      <c r="D101" s="3"/>
      <c r="E101" s="3"/>
      <c r="F101" s="3"/>
    </row>
    <row r="102" spans="4:6" ht="12.75" customHeight="1" x14ac:dyDescent="0.25">
      <c r="D102" s="3"/>
      <c r="E102" s="3"/>
      <c r="F102" s="3"/>
    </row>
    <row r="103" spans="4:6" ht="12.75" customHeight="1" x14ac:dyDescent="0.25">
      <c r="D103" s="3"/>
      <c r="E103" s="3"/>
      <c r="F103" s="3"/>
    </row>
    <row r="104" spans="4:6" ht="12.75" customHeight="1" x14ac:dyDescent="0.25">
      <c r="D104" s="3"/>
      <c r="E104" s="3"/>
      <c r="F104" s="3"/>
    </row>
    <row r="105" spans="4:6" ht="12.75" customHeight="1" x14ac:dyDescent="0.25">
      <c r="D105" s="3"/>
      <c r="E105" s="3"/>
      <c r="F105" s="3"/>
    </row>
    <row r="106" spans="4:6" ht="12.75" customHeight="1" x14ac:dyDescent="0.25">
      <c r="D106" s="3"/>
      <c r="E106" s="3"/>
      <c r="F106" s="3"/>
    </row>
    <row r="107" spans="4:6" ht="12.75" customHeight="1" x14ac:dyDescent="0.25">
      <c r="D107" s="3"/>
      <c r="E107" s="3"/>
      <c r="F107" s="3"/>
    </row>
    <row r="108" spans="4:6" ht="12.75" customHeight="1" x14ac:dyDescent="0.25">
      <c r="D108" s="3"/>
      <c r="E108" s="3"/>
      <c r="F108" s="3"/>
    </row>
    <row r="109" spans="4:6" ht="12.75" customHeight="1" x14ac:dyDescent="0.25">
      <c r="D109" s="3"/>
      <c r="E109" s="3"/>
      <c r="F109" s="3"/>
    </row>
    <row r="110" spans="4:6" ht="12.75" customHeight="1" x14ac:dyDescent="0.25">
      <c r="D110" s="3"/>
      <c r="E110" s="3"/>
      <c r="F110" s="3"/>
    </row>
    <row r="111" spans="4:6" ht="12.75" customHeight="1" x14ac:dyDescent="0.25">
      <c r="D111" s="3"/>
      <c r="E111" s="3"/>
      <c r="F111" s="3"/>
    </row>
    <row r="112" spans="4:6" ht="12.75" customHeight="1" x14ac:dyDescent="0.25">
      <c r="D112" s="3"/>
      <c r="E112" s="3"/>
      <c r="F112" s="3"/>
    </row>
    <row r="113" spans="4:6" ht="12.75" customHeight="1" x14ac:dyDescent="0.25">
      <c r="D113" s="3"/>
      <c r="E113" s="3"/>
      <c r="F113" s="3"/>
    </row>
    <row r="114" spans="4:6" ht="12.75" customHeight="1" x14ac:dyDescent="0.25">
      <c r="D114" s="3"/>
      <c r="E114" s="3"/>
      <c r="F114" s="3"/>
    </row>
    <row r="115" spans="4:6" ht="12.75" customHeight="1" x14ac:dyDescent="0.25">
      <c r="D115" s="3"/>
      <c r="E115" s="3"/>
      <c r="F115" s="3"/>
    </row>
    <row r="116" spans="4:6" ht="12.75" customHeight="1" x14ac:dyDescent="0.25">
      <c r="D116" s="3"/>
      <c r="E116" s="3"/>
      <c r="F116" s="3"/>
    </row>
    <row r="117" spans="4:6" ht="12.75" customHeight="1" x14ac:dyDescent="0.25">
      <c r="D117" s="3"/>
      <c r="E117" s="3"/>
      <c r="F117" s="3"/>
    </row>
    <row r="118" spans="4:6" ht="12.75" customHeight="1" x14ac:dyDescent="0.25">
      <c r="D118" s="3"/>
      <c r="E118" s="3"/>
      <c r="F118" s="3"/>
    </row>
    <row r="119" spans="4:6" ht="12.75" customHeight="1" x14ac:dyDescent="0.25">
      <c r="D119" s="3"/>
      <c r="E119" s="3"/>
      <c r="F119" s="3"/>
    </row>
    <row r="120" spans="4:6" ht="12.75" customHeight="1" x14ac:dyDescent="0.25">
      <c r="D120" s="3"/>
      <c r="E120" s="3"/>
      <c r="F120" s="3"/>
    </row>
    <row r="121" spans="4:6" ht="12.75" customHeight="1" x14ac:dyDescent="0.25">
      <c r="D121" s="3"/>
      <c r="E121" s="3"/>
      <c r="F121" s="3"/>
    </row>
    <row r="122" spans="4:6" ht="12.75" customHeight="1" x14ac:dyDescent="0.25">
      <c r="D122" s="3"/>
      <c r="E122" s="3"/>
      <c r="F122" s="3"/>
    </row>
    <row r="123" spans="4:6" ht="12.75" customHeight="1" x14ac:dyDescent="0.25">
      <c r="D123" s="3"/>
      <c r="E123" s="3"/>
      <c r="F123" s="3"/>
    </row>
    <row r="124" spans="4:6" ht="12.75" customHeight="1" x14ac:dyDescent="0.25">
      <c r="D124" s="3"/>
      <c r="E124" s="3"/>
      <c r="F124" s="3"/>
    </row>
    <row r="125" spans="4:6" ht="12.75" customHeight="1" x14ac:dyDescent="0.25">
      <c r="D125" s="3"/>
      <c r="E125" s="3"/>
      <c r="F125" s="3"/>
    </row>
    <row r="126" spans="4:6" ht="12.75" customHeight="1" x14ac:dyDescent="0.25">
      <c r="D126" s="3"/>
      <c r="E126" s="3"/>
      <c r="F126" s="3"/>
    </row>
    <row r="127" spans="4:6" ht="12.75" customHeight="1" x14ac:dyDescent="0.25">
      <c r="D127" s="3"/>
      <c r="E127" s="3"/>
      <c r="F127" s="3"/>
    </row>
    <row r="128" spans="4:6" ht="12.75" customHeight="1" x14ac:dyDescent="0.25">
      <c r="D128" s="3"/>
      <c r="E128" s="3"/>
      <c r="F128" s="3"/>
    </row>
    <row r="129" spans="4:6" ht="12.75" customHeight="1" x14ac:dyDescent="0.25">
      <c r="D129" s="3"/>
      <c r="E129" s="3"/>
      <c r="F129" s="3"/>
    </row>
    <row r="130" spans="4:6" ht="12.75" customHeight="1" x14ac:dyDescent="0.25">
      <c r="D130" s="3"/>
      <c r="E130" s="3"/>
      <c r="F130" s="3"/>
    </row>
    <row r="131" spans="4:6" ht="12.75" customHeight="1" x14ac:dyDescent="0.25">
      <c r="D131" s="3"/>
      <c r="E131" s="3"/>
      <c r="F131" s="3"/>
    </row>
    <row r="132" spans="4:6" ht="12.75" customHeight="1" x14ac:dyDescent="0.25">
      <c r="D132" s="3"/>
      <c r="E132" s="3"/>
      <c r="F132" s="3"/>
    </row>
    <row r="133" spans="4:6" ht="12.75" customHeight="1" x14ac:dyDescent="0.25">
      <c r="D133" s="3"/>
      <c r="E133" s="3"/>
      <c r="F133" s="3"/>
    </row>
    <row r="134" spans="4:6" ht="12.75" customHeight="1" x14ac:dyDescent="0.25">
      <c r="D134" s="3"/>
      <c r="E134" s="3"/>
      <c r="F134" s="3"/>
    </row>
    <row r="135" spans="4:6" ht="12.75" customHeight="1" x14ac:dyDescent="0.25">
      <c r="D135" s="3"/>
      <c r="E135" s="3"/>
      <c r="F135" s="3"/>
    </row>
    <row r="136" spans="4:6" ht="12.75" customHeight="1" x14ac:dyDescent="0.25">
      <c r="D136" s="3"/>
      <c r="E136" s="3"/>
      <c r="F136" s="3"/>
    </row>
    <row r="137" spans="4:6" ht="12.75" customHeight="1" x14ac:dyDescent="0.25">
      <c r="D137" s="3"/>
      <c r="E137" s="3"/>
      <c r="F137" s="3"/>
    </row>
    <row r="138" spans="4:6" ht="12.75" customHeight="1" x14ac:dyDescent="0.25">
      <c r="D138" s="3"/>
      <c r="E138" s="3"/>
      <c r="F138" s="3"/>
    </row>
    <row r="139" spans="4:6" ht="12.75" customHeight="1" x14ac:dyDescent="0.25">
      <c r="D139" s="3"/>
      <c r="E139" s="3"/>
      <c r="F139" s="3"/>
    </row>
    <row r="140" spans="4:6" ht="12.75" customHeight="1" x14ac:dyDescent="0.25">
      <c r="D140" s="3"/>
      <c r="E140" s="3"/>
      <c r="F140" s="3"/>
    </row>
    <row r="141" spans="4:6" ht="12.75" customHeight="1" x14ac:dyDescent="0.25">
      <c r="D141" s="3"/>
      <c r="E141" s="3"/>
      <c r="F141" s="3"/>
    </row>
    <row r="142" spans="4:6" ht="12.75" customHeight="1" x14ac:dyDescent="0.25">
      <c r="D142" s="3"/>
      <c r="E142" s="3"/>
      <c r="F142" s="3"/>
    </row>
    <row r="143" spans="4:6" ht="12.75" customHeight="1" x14ac:dyDescent="0.25">
      <c r="D143" s="3"/>
      <c r="E143" s="3"/>
      <c r="F143" s="3"/>
    </row>
    <row r="144" spans="4:6" ht="12.75" customHeight="1" x14ac:dyDescent="0.25">
      <c r="D144" s="3"/>
      <c r="E144" s="3"/>
      <c r="F144" s="3"/>
    </row>
    <row r="145" spans="4:6" ht="12.75" customHeight="1" x14ac:dyDescent="0.25">
      <c r="D145" s="3"/>
      <c r="E145" s="3"/>
      <c r="F145" s="3"/>
    </row>
    <row r="146" spans="4:6" ht="12.75" customHeight="1" x14ac:dyDescent="0.25">
      <c r="D146" s="3"/>
      <c r="E146" s="3"/>
      <c r="F146" s="3"/>
    </row>
    <row r="147" spans="4:6" ht="12.75" customHeight="1" x14ac:dyDescent="0.25">
      <c r="D147" s="3"/>
      <c r="E147" s="3"/>
      <c r="F147" s="3"/>
    </row>
    <row r="148" spans="4:6" ht="12.75" customHeight="1" x14ac:dyDescent="0.25">
      <c r="D148" s="3"/>
      <c r="E148" s="3"/>
      <c r="F148" s="3"/>
    </row>
    <row r="149" spans="4:6" ht="12.75" customHeight="1" x14ac:dyDescent="0.25">
      <c r="D149" s="3"/>
      <c r="E149" s="3"/>
      <c r="F149" s="3"/>
    </row>
    <row r="150" spans="4:6" ht="12.75" customHeight="1" x14ac:dyDescent="0.25">
      <c r="D150" s="3"/>
      <c r="E150" s="3"/>
      <c r="F150" s="3"/>
    </row>
    <row r="151" spans="4:6" ht="12.75" customHeight="1" x14ac:dyDescent="0.25">
      <c r="D151" s="3"/>
      <c r="E151" s="3"/>
      <c r="F151" s="3"/>
    </row>
    <row r="152" spans="4:6" ht="12.75" customHeight="1" x14ac:dyDescent="0.25">
      <c r="D152" s="3"/>
      <c r="E152" s="3"/>
      <c r="F152" s="3"/>
    </row>
    <row r="153" spans="4:6" ht="12.75" customHeight="1" x14ac:dyDescent="0.25">
      <c r="D153" s="3"/>
      <c r="E153" s="3"/>
      <c r="F153" s="3"/>
    </row>
    <row r="154" spans="4:6" ht="12.75" customHeight="1" x14ac:dyDescent="0.25">
      <c r="D154" s="3"/>
      <c r="E154" s="3"/>
      <c r="F154" s="3"/>
    </row>
    <row r="155" spans="4:6" ht="12.75" customHeight="1" x14ac:dyDescent="0.25">
      <c r="D155" s="3"/>
      <c r="E155" s="3"/>
      <c r="F155" s="3"/>
    </row>
    <row r="156" spans="4:6" ht="12.75" customHeight="1" x14ac:dyDescent="0.25">
      <c r="D156" s="3"/>
      <c r="E156" s="3"/>
      <c r="F156" s="3"/>
    </row>
    <row r="157" spans="4:6" ht="12.75" customHeight="1" x14ac:dyDescent="0.25">
      <c r="D157" s="3"/>
      <c r="E157" s="3"/>
      <c r="F157" s="3"/>
    </row>
    <row r="158" spans="4:6" ht="12.75" customHeight="1" x14ac:dyDescent="0.25">
      <c r="D158" s="3"/>
      <c r="E158" s="3"/>
      <c r="F158" s="3"/>
    </row>
    <row r="159" spans="4:6" ht="12.75" customHeight="1" x14ac:dyDescent="0.25">
      <c r="D159" s="3"/>
      <c r="E159" s="3"/>
      <c r="F159" s="3"/>
    </row>
    <row r="160" spans="4:6" ht="12.75" customHeight="1" x14ac:dyDescent="0.25">
      <c r="D160" s="3"/>
      <c r="E160" s="3"/>
      <c r="F160" s="3"/>
    </row>
    <row r="161" spans="4:6" ht="12.75" customHeight="1" x14ac:dyDescent="0.25">
      <c r="D161" s="3"/>
      <c r="E161" s="3"/>
      <c r="F161" s="3"/>
    </row>
    <row r="162" spans="4:6" ht="12.75" customHeight="1" x14ac:dyDescent="0.25">
      <c r="D162" s="3"/>
      <c r="E162" s="3"/>
      <c r="F162" s="3"/>
    </row>
    <row r="163" spans="4:6" ht="12.75" customHeight="1" x14ac:dyDescent="0.25">
      <c r="D163" s="3"/>
      <c r="E163" s="3"/>
      <c r="F163" s="3"/>
    </row>
    <row r="164" spans="4:6" ht="12.75" customHeight="1" x14ac:dyDescent="0.25">
      <c r="D164" s="3"/>
      <c r="E164" s="3"/>
      <c r="F164" s="3"/>
    </row>
    <row r="165" spans="4:6" ht="12.75" customHeight="1" x14ac:dyDescent="0.25">
      <c r="D165" s="3"/>
      <c r="E165" s="3"/>
      <c r="F165" s="3"/>
    </row>
    <row r="166" spans="4:6" ht="12.75" customHeight="1" x14ac:dyDescent="0.25">
      <c r="D166" s="3"/>
      <c r="E166" s="3"/>
      <c r="F166" s="3"/>
    </row>
    <row r="167" spans="4:6" ht="12.75" customHeight="1" x14ac:dyDescent="0.25">
      <c r="D167" s="3"/>
      <c r="E167" s="3"/>
      <c r="F167" s="3"/>
    </row>
    <row r="168" spans="4:6" ht="12.75" customHeight="1" x14ac:dyDescent="0.25">
      <c r="D168" s="3"/>
      <c r="E168" s="3"/>
      <c r="F168" s="3"/>
    </row>
    <row r="169" spans="4:6" ht="12.75" customHeight="1" x14ac:dyDescent="0.25">
      <c r="D169" s="3"/>
      <c r="E169" s="3"/>
      <c r="F169" s="3"/>
    </row>
    <row r="170" spans="4:6" ht="12.75" customHeight="1" x14ac:dyDescent="0.25">
      <c r="D170" s="3"/>
      <c r="E170" s="3"/>
      <c r="F170" s="3"/>
    </row>
    <row r="171" spans="4:6" ht="12.75" customHeight="1" x14ac:dyDescent="0.25">
      <c r="D171" s="3"/>
      <c r="E171" s="3"/>
      <c r="F171" s="3"/>
    </row>
    <row r="172" spans="4:6" ht="12.75" customHeight="1" x14ac:dyDescent="0.25">
      <c r="D172" s="3"/>
      <c r="E172" s="3"/>
      <c r="F172" s="3"/>
    </row>
    <row r="173" spans="4:6" ht="12.75" customHeight="1" x14ac:dyDescent="0.25">
      <c r="D173" s="3"/>
      <c r="E173" s="3"/>
      <c r="F173" s="3"/>
    </row>
    <row r="174" spans="4:6" ht="12.75" customHeight="1" x14ac:dyDescent="0.25">
      <c r="D174" s="3"/>
      <c r="E174" s="3"/>
      <c r="F174" s="3"/>
    </row>
    <row r="175" spans="4:6" ht="12.75" customHeight="1" x14ac:dyDescent="0.25">
      <c r="D175" s="3"/>
      <c r="E175" s="3"/>
      <c r="F175" s="3"/>
    </row>
    <row r="176" spans="4:6" ht="12.75" customHeight="1" x14ac:dyDescent="0.25">
      <c r="D176" s="3"/>
      <c r="E176" s="3"/>
      <c r="F176" s="3"/>
    </row>
    <row r="177" spans="4:6" ht="12.75" customHeight="1" x14ac:dyDescent="0.25">
      <c r="D177" s="3"/>
      <c r="E177" s="3"/>
      <c r="F177" s="3"/>
    </row>
    <row r="178" spans="4:6" ht="12.75" customHeight="1" x14ac:dyDescent="0.25">
      <c r="D178" s="3"/>
      <c r="E178" s="3"/>
      <c r="F178" s="3"/>
    </row>
    <row r="179" spans="4:6" ht="12.75" customHeight="1" x14ac:dyDescent="0.25">
      <c r="D179" s="3"/>
      <c r="E179" s="3"/>
      <c r="F179" s="3"/>
    </row>
    <row r="180" spans="4:6" ht="12.75" customHeight="1" x14ac:dyDescent="0.25">
      <c r="D180" s="3"/>
      <c r="E180" s="3"/>
      <c r="F180" s="3"/>
    </row>
    <row r="181" spans="4:6" ht="12.75" customHeight="1" x14ac:dyDescent="0.25">
      <c r="D181" s="3"/>
      <c r="E181" s="3"/>
      <c r="F181" s="3"/>
    </row>
    <row r="182" spans="4:6" ht="12.75" customHeight="1" x14ac:dyDescent="0.25">
      <c r="D182" s="3"/>
      <c r="E182" s="3"/>
      <c r="F182" s="3"/>
    </row>
    <row r="183" spans="4:6" ht="12.75" customHeight="1" x14ac:dyDescent="0.25">
      <c r="D183" s="3"/>
      <c r="E183" s="3"/>
      <c r="F183" s="3"/>
    </row>
    <row r="184" spans="4:6" ht="12.75" customHeight="1" x14ac:dyDescent="0.25">
      <c r="D184" s="3"/>
      <c r="E184" s="3"/>
      <c r="F184" s="3"/>
    </row>
    <row r="185" spans="4:6" ht="12.75" customHeight="1" x14ac:dyDescent="0.25">
      <c r="D185" s="3"/>
      <c r="E185" s="3"/>
      <c r="F185" s="3"/>
    </row>
    <row r="186" spans="4:6" ht="12.75" customHeight="1" x14ac:dyDescent="0.25">
      <c r="D186" s="3"/>
      <c r="E186" s="3"/>
      <c r="F186" s="3"/>
    </row>
    <row r="187" spans="4:6" ht="12.75" customHeight="1" x14ac:dyDescent="0.25">
      <c r="D187" s="3"/>
      <c r="E187" s="3"/>
      <c r="F187" s="3"/>
    </row>
    <row r="188" spans="4:6" ht="12.75" customHeight="1" x14ac:dyDescent="0.25">
      <c r="D188" s="3"/>
      <c r="E188" s="3"/>
      <c r="F188" s="3"/>
    </row>
    <row r="189" spans="4:6" ht="12.75" customHeight="1" x14ac:dyDescent="0.25">
      <c r="D189" s="3"/>
      <c r="E189" s="3"/>
      <c r="F189" s="3"/>
    </row>
    <row r="190" spans="4:6" ht="12.75" customHeight="1" x14ac:dyDescent="0.25">
      <c r="D190" s="3"/>
      <c r="E190" s="3"/>
      <c r="F190" s="3"/>
    </row>
    <row r="191" spans="4:6" ht="12.75" customHeight="1" x14ac:dyDescent="0.25">
      <c r="D191" s="3"/>
      <c r="E191" s="3"/>
      <c r="F191" s="3"/>
    </row>
    <row r="192" spans="4:6" ht="12.75" customHeight="1" x14ac:dyDescent="0.25">
      <c r="D192" s="3"/>
      <c r="E192" s="3"/>
      <c r="F192" s="3"/>
    </row>
    <row r="193" spans="4:6" ht="12.75" customHeight="1" x14ac:dyDescent="0.25">
      <c r="D193" s="3"/>
      <c r="E193" s="3"/>
      <c r="F193" s="3"/>
    </row>
    <row r="194" spans="4:6" ht="12.75" customHeight="1" x14ac:dyDescent="0.25">
      <c r="D194" s="3"/>
      <c r="E194" s="3"/>
      <c r="F194" s="3"/>
    </row>
    <row r="195" spans="4:6" ht="12.75" customHeight="1" x14ac:dyDescent="0.25">
      <c r="D195" s="3"/>
      <c r="E195" s="3"/>
      <c r="F195" s="3"/>
    </row>
    <row r="196" spans="4:6" ht="12.75" customHeight="1" x14ac:dyDescent="0.25">
      <c r="D196" s="3"/>
      <c r="E196" s="3"/>
      <c r="F196" s="3"/>
    </row>
    <row r="197" spans="4:6" ht="12.75" customHeight="1" x14ac:dyDescent="0.25">
      <c r="D197" s="3"/>
      <c r="E197" s="3"/>
      <c r="F197" s="3"/>
    </row>
    <row r="198" spans="4:6" ht="12.75" customHeight="1" x14ac:dyDescent="0.25">
      <c r="D198" s="3"/>
      <c r="E198" s="3"/>
      <c r="F198" s="3"/>
    </row>
    <row r="199" spans="4:6" ht="12.75" customHeight="1" x14ac:dyDescent="0.25">
      <c r="D199" s="3"/>
      <c r="E199" s="3"/>
      <c r="F199" s="3"/>
    </row>
    <row r="200" spans="4:6" ht="12.75" customHeight="1" x14ac:dyDescent="0.25">
      <c r="D200" s="3"/>
      <c r="E200" s="3"/>
      <c r="F200" s="3"/>
    </row>
    <row r="201" spans="4:6" ht="12.75" customHeight="1" x14ac:dyDescent="0.25">
      <c r="D201" s="3"/>
      <c r="E201" s="3"/>
      <c r="F201" s="3"/>
    </row>
    <row r="202" spans="4:6" ht="12.75" customHeight="1" x14ac:dyDescent="0.25">
      <c r="D202" s="3"/>
      <c r="E202" s="3"/>
      <c r="F202" s="3"/>
    </row>
    <row r="203" spans="4:6" ht="12.75" customHeight="1" x14ac:dyDescent="0.25">
      <c r="D203" s="3"/>
      <c r="E203" s="3"/>
      <c r="F203" s="3"/>
    </row>
    <row r="204" spans="4:6" ht="12.75" customHeight="1" x14ac:dyDescent="0.25">
      <c r="D204" s="3"/>
      <c r="E204" s="3"/>
      <c r="F204" s="3"/>
    </row>
    <row r="205" spans="4:6" ht="12.75" customHeight="1" x14ac:dyDescent="0.25">
      <c r="D205" s="3"/>
      <c r="E205" s="3"/>
      <c r="F205" s="3"/>
    </row>
    <row r="206" spans="4:6" ht="12.75" customHeight="1" x14ac:dyDescent="0.25">
      <c r="D206" s="3"/>
      <c r="E206" s="3"/>
      <c r="F206" s="3"/>
    </row>
    <row r="207" spans="4:6" ht="12.75" customHeight="1" x14ac:dyDescent="0.25">
      <c r="D207" s="3"/>
      <c r="E207" s="3"/>
      <c r="F207" s="3"/>
    </row>
    <row r="208" spans="4:6" ht="12.75" customHeight="1" x14ac:dyDescent="0.25">
      <c r="D208" s="3"/>
      <c r="E208" s="3"/>
      <c r="F208" s="3"/>
    </row>
    <row r="209" spans="4:6" ht="12.75" customHeight="1" x14ac:dyDescent="0.25">
      <c r="D209" s="3"/>
      <c r="E209" s="3"/>
      <c r="F209" s="3"/>
    </row>
    <row r="210" spans="4:6" ht="12.75" customHeight="1" x14ac:dyDescent="0.25">
      <c r="D210" s="3"/>
      <c r="E210" s="3"/>
      <c r="F210" s="3"/>
    </row>
    <row r="211" spans="4:6" ht="12.75" customHeight="1" x14ac:dyDescent="0.25">
      <c r="D211" s="3"/>
      <c r="E211" s="3"/>
      <c r="F211" s="3"/>
    </row>
    <row r="212" spans="4:6" ht="12.75" customHeight="1" x14ac:dyDescent="0.25">
      <c r="D212" s="3"/>
      <c r="E212" s="3"/>
      <c r="F212" s="3"/>
    </row>
    <row r="213" spans="4:6" ht="12.75" customHeight="1" x14ac:dyDescent="0.25">
      <c r="D213" s="3"/>
      <c r="E213" s="3"/>
      <c r="F213" s="3"/>
    </row>
    <row r="214" spans="4:6" ht="12.75" customHeight="1" x14ac:dyDescent="0.25">
      <c r="D214" s="3"/>
      <c r="E214" s="3"/>
      <c r="F214" s="3"/>
    </row>
    <row r="215" spans="4:6" ht="12.75" customHeight="1" x14ac:dyDescent="0.25">
      <c r="D215" s="3"/>
      <c r="E215" s="3"/>
      <c r="F215" s="3"/>
    </row>
    <row r="216" spans="4:6" ht="12.75" customHeight="1" x14ac:dyDescent="0.25">
      <c r="D216" s="3"/>
      <c r="E216" s="3"/>
      <c r="F216" s="3"/>
    </row>
    <row r="217" spans="4:6" ht="12.75" customHeight="1" x14ac:dyDescent="0.25">
      <c r="D217" s="3"/>
      <c r="E217" s="3"/>
      <c r="F217" s="3"/>
    </row>
    <row r="218" spans="4:6" ht="12.75" customHeight="1" x14ac:dyDescent="0.25">
      <c r="D218" s="3"/>
      <c r="E218" s="3"/>
      <c r="F218" s="3"/>
    </row>
    <row r="219" spans="4:6" ht="12.75" customHeight="1" x14ac:dyDescent="0.25">
      <c r="D219" s="3"/>
      <c r="E219" s="3"/>
      <c r="F219" s="3"/>
    </row>
    <row r="220" spans="4:6" ht="12.75" customHeight="1" x14ac:dyDescent="0.25">
      <c r="D220" s="3"/>
      <c r="E220" s="3"/>
      <c r="F220" s="3"/>
    </row>
    <row r="221" spans="4:6" ht="12.75" customHeight="1" x14ac:dyDescent="0.25">
      <c r="D221" s="3"/>
      <c r="E221" s="3"/>
      <c r="F221" s="3"/>
    </row>
    <row r="222" spans="4:6" ht="12.75" customHeight="1" x14ac:dyDescent="0.25">
      <c r="D222" s="3"/>
      <c r="E222" s="3"/>
      <c r="F222" s="3"/>
    </row>
    <row r="223" spans="4:6" ht="12.75" customHeight="1" x14ac:dyDescent="0.25">
      <c r="D223" s="3"/>
      <c r="E223" s="3"/>
      <c r="F223" s="3"/>
    </row>
    <row r="224" spans="4:6" ht="12.75" customHeight="1" x14ac:dyDescent="0.25">
      <c r="D224" s="3"/>
      <c r="E224" s="3"/>
      <c r="F224" s="3"/>
    </row>
    <row r="225" spans="4:6" ht="12.75" customHeight="1" x14ac:dyDescent="0.25">
      <c r="D225" s="3"/>
      <c r="E225" s="3"/>
      <c r="F225" s="3"/>
    </row>
    <row r="226" spans="4:6" ht="12.75" customHeight="1" x14ac:dyDescent="0.25">
      <c r="D226" s="3"/>
      <c r="E226" s="3"/>
      <c r="F226" s="3"/>
    </row>
    <row r="227" spans="4:6" ht="12.75" customHeight="1" x14ac:dyDescent="0.25">
      <c r="D227" s="3"/>
      <c r="E227" s="3"/>
      <c r="F227" s="3"/>
    </row>
    <row r="228" spans="4:6" ht="12.75" customHeight="1" x14ac:dyDescent="0.25">
      <c r="D228" s="3"/>
      <c r="E228" s="3"/>
      <c r="F228" s="3"/>
    </row>
    <row r="229" spans="4:6" ht="12.75" customHeight="1" x14ac:dyDescent="0.25">
      <c r="D229" s="3"/>
      <c r="E229" s="3"/>
      <c r="F229" s="3"/>
    </row>
    <row r="230" spans="4:6" ht="12.75" customHeight="1" x14ac:dyDescent="0.25">
      <c r="D230" s="3"/>
      <c r="E230" s="3"/>
      <c r="F230" s="3"/>
    </row>
    <row r="231" spans="4:6" ht="12.75" customHeight="1" x14ac:dyDescent="0.25">
      <c r="D231" s="3"/>
      <c r="E231" s="3"/>
      <c r="F231" s="3"/>
    </row>
    <row r="232" spans="4:6" ht="12.75" customHeight="1" x14ac:dyDescent="0.25">
      <c r="D232" s="3"/>
      <c r="E232" s="3"/>
      <c r="F232" s="3"/>
    </row>
    <row r="233" spans="4:6" ht="12.75" customHeight="1" x14ac:dyDescent="0.25">
      <c r="D233" s="3"/>
      <c r="E233" s="3"/>
      <c r="F233" s="3"/>
    </row>
    <row r="234" spans="4:6" ht="12.75" customHeight="1" x14ac:dyDescent="0.25">
      <c r="D234" s="3"/>
      <c r="E234" s="3"/>
      <c r="F234" s="3"/>
    </row>
    <row r="235" spans="4:6" ht="12.75" customHeight="1" x14ac:dyDescent="0.25">
      <c r="D235" s="3"/>
      <c r="E235" s="3"/>
      <c r="F235" s="3"/>
    </row>
    <row r="236" spans="4:6" ht="12.75" customHeight="1" x14ac:dyDescent="0.25">
      <c r="D236" s="3"/>
      <c r="E236" s="3"/>
      <c r="F236" s="3"/>
    </row>
    <row r="237" spans="4:6" ht="12.75" customHeight="1" x14ac:dyDescent="0.25">
      <c r="D237" s="3"/>
      <c r="E237" s="3"/>
      <c r="F237" s="3"/>
    </row>
    <row r="238" spans="4:6" ht="12.75" customHeight="1" x14ac:dyDescent="0.25">
      <c r="D238" s="3"/>
      <c r="E238" s="3"/>
      <c r="F238" s="3"/>
    </row>
    <row r="239" spans="4:6" ht="12.75" customHeight="1" x14ac:dyDescent="0.25">
      <c r="D239" s="3"/>
      <c r="E239" s="3"/>
      <c r="F239" s="3"/>
    </row>
    <row r="240" spans="4:6" ht="12.75" customHeight="1" x14ac:dyDescent="0.25">
      <c r="D240" s="3"/>
      <c r="E240" s="3"/>
      <c r="F240" s="3"/>
    </row>
    <row r="241" spans="4:6" ht="12.75" customHeight="1" x14ac:dyDescent="0.25">
      <c r="D241" s="3"/>
      <c r="E241" s="3"/>
      <c r="F241" s="3"/>
    </row>
    <row r="242" spans="4:6" ht="12.75" customHeight="1" x14ac:dyDescent="0.25">
      <c r="D242" s="3"/>
      <c r="E242" s="3"/>
      <c r="F242" s="3"/>
    </row>
    <row r="243" spans="4:6" ht="12.75" customHeight="1" x14ac:dyDescent="0.25">
      <c r="D243" s="3"/>
      <c r="E243" s="3"/>
      <c r="F243" s="3"/>
    </row>
    <row r="244" spans="4:6" ht="12.75" customHeight="1" x14ac:dyDescent="0.25">
      <c r="D244" s="3"/>
      <c r="E244" s="3"/>
      <c r="F244" s="3"/>
    </row>
    <row r="245" spans="4:6" ht="12.75" customHeight="1" x14ac:dyDescent="0.25">
      <c r="D245" s="3"/>
      <c r="E245" s="3"/>
      <c r="F245" s="3"/>
    </row>
    <row r="246" spans="4:6" ht="12.75" customHeight="1" x14ac:dyDescent="0.25">
      <c r="D246" s="3"/>
      <c r="E246" s="3"/>
      <c r="F246" s="3"/>
    </row>
    <row r="247" spans="4:6" ht="12.75" customHeight="1" x14ac:dyDescent="0.25">
      <c r="D247" s="3"/>
      <c r="E247" s="3"/>
      <c r="F247" s="3"/>
    </row>
    <row r="248" spans="4:6" ht="12.75" customHeight="1" x14ac:dyDescent="0.25">
      <c r="D248" s="3"/>
      <c r="E248" s="3"/>
      <c r="F248" s="3"/>
    </row>
    <row r="249" spans="4:6" ht="12.75" customHeight="1" x14ac:dyDescent="0.25">
      <c r="D249" s="3"/>
      <c r="E249" s="3"/>
      <c r="F249" s="3"/>
    </row>
    <row r="250" spans="4:6" ht="12.75" customHeight="1" x14ac:dyDescent="0.25">
      <c r="D250" s="3"/>
      <c r="E250" s="3"/>
      <c r="F250" s="3"/>
    </row>
    <row r="251" spans="4:6" ht="12.75" customHeight="1" x14ac:dyDescent="0.25">
      <c r="D251" s="3"/>
      <c r="E251" s="3"/>
      <c r="F251" s="3"/>
    </row>
    <row r="252" spans="4:6" ht="12.75" customHeight="1" x14ac:dyDescent="0.25">
      <c r="D252" s="3"/>
      <c r="E252" s="3"/>
      <c r="F252" s="3"/>
    </row>
    <row r="253" spans="4:6" ht="12.75" customHeight="1" x14ac:dyDescent="0.25">
      <c r="D253" s="3"/>
      <c r="E253" s="3"/>
      <c r="F253" s="3"/>
    </row>
    <row r="254" spans="4:6" ht="12.75" customHeight="1" x14ac:dyDescent="0.25">
      <c r="D254" s="3"/>
      <c r="E254" s="3"/>
      <c r="F254" s="3"/>
    </row>
    <row r="255" spans="4:6" ht="12.75" customHeight="1" x14ac:dyDescent="0.25">
      <c r="D255" s="3"/>
      <c r="E255" s="3"/>
      <c r="F255" s="3"/>
    </row>
    <row r="256" spans="4:6" ht="12.75" customHeight="1" x14ac:dyDescent="0.25">
      <c r="D256" s="3"/>
      <c r="E256" s="3"/>
      <c r="F256" s="3"/>
    </row>
    <row r="257" spans="4:6" ht="12.75" customHeight="1" x14ac:dyDescent="0.25">
      <c r="D257" s="3"/>
      <c r="E257" s="3"/>
      <c r="F257" s="3"/>
    </row>
    <row r="258" spans="4:6" ht="12.75" customHeight="1" x14ac:dyDescent="0.25">
      <c r="D258" s="3"/>
      <c r="E258" s="3"/>
      <c r="F258" s="3"/>
    </row>
    <row r="259" spans="4:6" ht="12.75" customHeight="1" x14ac:dyDescent="0.25">
      <c r="D259" s="3"/>
      <c r="E259" s="3"/>
      <c r="F259" s="3"/>
    </row>
    <row r="260" spans="4:6" ht="12.75" customHeight="1" x14ac:dyDescent="0.25">
      <c r="D260" s="3"/>
      <c r="E260" s="3"/>
      <c r="F260" s="3"/>
    </row>
    <row r="261" spans="4:6" ht="12.75" customHeight="1" x14ac:dyDescent="0.25">
      <c r="D261" s="3"/>
      <c r="E261" s="3"/>
      <c r="F261" s="3"/>
    </row>
    <row r="262" spans="4:6" ht="12.75" customHeight="1" x14ac:dyDescent="0.25">
      <c r="D262" s="3"/>
      <c r="E262" s="3"/>
      <c r="F262" s="3"/>
    </row>
    <row r="263" spans="4:6" ht="12.75" customHeight="1" x14ac:dyDescent="0.25">
      <c r="D263" s="3"/>
      <c r="E263" s="3"/>
      <c r="F263" s="3"/>
    </row>
    <row r="264" spans="4:6" ht="12.75" customHeight="1" x14ac:dyDescent="0.25">
      <c r="D264" s="3"/>
      <c r="E264" s="3"/>
      <c r="F264" s="3"/>
    </row>
    <row r="265" spans="4:6" ht="12.75" customHeight="1" x14ac:dyDescent="0.25">
      <c r="D265" s="3"/>
      <c r="E265" s="3"/>
      <c r="F265" s="3"/>
    </row>
    <row r="266" spans="4:6" ht="12.75" customHeight="1" x14ac:dyDescent="0.25">
      <c r="D266" s="3"/>
      <c r="E266" s="3"/>
      <c r="F266" s="3"/>
    </row>
    <row r="267" spans="4:6" ht="12.75" customHeight="1" x14ac:dyDescent="0.25">
      <c r="D267" s="3"/>
      <c r="E267" s="3"/>
      <c r="F267" s="3"/>
    </row>
    <row r="268" spans="4:6" ht="12.75" customHeight="1" x14ac:dyDescent="0.25">
      <c r="D268" s="3"/>
      <c r="E268" s="3"/>
      <c r="F268" s="3"/>
    </row>
    <row r="269" spans="4:6" ht="12.75" customHeight="1" x14ac:dyDescent="0.25">
      <c r="D269" s="3"/>
      <c r="E269" s="3"/>
      <c r="F269" s="3"/>
    </row>
    <row r="270" spans="4:6" ht="12.75" customHeight="1" x14ac:dyDescent="0.25">
      <c r="D270" s="3"/>
      <c r="E270" s="3"/>
      <c r="F270" s="3"/>
    </row>
    <row r="271" spans="4:6" ht="12.75" customHeight="1" x14ac:dyDescent="0.25">
      <c r="D271" s="3"/>
      <c r="E271" s="3"/>
      <c r="F271" s="3"/>
    </row>
    <row r="272" spans="4:6" ht="12.75" customHeight="1" x14ac:dyDescent="0.25">
      <c r="D272" s="3"/>
      <c r="E272" s="3"/>
      <c r="F272" s="3"/>
    </row>
    <row r="273" spans="4:6" ht="12.75" customHeight="1" x14ac:dyDescent="0.25">
      <c r="D273" s="3"/>
      <c r="E273" s="3"/>
      <c r="F273" s="3"/>
    </row>
    <row r="274" spans="4:6" ht="12.75" customHeight="1" x14ac:dyDescent="0.25">
      <c r="D274" s="3"/>
      <c r="E274" s="3"/>
      <c r="F274" s="3"/>
    </row>
    <row r="275" spans="4:6" ht="12.75" customHeight="1" x14ac:dyDescent="0.25">
      <c r="D275" s="3"/>
      <c r="E275" s="3"/>
      <c r="F275" s="3"/>
    </row>
    <row r="276" spans="4:6" ht="12.75" customHeight="1" x14ac:dyDescent="0.25">
      <c r="D276" s="3"/>
      <c r="E276" s="3"/>
      <c r="F276" s="3"/>
    </row>
    <row r="277" spans="4:6" ht="12.75" customHeight="1" x14ac:dyDescent="0.25">
      <c r="D277" s="3"/>
      <c r="E277" s="3"/>
      <c r="F277" s="3"/>
    </row>
    <row r="278" spans="4:6" ht="12.75" customHeight="1" x14ac:dyDescent="0.25">
      <c r="D278" s="3"/>
      <c r="E278" s="3"/>
      <c r="F278" s="3"/>
    </row>
    <row r="279" spans="4:6" ht="12.75" customHeight="1" x14ac:dyDescent="0.25">
      <c r="D279" s="3"/>
      <c r="E279" s="3"/>
      <c r="F279" s="3"/>
    </row>
    <row r="280" spans="4:6" ht="12.75" customHeight="1" x14ac:dyDescent="0.25">
      <c r="D280" s="3"/>
      <c r="E280" s="3"/>
      <c r="F280" s="3"/>
    </row>
    <row r="281" spans="4:6" ht="12.75" customHeight="1" x14ac:dyDescent="0.25">
      <c r="D281" s="3"/>
      <c r="E281" s="3"/>
      <c r="F281" s="3"/>
    </row>
    <row r="282" spans="4:6" ht="12.75" customHeight="1" x14ac:dyDescent="0.25">
      <c r="D282" s="3"/>
      <c r="E282" s="3"/>
      <c r="F282" s="3"/>
    </row>
    <row r="283" spans="4:6" ht="12.75" customHeight="1" x14ac:dyDescent="0.25">
      <c r="D283" s="3"/>
      <c r="E283" s="3"/>
      <c r="F283" s="3"/>
    </row>
    <row r="284" spans="4:6" ht="12.75" customHeight="1" x14ac:dyDescent="0.25">
      <c r="D284" s="3"/>
      <c r="E284" s="3"/>
      <c r="F284" s="3"/>
    </row>
    <row r="285" spans="4:6" ht="12.75" customHeight="1" x14ac:dyDescent="0.25">
      <c r="D285" s="3"/>
      <c r="E285" s="3"/>
      <c r="F285" s="3"/>
    </row>
    <row r="286" spans="4:6" ht="12.75" customHeight="1" x14ac:dyDescent="0.25">
      <c r="D286" s="3"/>
      <c r="E286" s="3"/>
      <c r="F286" s="3"/>
    </row>
    <row r="287" spans="4:6" ht="12.75" customHeight="1" x14ac:dyDescent="0.25">
      <c r="D287" s="3"/>
      <c r="E287" s="3"/>
      <c r="F287" s="3"/>
    </row>
    <row r="288" spans="4:6" ht="12.75" customHeight="1" x14ac:dyDescent="0.25">
      <c r="D288" s="3"/>
      <c r="E288" s="3"/>
      <c r="F288" s="3"/>
    </row>
    <row r="289" spans="4:6" ht="12.75" customHeight="1" x14ac:dyDescent="0.25">
      <c r="D289" s="3"/>
      <c r="E289" s="3"/>
      <c r="F289" s="3"/>
    </row>
    <row r="290" spans="4:6" ht="12.75" customHeight="1" x14ac:dyDescent="0.25">
      <c r="D290" s="3"/>
      <c r="E290" s="3"/>
      <c r="F290" s="3"/>
    </row>
    <row r="291" spans="4:6" ht="12.75" customHeight="1" x14ac:dyDescent="0.25">
      <c r="D291" s="3"/>
      <c r="E291" s="3"/>
      <c r="F291" s="3"/>
    </row>
    <row r="292" spans="4:6" ht="12.75" customHeight="1" x14ac:dyDescent="0.25">
      <c r="D292" s="3"/>
      <c r="E292" s="3"/>
      <c r="F292" s="3"/>
    </row>
    <row r="293" spans="4:6" ht="12.75" customHeight="1" x14ac:dyDescent="0.25">
      <c r="D293" s="3"/>
      <c r="E293" s="3"/>
      <c r="F293" s="3"/>
    </row>
    <row r="294" spans="4:6" ht="12.75" customHeight="1" x14ac:dyDescent="0.25">
      <c r="D294" s="3"/>
      <c r="E294" s="3"/>
      <c r="F294" s="3"/>
    </row>
    <row r="295" spans="4:6" ht="12.75" customHeight="1" x14ac:dyDescent="0.25">
      <c r="D295" s="3"/>
      <c r="E295" s="3"/>
      <c r="F295" s="3"/>
    </row>
    <row r="296" spans="4:6" ht="12.75" customHeight="1" x14ac:dyDescent="0.25">
      <c r="D296" s="3"/>
      <c r="E296" s="3"/>
      <c r="F296" s="3"/>
    </row>
    <row r="297" spans="4:6" ht="12.75" customHeight="1" x14ac:dyDescent="0.25">
      <c r="D297" s="3"/>
      <c r="E297" s="3"/>
      <c r="F297" s="3"/>
    </row>
    <row r="298" spans="4:6" ht="12.75" customHeight="1" x14ac:dyDescent="0.25">
      <c r="D298" s="3"/>
      <c r="E298" s="3"/>
      <c r="F298" s="3"/>
    </row>
    <row r="299" spans="4:6" ht="12.75" customHeight="1" x14ac:dyDescent="0.25">
      <c r="D299" s="3"/>
      <c r="E299" s="3"/>
      <c r="F299" s="3"/>
    </row>
    <row r="300" spans="4:6" ht="12.75" customHeight="1" x14ac:dyDescent="0.25">
      <c r="D300" s="3"/>
      <c r="E300" s="3"/>
      <c r="F300" s="3"/>
    </row>
    <row r="301" spans="4:6" ht="12.75" customHeight="1" x14ac:dyDescent="0.25">
      <c r="D301" s="3"/>
      <c r="E301" s="3"/>
      <c r="F301" s="3"/>
    </row>
    <row r="302" spans="4:6" ht="12.75" customHeight="1" x14ac:dyDescent="0.25">
      <c r="D302" s="3"/>
      <c r="E302" s="3"/>
      <c r="F302" s="3"/>
    </row>
    <row r="303" spans="4:6" ht="12.75" customHeight="1" x14ac:dyDescent="0.25">
      <c r="D303" s="3"/>
      <c r="E303" s="3"/>
      <c r="F303" s="3"/>
    </row>
    <row r="304" spans="4:6" ht="12.75" customHeight="1" x14ac:dyDescent="0.25">
      <c r="D304" s="3"/>
      <c r="E304" s="3"/>
      <c r="F304" s="3"/>
    </row>
    <row r="305" spans="4:6" ht="12.75" customHeight="1" x14ac:dyDescent="0.25">
      <c r="D305" s="3"/>
      <c r="E305" s="3"/>
      <c r="F305" s="3"/>
    </row>
    <row r="306" spans="4:6" ht="12.75" customHeight="1" x14ac:dyDescent="0.25">
      <c r="D306" s="3"/>
      <c r="E306" s="3"/>
      <c r="F306" s="3"/>
    </row>
    <row r="307" spans="4:6" ht="12.75" customHeight="1" x14ac:dyDescent="0.25">
      <c r="D307" s="3"/>
      <c r="E307" s="3"/>
      <c r="F307" s="3"/>
    </row>
    <row r="308" spans="4:6" ht="12.75" customHeight="1" x14ac:dyDescent="0.25">
      <c r="D308" s="3"/>
      <c r="E308" s="3"/>
      <c r="F308" s="3"/>
    </row>
    <row r="309" spans="4:6" ht="12.75" customHeight="1" x14ac:dyDescent="0.25">
      <c r="D309" s="3"/>
      <c r="E309" s="3"/>
      <c r="F309" s="3"/>
    </row>
    <row r="310" spans="4:6" ht="12.75" customHeight="1" x14ac:dyDescent="0.25">
      <c r="D310" s="3"/>
      <c r="E310" s="3"/>
      <c r="F310" s="3"/>
    </row>
    <row r="311" spans="4:6" ht="12.75" customHeight="1" x14ac:dyDescent="0.25">
      <c r="D311" s="3"/>
      <c r="E311" s="3"/>
      <c r="F311" s="3"/>
    </row>
    <row r="312" spans="4:6" ht="12.75" customHeight="1" x14ac:dyDescent="0.25">
      <c r="D312" s="3"/>
      <c r="E312" s="3"/>
      <c r="F312" s="3"/>
    </row>
    <row r="313" spans="4:6" ht="12.75" customHeight="1" x14ac:dyDescent="0.25">
      <c r="D313" s="3"/>
      <c r="E313" s="3"/>
      <c r="F313" s="3"/>
    </row>
    <row r="314" spans="4:6" ht="12.75" customHeight="1" x14ac:dyDescent="0.25">
      <c r="D314" s="3"/>
      <c r="E314" s="3"/>
      <c r="F314" s="3"/>
    </row>
    <row r="315" spans="4:6" ht="12.75" customHeight="1" x14ac:dyDescent="0.25">
      <c r="D315" s="3"/>
      <c r="E315" s="3"/>
      <c r="F315" s="3"/>
    </row>
    <row r="316" spans="4:6" ht="12.75" customHeight="1" x14ac:dyDescent="0.25">
      <c r="D316" s="3"/>
      <c r="E316" s="3"/>
      <c r="F316" s="3"/>
    </row>
    <row r="317" spans="4:6" ht="12.75" customHeight="1" x14ac:dyDescent="0.25">
      <c r="D317" s="3"/>
      <c r="E317" s="3"/>
      <c r="F317" s="3"/>
    </row>
    <row r="318" spans="4:6" ht="12.75" customHeight="1" x14ac:dyDescent="0.25">
      <c r="D318" s="3"/>
      <c r="E318" s="3"/>
      <c r="F318" s="3"/>
    </row>
    <row r="319" spans="4:6" ht="12.75" customHeight="1" x14ac:dyDescent="0.25">
      <c r="D319" s="3"/>
      <c r="E319" s="3"/>
      <c r="F319" s="3"/>
    </row>
    <row r="320" spans="4:6" ht="12.75" customHeight="1" x14ac:dyDescent="0.25">
      <c r="D320" s="3"/>
      <c r="E320" s="3"/>
      <c r="F320" s="3"/>
    </row>
    <row r="321" spans="4:6" ht="12.75" customHeight="1" x14ac:dyDescent="0.25">
      <c r="D321" s="3"/>
      <c r="E321" s="3"/>
      <c r="F321" s="3"/>
    </row>
    <row r="322" spans="4:6" ht="12.75" customHeight="1" x14ac:dyDescent="0.25">
      <c r="D322" s="3"/>
      <c r="E322" s="3"/>
      <c r="F322" s="3"/>
    </row>
    <row r="323" spans="4:6" ht="12.75" customHeight="1" x14ac:dyDescent="0.25">
      <c r="D323" s="3"/>
      <c r="E323" s="3"/>
      <c r="F323" s="3"/>
    </row>
    <row r="324" spans="4:6" ht="12.75" customHeight="1" x14ac:dyDescent="0.25">
      <c r="D324" s="3"/>
      <c r="E324" s="3"/>
      <c r="F324" s="3"/>
    </row>
    <row r="325" spans="4:6" ht="12.75" customHeight="1" x14ac:dyDescent="0.25">
      <c r="D325" s="3"/>
      <c r="E325" s="3"/>
      <c r="F325" s="3"/>
    </row>
    <row r="326" spans="4:6" ht="12.75" customHeight="1" x14ac:dyDescent="0.25">
      <c r="D326" s="3"/>
      <c r="E326" s="3"/>
      <c r="F326" s="3"/>
    </row>
    <row r="327" spans="4:6" ht="12.75" customHeight="1" x14ac:dyDescent="0.25">
      <c r="D327" s="3"/>
      <c r="E327" s="3"/>
      <c r="F327" s="3"/>
    </row>
    <row r="328" spans="4:6" ht="12.75" customHeight="1" x14ac:dyDescent="0.25">
      <c r="D328" s="3"/>
      <c r="E328" s="3"/>
      <c r="F328" s="3"/>
    </row>
    <row r="329" spans="4:6" ht="12.75" customHeight="1" x14ac:dyDescent="0.25">
      <c r="D329" s="3"/>
      <c r="E329" s="3"/>
      <c r="F329" s="3"/>
    </row>
    <row r="330" spans="4:6" ht="12.75" customHeight="1" x14ac:dyDescent="0.25">
      <c r="D330" s="3"/>
      <c r="E330" s="3"/>
      <c r="F330" s="3"/>
    </row>
    <row r="331" spans="4:6" ht="12.75" customHeight="1" x14ac:dyDescent="0.25">
      <c r="D331" s="3"/>
      <c r="E331" s="3"/>
      <c r="F331" s="3"/>
    </row>
    <row r="332" spans="4:6" ht="12.75" customHeight="1" x14ac:dyDescent="0.25">
      <c r="D332" s="3"/>
      <c r="E332" s="3"/>
      <c r="F332" s="3"/>
    </row>
    <row r="333" spans="4:6" ht="12.75" customHeight="1" x14ac:dyDescent="0.25">
      <c r="D333" s="3"/>
      <c r="E333" s="3"/>
      <c r="F333" s="3"/>
    </row>
    <row r="334" spans="4:6" ht="12.75" customHeight="1" x14ac:dyDescent="0.25">
      <c r="D334" s="3"/>
      <c r="E334" s="3"/>
      <c r="F334" s="3"/>
    </row>
    <row r="335" spans="4:6" ht="12.75" customHeight="1" x14ac:dyDescent="0.25">
      <c r="D335" s="3"/>
      <c r="E335" s="3"/>
      <c r="F335" s="3"/>
    </row>
    <row r="336" spans="4:6" ht="12.75" customHeight="1" x14ac:dyDescent="0.25">
      <c r="D336" s="3"/>
      <c r="E336" s="3"/>
      <c r="F336" s="3"/>
    </row>
    <row r="337" spans="4:6" ht="12.75" customHeight="1" x14ac:dyDescent="0.25">
      <c r="D337" s="3"/>
      <c r="E337" s="3"/>
      <c r="F337" s="3"/>
    </row>
    <row r="338" spans="4:6" ht="12.75" customHeight="1" x14ac:dyDescent="0.25">
      <c r="D338" s="3"/>
      <c r="E338" s="3"/>
      <c r="F338" s="3"/>
    </row>
    <row r="339" spans="4:6" ht="12.75" customHeight="1" x14ac:dyDescent="0.25">
      <c r="D339" s="3"/>
      <c r="E339" s="3"/>
      <c r="F339" s="3"/>
    </row>
    <row r="340" spans="4:6" ht="12.75" customHeight="1" x14ac:dyDescent="0.25">
      <c r="D340" s="3"/>
      <c r="E340" s="3"/>
      <c r="F340" s="3"/>
    </row>
    <row r="341" spans="4:6" ht="12.75" customHeight="1" x14ac:dyDescent="0.25">
      <c r="D341" s="3"/>
      <c r="E341" s="3"/>
      <c r="F341" s="3"/>
    </row>
    <row r="342" spans="4:6" ht="12.75" customHeight="1" x14ac:dyDescent="0.25">
      <c r="D342" s="3"/>
      <c r="E342" s="3"/>
      <c r="F342" s="3"/>
    </row>
    <row r="343" spans="4:6" ht="12.75" customHeight="1" x14ac:dyDescent="0.25">
      <c r="D343" s="3"/>
      <c r="E343" s="3"/>
      <c r="F343" s="3"/>
    </row>
    <row r="344" spans="4:6" ht="12.75" customHeight="1" x14ac:dyDescent="0.25">
      <c r="D344" s="3"/>
      <c r="E344" s="3"/>
      <c r="F344" s="3"/>
    </row>
    <row r="345" spans="4:6" ht="12.75" customHeight="1" x14ac:dyDescent="0.25">
      <c r="D345" s="3"/>
      <c r="E345" s="3"/>
      <c r="F345" s="3"/>
    </row>
    <row r="346" spans="4:6" ht="12.75" customHeight="1" x14ac:dyDescent="0.25">
      <c r="D346" s="3"/>
      <c r="E346" s="3"/>
      <c r="F346" s="3"/>
    </row>
    <row r="347" spans="4:6" ht="12.75" customHeight="1" x14ac:dyDescent="0.25">
      <c r="D347" s="3"/>
      <c r="E347" s="3"/>
      <c r="F347" s="3"/>
    </row>
    <row r="348" spans="4:6" ht="12.75" customHeight="1" x14ac:dyDescent="0.25">
      <c r="D348" s="3"/>
      <c r="E348" s="3"/>
      <c r="F348" s="3"/>
    </row>
    <row r="349" spans="4:6" ht="12.75" customHeight="1" x14ac:dyDescent="0.25">
      <c r="D349" s="3"/>
      <c r="E349" s="3"/>
      <c r="F349" s="3"/>
    </row>
    <row r="350" spans="4:6" ht="12.75" customHeight="1" x14ac:dyDescent="0.25">
      <c r="D350" s="3"/>
      <c r="E350" s="3"/>
      <c r="F350" s="3"/>
    </row>
    <row r="351" spans="4:6" ht="12.75" customHeight="1" x14ac:dyDescent="0.25">
      <c r="D351" s="3"/>
      <c r="E351" s="3"/>
      <c r="F351" s="3"/>
    </row>
    <row r="352" spans="4:6" ht="12.75" customHeight="1" x14ac:dyDescent="0.25">
      <c r="D352" s="3"/>
      <c r="E352" s="3"/>
      <c r="F352" s="3"/>
    </row>
    <row r="353" spans="4:6" ht="12.75" customHeight="1" x14ac:dyDescent="0.25">
      <c r="D353" s="3"/>
      <c r="E353" s="3"/>
      <c r="F353" s="3"/>
    </row>
    <row r="354" spans="4:6" ht="12.75" customHeight="1" x14ac:dyDescent="0.25">
      <c r="D354" s="3"/>
      <c r="E354" s="3"/>
      <c r="F354" s="3"/>
    </row>
    <row r="355" spans="4:6" ht="12.75" customHeight="1" x14ac:dyDescent="0.25">
      <c r="D355" s="3"/>
      <c r="E355" s="3"/>
      <c r="F355" s="3"/>
    </row>
    <row r="356" spans="4:6" ht="12.75" customHeight="1" x14ac:dyDescent="0.25">
      <c r="D356" s="3"/>
      <c r="E356" s="3"/>
      <c r="F356" s="3"/>
    </row>
    <row r="357" spans="4:6" ht="12.75" customHeight="1" x14ac:dyDescent="0.25">
      <c r="D357" s="3"/>
      <c r="E357" s="3"/>
      <c r="F357" s="3"/>
    </row>
    <row r="358" spans="4:6" ht="12.75" customHeight="1" x14ac:dyDescent="0.25">
      <c r="D358" s="3"/>
      <c r="E358" s="3"/>
      <c r="F358" s="3"/>
    </row>
    <row r="359" spans="4:6" ht="12.75" customHeight="1" x14ac:dyDescent="0.25">
      <c r="D359" s="3"/>
      <c r="E359" s="3"/>
      <c r="F359" s="3"/>
    </row>
    <row r="360" spans="4:6" ht="12.75" customHeight="1" x14ac:dyDescent="0.25">
      <c r="D360" s="3"/>
      <c r="E360" s="3"/>
      <c r="F360" s="3"/>
    </row>
    <row r="361" spans="4:6" ht="12.75" customHeight="1" x14ac:dyDescent="0.25">
      <c r="D361" s="3"/>
      <c r="E361" s="3"/>
      <c r="F361" s="3"/>
    </row>
    <row r="362" spans="4:6" ht="12.75" customHeight="1" x14ac:dyDescent="0.25">
      <c r="D362" s="3"/>
      <c r="E362" s="3"/>
      <c r="F362" s="3"/>
    </row>
    <row r="363" spans="4:6" ht="12.75" customHeight="1" x14ac:dyDescent="0.25">
      <c r="D363" s="3"/>
      <c r="E363" s="3"/>
      <c r="F363" s="3"/>
    </row>
    <row r="364" spans="4:6" ht="12.75" customHeight="1" x14ac:dyDescent="0.25">
      <c r="D364" s="3"/>
      <c r="E364" s="3"/>
      <c r="F364" s="3"/>
    </row>
    <row r="365" spans="4:6" ht="12.75" customHeight="1" x14ac:dyDescent="0.25">
      <c r="D365" s="3"/>
      <c r="E365" s="3"/>
      <c r="F365" s="3"/>
    </row>
    <row r="366" spans="4:6" ht="12.75" customHeight="1" x14ac:dyDescent="0.25">
      <c r="D366" s="3"/>
      <c r="E366" s="3"/>
      <c r="F366" s="3"/>
    </row>
    <row r="367" spans="4:6" ht="12.75" customHeight="1" x14ac:dyDescent="0.25">
      <c r="D367" s="3"/>
      <c r="E367" s="3"/>
      <c r="F367" s="3"/>
    </row>
    <row r="368" spans="4:6" ht="12.75" customHeight="1" x14ac:dyDescent="0.25">
      <c r="D368" s="3"/>
      <c r="E368" s="3"/>
      <c r="F368" s="3"/>
    </row>
    <row r="369" spans="4:6" ht="12.75" customHeight="1" x14ac:dyDescent="0.25">
      <c r="D369" s="3"/>
      <c r="E369" s="3"/>
      <c r="F369" s="3"/>
    </row>
    <row r="370" spans="4:6" ht="12.75" customHeight="1" x14ac:dyDescent="0.25">
      <c r="D370" s="3"/>
      <c r="E370" s="3"/>
      <c r="F370" s="3"/>
    </row>
    <row r="371" spans="4:6" ht="12.75" customHeight="1" x14ac:dyDescent="0.25">
      <c r="D371" s="3"/>
      <c r="E371" s="3"/>
      <c r="F371" s="3"/>
    </row>
    <row r="372" spans="4:6" ht="12.75" customHeight="1" x14ac:dyDescent="0.25">
      <c r="D372" s="3"/>
      <c r="E372" s="3"/>
      <c r="F372" s="3"/>
    </row>
    <row r="373" spans="4:6" ht="12.75" customHeight="1" x14ac:dyDescent="0.25">
      <c r="D373" s="3"/>
      <c r="E373" s="3"/>
      <c r="F373" s="3"/>
    </row>
    <row r="374" spans="4:6" ht="12.75" customHeight="1" x14ac:dyDescent="0.25">
      <c r="D374" s="3"/>
      <c r="E374" s="3"/>
      <c r="F374" s="3"/>
    </row>
    <row r="375" spans="4:6" ht="12.75" customHeight="1" x14ac:dyDescent="0.25">
      <c r="D375" s="3"/>
      <c r="E375" s="3"/>
      <c r="F375" s="3"/>
    </row>
    <row r="376" spans="4:6" ht="12.75" customHeight="1" x14ac:dyDescent="0.25">
      <c r="D376" s="3"/>
      <c r="E376" s="3"/>
      <c r="F376" s="3"/>
    </row>
    <row r="377" spans="4:6" ht="12.75" customHeight="1" x14ac:dyDescent="0.25">
      <c r="D377" s="3"/>
      <c r="E377" s="3"/>
      <c r="F377" s="3"/>
    </row>
    <row r="378" spans="4:6" ht="12.75" customHeight="1" x14ac:dyDescent="0.25">
      <c r="D378" s="3"/>
      <c r="E378" s="3"/>
      <c r="F378" s="3"/>
    </row>
    <row r="379" spans="4:6" ht="12.75" customHeight="1" x14ac:dyDescent="0.25">
      <c r="D379" s="3"/>
      <c r="E379" s="3"/>
      <c r="F379" s="3"/>
    </row>
    <row r="380" spans="4:6" ht="12.75" customHeight="1" x14ac:dyDescent="0.25">
      <c r="D380" s="3"/>
      <c r="E380" s="3"/>
      <c r="F380" s="3"/>
    </row>
    <row r="381" spans="4:6" ht="12.75" customHeight="1" x14ac:dyDescent="0.25">
      <c r="D381" s="3"/>
      <c r="E381" s="3"/>
      <c r="F381" s="3"/>
    </row>
    <row r="382" spans="4:6" ht="12.75" customHeight="1" x14ac:dyDescent="0.25">
      <c r="D382" s="3"/>
      <c r="E382" s="3"/>
      <c r="F382" s="3"/>
    </row>
    <row r="383" spans="4:6" ht="12.75" customHeight="1" x14ac:dyDescent="0.25">
      <c r="D383" s="3"/>
      <c r="E383" s="3"/>
      <c r="F383" s="3"/>
    </row>
    <row r="384" spans="4:6" ht="12.75" customHeight="1" x14ac:dyDescent="0.25">
      <c r="D384" s="3"/>
      <c r="E384" s="3"/>
      <c r="F384" s="3"/>
    </row>
    <row r="385" spans="4:6" ht="12.75" customHeight="1" x14ac:dyDescent="0.25">
      <c r="D385" s="3"/>
      <c r="E385" s="3"/>
      <c r="F385" s="3"/>
    </row>
    <row r="386" spans="4:6" ht="12.75" customHeight="1" x14ac:dyDescent="0.25">
      <c r="D386" s="3"/>
      <c r="E386" s="3"/>
      <c r="F386" s="3"/>
    </row>
    <row r="387" spans="4:6" ht="12.75" customHeight="1" x14ac:dyDescent="0.25">
      <c r="D387" s="3"/>
      <c r="E387" s="3"/>
      <c r="F387" s="3"/>
    </row>
    <row r="388" spans="4:6" ht="12.75" customHeight="1" x14ac:dyDescent="0.25">
      <c r="D388" s="3"/>
      <c r="E388" s="3"/>
      <c r="F388" s="3"/>
    </row>
    <row r="389" spans="4:6" ht="12.75" customHeight="1" x14ac:dyDescent="0.25">
      <c r="D389" s="3"/>
      <c r="E389" s="3"/>
      <c r="F389" s="3"/>
    </row>
    <row r="390" spans="4:6" ht="12.75" customHeight="1" x14ac:dyDescent="0.25">
      <c r="D390" s="3"/>
      <c r="E390" s="3"/>
      <c r="F390" s="3"/>
    </row>
    <row r="391" spans="4:6" ht="12.75" customHeight="1" x14ac:dyDescent="0.25">
      <c r="D391" s="3"/>
      <c r="E391" s="3"/>
      <c r="F391" s="3"/>
    </row>
    <row r="392" spans="4:6" ht="12.75" customHeight="1" x14ac:dyDescent="0.25">
      <c r="D392" s="3"/>
      <c r="E392" s="3"/>
      <c r="F392" s="3"/>
    </row>
    <row r="393" spans="4:6" ht="12.75" customHeight="1" x14ac:dyDescent="0.25">
      <c r="D393" s="3"/>
      <c r="E393" s="3"/>
      <c r="F393" s="3"/>
    </row>
    <row r="394" spans="4:6" ht="12.75" customHeight="1" x14ac:dyDescent="0.25">
      <c r="D394" s="3"/>
      <c r="E394" s="3"/>
      <c r="F394" s="3"/>
    </row>
    <row r="395" spans="4:6" ht="12.75" customHeight="1" x14ac:dyDescent="0.25">
      <c r="D395" s="3"/>
      <c r="E395" s="3"/>
      <c r="F395" s="3"/>
    </row>
    <row r="396" spans="4:6" ht="12.75" customHeight="1" x14ac:dyDescent="0.25">
      <c r="D396" s="3"/>
      <c r="E396" s="3"/>
      <c r="F396" s="3"/>
    </row>
    <row r="397" spans="4:6" ht="12.75" customHeight="1" x14ac:dyDescent="0.25">
      <c r="D397" s="3"/>
      <c r="E397" s="3"/>
      <c r="F397" s="3"/>
    </row>
    <row r="398" spans="4:6" ht="12.75" customHeight="1" x14ac:dyDescent="0.25">
      <c r="D398" s="3"/>
      <c r="E398" s="3"/>
      <c r="F398" s="3"/>
    </row>
    <row r="399" spans="4:6" ht="12.75" customHeight="1" x14ac:dyDescent="0.25">
      <c r="D399" s="3"/>
      <c r="E399" s="3"/>
      <c r="F399" s="3"/>
    </row>
    <row r="400" spans="4:6" ht="12.75" customHeight="1" x14ac:dyDescent="0.25">
      <c r="D400" s="3"/>
      <c r="E400" s="3"/>
      <c r="F400" s="3"/>
    </row>
    <row r="401" spans="4:6" ht="12.75" customHeight="1" x14ac:dyDescent="0.25">
      <c r="D401" s="3"/>
      <c r="E401" s="3"/>
      <c r="F401" s="3"/>
    </row>
    <row r="402" spans="4:6" ht="12.75" customHeight="1" x14ac:dyDescent="0.25">
      <c r="D402" s="3"/>
      <c r="E402" s="3"/>
      <c r="F402" s="3"/>
    </row>
    <row r="403" spans="4:6" ht="12.75" customHeight="1" x14ac:dyDescent="0.25">
      <c r="D403" s="3"/>
      <c r="E403" s="3"/>
      <c r="F403" s="3"/>
    </row>
    <row r="404" spans="4:6" ht="12.75" customHeight="1" x14ac:dyDescent="0.25">
      <c r="D404" s="3"/>
      <c r="E404" s="3"/>
      <c r="F404" s="3"/>
    </row>
    <row r="405" spans="4:6" ht="12.75" customHeight="1" x14ac:dyDescent="0.25">
      <c r="D405" s="3"/>
      <c r="E405" s="3"/>
      <c r="F405" s="3"/>
    </row>
    <row r="406" spans="4:6" ht="12.75" customHeight="1" x14ac:dyDescent="0.25">
      <c r="D406" s="3"/>
      <c r="E406" s="3"/>
      <c r="F406" s="3"/>
    </row>
    <row r="407" spans="4:6" ht="12.75" customHeight="1" x14ac:dyDescent="0.25">
      <c r="D407" s="3"/>
      <c r="E407" s="3"/>
      <c r="F407" s="3"/>
    </row>
    <row r="408" spans="4:6" ht="12.75" customHeight="1" x14ac:dyDescent="0.25">
      <c r="D408" s="3"/>
      <c r="E408" s="3"/>
      <c r="F408" s="3"/>
    </row>
    <row r="409" spans="4:6" ht="12.75" customHeight="1" x14ac:dyDescent="0.25">
      <c r="D409" s="3"/>
      <c r="E409" s="3"/>
      <c r="F409" s="3"/>
    </row>
    <row r="410" spans="4:6" ht="12.75" customHeight="1" x14ac:dyDescent="0.25">
      <c r="D410" s="3"/>
      <c r="E410" s="3"/>
      <c r="F410" s="3"/>
    </row>
    <row r="411" spans="4:6" ht="12.75" customHeight="1" x14ac:dyDescent="0.25">
      <c r="D411" s="3"/>
      <c r="E411" s="3"/>
      <c r="F411" s="3"/>
    </row>
    <row r="412" spans="4:6" ht="12.75" customHeight="1" x14ac:dyDescent="0.25">
      <c r="D412" s="3"/>
      <c r="E412" s="3"/>
      <c r="F412" s="3"/>
    </row>
    <row r="413" spans="4:6" ht="12.75" customHeight="1" x14ac:dyDescent="0.25">
      <c r="D413" s="3"/>
      <c r="E413" s="3"/>
      <c r="F413" s="3"/>
    </row>
    <row r="414" spans="4:6" ht="12.75" customHeight="1" x14ac:dyDescent="0.25">
      <c r="D414" s="3"/>
      <c r="E414" s="3"/>
      <c r="F414" s="3"/>
    </row>
    <row r="415" spans="4:6" ht="12.75" customHeight="1" x14ac:dyDescent="0.25">
      <c r="D415" s="3"/>
      <c r="E415" s="3"/>
      <c r="F415" s="3"/>
    </row>
    <row r="416" spans="4:6" ht="12.75" customHeight="1" x14ac:dyDescent="0.25">
      <c r="D416" s="3"/>
      <c r="E416" s="3"/>
      <c r="F416" s="3"/>
    </row>
    <row r="417" spans="4:6" ht="12.75" customHeight="1" x14ac:dyDescent="0.25">
      <c r="D417" s="3"/>
      <c r="E417" s="3"/>
      <c r="F417" s="3"/>
    </row>
    <row r="418" spans="4:6" ht="12.75" customHeight="1" x14ac:dyDescent="0.25">
      <c r="D418" s="3"/>
      <c r="E418" s="3"/>
      <c r="F418" s="3"/>
    </row>
    <row r="419" spans="4:6" ht="12.75" customHeight="1" x14ac:dyDescent="0.25">
      <c r="D419" s="3"/>
      <c r="E419" s="3"/>
      <c r="F419" s="3"/>
    </row>
    <row r="420" spans="4:6" ht="12.75" customHeight="1" x14ac:dyDescent="0.25">
      <c r="D420" s="3"/>
      <c r="E420" s="3"/>
      <c r="F420" s="3"/>
    </row>
    <row r="421" spans="4:6" ht="12.75" customHeight="1" x14ac:dyDescent="0.25">
      <c r="D421" s="3"/>
      <c r="E421" s="3"/>
      <c r="F421" s="3"/>
    </row>
    <row r="422" spans="4:6" ht="12.75" customHeight="1" x14ac:dyDescent="0.25">
      <c r="D422" s="3"/>
      <c r="E422" s="3"/>
      <c r="F422" s="3"/>
    </row>
    <row r="423" spans="4:6" ht="12.75" customHeight="1" x14ac:dyDescent="0.25">
      <c r="D423" s="3"/>
      <c r="E423" s="3"/>
      <c r="F423" s="3"/>
    </row>
    <row r="424" spans="4:6" ht="12.75" customHeight="1" x14ac:dyDescent="0.25">
      <c r="D424" s="3"/>
      <c r="E424" s="3"/>
      <c r="F424" s="3"/>
    </row>
    <row r="425" spans="4:6" ht="12.75" customHeight="1" x14ac:dyDescent="0.25">
      <c r="D425" s="3"/>
      <c r="E425" s="3"/>
      <c r="F425" s="3"/>
    </row>
    <row r="426" spans="4:6" ht="12.75" customHeight="1" x14ac:dyDescent="0.25">
      <c r="D426" s="3"/>
      <c r="E426" s="3"/>
      <c r="F426" s="3"/>
    </row>
    <row r="427" spans="4:6" ht="12.75" customHeight="1" x14ac:dyDescent="0.25">
      <c r="D427" s="3"/>
      <c r="E427" s="3"/>
      <c r="F427" s="3"/>
    </row>
    <row r="428" spans="4:6" ht="12.75" customHeight="1" x14ac:dyDescent="0.25">
      <c r="D428" s="3"/>
      <c r="E428" s="3"/>
      <c r="F428" s="3"/>
    </row>
    <row r="429" spans="4:6" ht="12.75" customHeight="1" x14ac:dyDescent="0.25">
      <c r="D429" s="3"/>
      <c r="E429" s="3"/>
      <c r="F429" s="3"/>
    </row>
    <row r="430" spans="4:6" ht="12.75" customHeight="1" x14ac:dyDescent="0.25">
      <c r="D430" s="3"/>
      <c r="E430" s="3"/>
      <c r="F430" s="3"/>
    </row>
    <row r="431" spans="4:6" ht="12.75" customHeight="1" x14ac:dyDescent="0.25">
      <c r="D431" s="3"/>
      <c r="E431" s="3"/>
      <c r="F431" s="3"/>
    </row>
    <row r="432" spans="4:6" ht="12.75" customHeight="1" x14ac:dyDescent="0.25">
      <c r="D432" s="3"/>
      <c r="E432" s="3"/>
      <c r="F432" s="3"/>
    </row>
    <row r="433" spans="4:6" ht="12.75" customHeight="1" x14ac:dyDescent="0.25">
      <c r="D433" s="3"/>
      <c r="E433" s="3"/>
      <c r="F433" s="3"/>
    </row>
    <row r="434" spans="4:6" ht="12.75" customHeight="1" x14ac:dyDescent="0.25">
      <c r="D434" s="3"/>
      <c r="E434" s="3"/>
      <c r="F434" s="3"/>
    </row>
    <row r="435" spans="4:6" ht="12.75" customHeight="1" x14ac:dyDescent="0.25">
      <c r="D435" s="3"/>
      <c r="E435" s="3"/>
      <c r="F435" s="3"/>
    </row>
    <row r="436" spans="4:6" ht="12.75" customHeight="1" x14ac:dyDescent="0.25">
      <c r="D436" s="3"/>
      <c r="E436" s="3"/>
      <c r="F436" s="3"/>
    </row>
    <row r="437" spans="4:6" ht="12.75" customHeight="1" x14ac:dyDescent="0.25">
      <c r="D437" s="3"/>
      <c r="E437" s="3"/>
      <c r="F437" s="3"/>
    </row>
    <row r="438" spans="4:6" ht="12.75" customHeight="1" x14ac:dyDescent="0.25">
      <c r="D438" s="3"/>
      <c r="E438" s="3"/>
      <c r="F438" s="3"/>
    </row>
    <row r="439" spans="4:6" ht="12.75" customHeight="1" x14ac:dyDescent="0.25">
      <c r="D439" s="3"/>
      <c r="E439" s="3"/>
      <c r="F439" s="3"/>
    </row>
    <row r="440" spans="4:6" ht="12.75" customHeight="1" x14ac:dyDescent="0.25">
      <c r="D440" s="3"/>
      <c r="E440" s="3"/>
      <c r="F440" s="3"/>
    </row>
    <row r="441" spans="4:6" ht="12.75" customHeight="1" x14ac:dyDescent="0.25">
      <c r="D441" s="3"/>
      <c r="E441" s="3"/>
      <c r="F441" s="3"/>
    </row>
    <row r="442" spans="4:6" ht="12.75" customHeight="1" x14ac:dyDescent="0.25">
      <c r="D442" s="3"/>
      <c r="E442" s="3"/>
      <c r="F442" s="3"/>
    </row>
    <row r="443" spans="4:6" ht="12.75" customHeight="1" x14ac:dyDescent="0.25">
      <c r="D443" s="3"/>
      <c r="E443" s="3"/>
      <c r="F443" s="3"/>
    </row>
    <row r="444" spans="4:6" ht="12.75" customHeight="1" x14ac:dyDescent="0.25">
      <c r="D444" s="3"/>
      <c r="E444" s="3"/>
      <c r="F444" s="3"/>
    </row>
    <row r="445" spans="4:6" ht="12.75" customHeight="1" x14ac:dyDescent="0.25">
      <c r="D445" s="3"/>
      <c r="E445" s="3"/>
      <c r="F445" s="3"/>
    </row>
    <row r="446" spans="4:6" ht="12.75" customHeight="1" x14ac:dyDescent="0.25">
      <c r="D446" s="3"/>
      <c r="E446" s="3"/>
      <c r="F446" s="3"/>
    </row>
    <row r="447" spans="4:6" ht="12.75" customHeight="1" x14ac:dyDescent="0.25">
      <c r="D447" s="3"/>
      <c r="E447" s="3"/>
      <c r="F447" s="3"/>
    </row>
    <row r="448" spans="4:6" ht="12.75" customHeight="1" x14ac:dyDescent="0.25">
      <c r="D448" s="3"/>
      <c r="E448" s="3"/>
      <c r="F448" s="3"/>
    </row>
    <row r="449" spans="4:6" ht="12.75" customHeight="1" x14ac:dyDescent="0.25">
      <c r="D449" s="3"/>
      <c r="E449" s="3"/>
      <c r="F449" s="3"/>
    </row>
    <row r="450" spans="4:6" ht="12.75" customHeight="1" x14ac:dyDescent="0.25">
      <c r="D450" s="3"/>
      <c r="E450" s="3"/>
      <c r="F450" s="3"/>
    </row>
    <row r="451" spans="4:6" ht="12.75" customHeight="1" x14ac:dyDescent="0.25">
      <c r="D451" s="3"/>
      <c r="E451" s="3"/>
      <c r="F451" s="3"/>
    </row>
    <row r="452" spans="4:6" ht="12.75" customHeight="1" x14ac:dyDescent="0.25">
      <c r="D452" s="3"/>
      <c r="E452" s="3"/>
      <c r="F452" s="3"/>
    </row>
    <row r="453" spans="4:6" ht="12.75" customHeight="1" x14ac:dyDescent="0.25">
      <c r="D453" s="3"/>
      <c r="E453" s="3"/>
      <c r="F453" s="3"/>
    </row>
    <row r="454" spans="4:6" ht="12.75" customHeight="1" x14ac:dyDescent="0.25">
      <c r="D454" s="3"/>
      <c r="E454" s="3"/>
      <c r="F454" s="3"/>
    </row>
    <row r="455" spans="4:6" ht="12.75" customHeight="1" x14ac:dyDescent="0.25">
      <c r="D455" s="3"/>
      <c r="E455" s="3"/>
      <c r="F455" s="3"/>
    </row>
    <row r="456" spans="4:6" ht="12.75" customHeight="1" x14ac:dyDescent="0.25">
      <c r="D456" s="3"/>
      <c r="E456" s="3"/>
      <c r="F456" s="3"/>
    </row>
    <row r="457" spans="4:6" ht="12.75" customHeight="1" x14ac:dyDescent="0.25">
      <c r="D457" s="3"/>
      <c r="E457" s="3"/>
      <c r="F457" s="3"/>
    </row>
    <row r="458" spans="4:6" ht="12.75" customHeight="1" x14ac:dyDescent="0.25">
      <c r="D458" s="3"/>
      <c r="E458" s="3"/>
      <c r="F458" s="3"/>
    </row>
    <row r="459" spans="4:6" ht="12.75" customHeight="1" x14ac:dyDescent="0.25">
      <c r="D459" s="3"/>
      <c r="E459" s="3"/>
      <c r="F459" s="3"/>
    </row>
    <row r="460" spans="4:6" ht="12.75" customHeight="1" x14ac:dyDescent="0.25">
      <c r="D460" s="3"/>
      <c r="E460" s="3"/>
      <c r="F460" s="3"/>
    </row>
    <row r="461" spans="4:6" ht="12.75" customHeight="1" x14ac:dyDescent="0.25">
      <c r="D461" s="3"/>
      <c r="E461" s="3"/>
      <c r="F461" s="3"/>
    </row>
    <row r="462" spans="4:6" ht="12.75" customHeight="1" x14ac:dyDescent="0.25">
      <c r="D462" s="3"/>
      <c r="E462" s="3"/>
      <c r="F462" s="3"/>
    </row>
    <row r="463" spans="4:6" ht="12.75" customHeight="1" x14ac:dyDescent="0.25">
      <c r="D463" s="3"/>
      <c r="E463" s="3"/>
      <c r="F463" s="3"/>
    </row>
    <row r="464" spans="4:6" ht="12.75" customHeight="1" x14ac:dyDescent="0.25">
      <c r="D464" s="3"/>
      <c r="E464" s="3"/>
      <c r="F464" s="3"/>
    </row>
    <row r="465" spans="4:6" ht="12.75" customHeight="1" x14ac:dyDescent="0.25">
      <c r="D465" s="3"/>
      <c r="E465" s="3"/>
      <c r="F465" s="3"/>
    </row>
    <row r="466" spans="4:6" ht="12.75" customHeight="1" x14ac:dyDescent="0.25">
      <c r="D466" s="3"/>
      <c r="E466" s="3"/>
      <c r="F466" s="3"/>
    </row>
    <row r="467" spans="4:6" ht="12.75" customHeight="1" x14ac:dyDescent="0.25">
      <c r="D467" s="3"/>
      <c r="E467" s="3"/>
      <c r="F467" s="3"/>
    </row>
    <row r="468" spans="4:6" ht="12.75" customHeight="1" x14ac:dyDescent="0.25">
      <c r="D468" s="3"/>
      <c r="E468" s="3"/>
      <c r="F468" s="3"/>
    </row>
    <row r="469" spans="4:6" ht="12.75" customHeight="1" x14ac:dyDescent="0.25">
      <c r="D469" s="3"/>
      <c r="E469" s="3"/>
      <c r="F469" s="3"/>
    </row>
    <row r="470" spans="4:6" ht="12.75" customHeight="1" x14ac:dyDescent="0.25">
      <c r="D470" s="3"/>
      <c r="E470" s="3"/>
      <c r="F470" s="3"/>
    </row>
    <row r="471" spans="4:6" ht="12.75" customHeight="1" x14ac:dyDescent="0.25">
      <c r="D471" s="3"/>
      <c r="E471" s="3"/>
      <c r="F471" s="3"/>
    </row>
    <row r="472" spans="4:6" ht="12.75" customHeight="1" x14ac:dyDescent="0.25">
      <c r="D472" s="3"/>
      <c r="E472" s="3"/>
      <c r="F472" s="3"/>
    </row>
    <row r="473" spans="4:6" ht="12.75" customHeight="1" x14ac:dyDescent="0.25">
      <c r="D473" s="3"/>
      <c r="E473" s="3"/>
      <c r="F473" s="3"/>
    </row>
    <row r="474" spans="4:6" ht="12.75" customHeight="1" x14ac:dyDescent="0.25">
      <c r="D474" s="3"/>
      <c r="E474" s="3"/>
      <c r="F474" s="3"/>
    </row>
    <row r="475" spans="4:6" ht="12.75" customHeight="1" x14ac:dyDescent="0.25">
      <c r="D475" s="3"/>
      <c r="E475" s="3"/>
      <c r="F475" s="3"/>
    </row>
    <row r="476" spans="4:6" ht="12.75" customHeight="1" x14ac:dyDescent="0.25">
      <c r="D476" s="3"/>
      <c r="E476" s="3"/>
      <c r="F476" s="3"/>
    </row>
    <row r="477" spans="4:6" ht="12.75" customHeight="1" x14ac:dyDescent="0.25">
      <c r="D477" s="3"/>
      <c r="E477" s="3"/>
      <c r="F477" s="3"/>
    </row>
    <row r="478" spans="4:6" ht="12.75" customHeight="1" x14ac:dyDescent="0.25">
      <c r="D478" s="3"/>
      <c r="E478" s="3"/>
      <c r="F478" s="3"/>
    </row>
    <row r="479" spans="4:6" ht="12.75" customHeight="1" x14ac:dyDescent="0.25">
      <c r="D479" s="3"/>
      <c r="E479" s="3"/>
      <c r="F479" s="3"/>
    </row>
    <row r="480" spans="4:6" ht="12.75" customHeight="1" x14ac:dyDescent="0.25">
      <c r="D480" s="3"/>
      <c r="E480" s="3"/>
      <c r="F480" s="3"/>
    </row>
    <row r="481" spans="4:6" ht="12.75" customHeight="1" x14ac:dyDescent="0.25">
      <c r="D481" s="3"/>
      <c r="E481" s="3"/>
      <c r="F481" s="3"/>
    </row>
    <row r="482" spans="4:6" ht="12.75" customHeight="1" x14ac:dyDescent="0.25">
      <c r="D482" s="3"/>
      <c r="E482" s="3"/>
      <c r="F482" s="3"/>
    </row>
    <row r="483" spans="4:6" ht="12.75" customHeight="1" x14ac:dyDescent="0.25">
      <c r="D483" s="3"/>
      <c r="E483" s="3"/>
      <c r="F483" s="3"/>
    </row>
    <row r="484" spans="4:6" ht="12.75" customHeight="1" x14ac:dyDescent="0.25">
      <c r="D484" s="3"/>
      <c r="E484" s="3"/>
      <c r="F484" s="3"/>
    </row>
    <row r="485" spans="4:6" ht="12.75" customHeight="1" x14ac:dyDescent="0.25">
      <c r="D485" s="3"/>
      <c r="E485" s="3"/>
      <c r="F485" s="3"/>
    </row>
    <row r="486" spans="4:6" ht="12.75" customHeight="1" x14ac:dyDescent="0.25">
      <c r="D486" s="3"/>
      <c r="E486" s="3"/>
      <c r="F486" s="3"/>
    </row>
    <row r="487" spans="4:6" ht="12.75" customHeight="1" x14ac:dyDescent="0.25">
      <c r="D487" s="3"/>
      <c r="E487" s="3"/>
      <c r="F487" s="3"/>
    </row>
    <row r="488" spans="4:6" ht="12.75" customHeight="1" x14ac:dyDescent="0.25">
      <c r="D488" s="3"/>
      <c r="E488" s="3"/>
      <c r="F488" s="3"/>
    </row>
    <row r="489" spans="4:6" ht="12.75" customHeight="1" x14ac:dyDescent="0.25">
      <c r="D489" s="3"/>
      <c r="E489" s="3"/>
      <c r="F489" s="3"/>
    </row>
    <row r="490" spans="4:6" ht="12.75" customHeight="1" x14ac:dyDescent="0.25">
      <c r="D490" s="3"/>
      <c r="E490" s="3"/>
      <c r="F490" s="3"/>
    </row>
    <row r="491" spans="4:6" ht="12.75" customHeight="1" x14ac:dyDescent="0.25">
      <c r="D491" s="3"/>
      <c r="E491" s="3"/>
      <c r="F491" s="3"/>
    </row>
    <row r="492" spans="4:6" ht="12.75" customHeight="1" x14ac:dyDescent="0.25">
      <c r="D492" s="3"/>
      <c r="E492" s="3"/>
      <c r="F492" s="3"/>
    </row>
    <row r="493" spans="4:6" ht="12.75" customHeight="1" x14ac:dyDescent="0.25">
      <c r="D493" s="3"/>
      <c r="E493" s="3"/>
      <c r="F493" s="3"/>
    </row>
    <row r="494" spans="4:6" ht="12.75" customHeight="1" x14ac:dyDescent="0.25">
      <c r="D494" s="3"/>
      <c r="E494" s="3"/>
      <c r="F494" s="3"/>
    </row>
    <row r="495" spans="4:6" ht="12.75" customHeight="1" x14ac:dyDescent="0.25">
      <c r="D495" s="3"/>
      <c r="E495" s="3"/>
      <c r="F495" s="3"/>
    </row>
    <row r="496" spans="4:6" ht="12.75" customHeight="1" x14ac:dyDescent="0.25">
      <c r="D496" s="3"/>
      <c r="E496" s="3"/>
      <c r="F496" s="3"/>
    </row>
    <row r="497" spans="4:6" ht="12.75" customHeight="1" x14ac:dyDescent="0.25">
      <c r="D497" s="3"/>
      <c r="E497" s="3"/>
      <c r="F497" s="3"/>
    </row>
    <row r="498" spans="4:6" ht="12.75" customHeight="1" x14ac:dyDescent="0.25">
      <c r="D498" s="3"/>
      <c r="E498" s="3"/>
      <c r="F498" s="3"/>
    </row>
    <row r="499" spans="4:6" ht="12.75" customHeight="1" x14ac:dyDescent="0.25">
      <c r="D499" s="3"/>
      <c r="E499" s="3"/>
      <c r="F499" s="3"/>
    </row>
    <row r="500" spans="4:6" ht="12.75" customHeight="1" x14ac:dyDescent="0.25">
      <c r="D500" s="3"/>
      <c r="E500" s="3"/>
      <c r="F500" s="3"/>
    </row>
    <row r="501" spans="4:6" ht="12.75" customHeight="1" x14ac:dyDescent="0.25">
      <c r="D501" s="3"/>
      <c r="E501" s="3"/>
      <c r="F501" s="3"/>
    </row>
    <row r="502" spans="4:6" ht="12.75" customHeight="1" x14ac:dyDescent="0.25">
      <c r="D502" s="3"/>
      <c r="E502" s="3"/>
      <c r="F502" s="3"/>
    </row>
    <row r="503" spans="4:6" ht="12.75" customHeight="1" x14ac:dyDescent="0.25">
      <c r="D503" s="3"/>
      <c r="E503" s="3"/>
      <c r="F503" s="3"/>
    </row>
    <row r="504" spans="4:6" ht="12.75" customHeight="1" x14ac:dyDescent="0.25">
      <c r="D504" s="3"/>
      <c r="E504" s="3"/>
      <c r="F504" s="3"/>
    </row>
    <row r="505" spans="4:6" ht="12.75" customHeight="1" x14ac:dyDescent="0.25">
      <c r="D505" s="3"/>
      <c r="E505" s="3"/>
      <c r="F505" s="3"/>
    </row>
    <row r="506" spans="4:6" ht="12.75" customHeight="1" x14ac:dyDescent="0.25">
      <c r="D506" s="3"/>
      <c r="E506" s="3"/>
      <c r="F506" s="3"/>
    </row>
    <row r="507" spans="4:6" ht="12.75" customHeight="1" x14ac:dyDescent="0.25">
      <c r="D507" s="3"/>
      <c r="E507" s="3"/>
      <c r="F507" s="3"/>
    </row>
    <row r="508" spans="4:6" ht="12.75" customHeight="1" x14ac:dyDescent="0.25">
      <c r="D508" s="3"/>
      <c r="E508" s="3"/>
      <c r="F508" s="3"/>
    </row>
    <row r="509" spans="4:6" ht="12.75" customHeight="1" x14ac:dyDescent="0.25">
      <c r="D509" s="3"/>
      <c r="E509" s="3"/>
      <c r="F509" s="3"/>
    </row>
    <row r="510" spans="4:6" ht="12.75" customHeight="1" x14ac:dyDescent="0.25">
      <c r="D510" s="3"/>
      <c r="E510" s="3"/>
      <c r="F510" s="3"/>
    </row>
    <row r="511" spans="4:6" ht="12.75" customHeight="1" x14ac:dyDescent="0.25">
      <c r="D511" s="3"/>
      <c r="E511" s="3"/>
      <c r="F511" s="3"/>
    </row>
    <row r="512" spans="4:6" ht="12.75" customHeight="1" x14ac:dyDescent="0.25">
      <c r="D512" s="3"/>
      <c r="E512" s="3"/>
      <c r="F512" s="3"/>
    </row>
    <row r="513" spans="4:6" ht="12.75" customHeight="1" x14ac:dyDescent="0.25">
      <c r="D513" s="3"/>
      <c r="E513" s="3"/>
      <c r="F513" s="3"/>
    </row>
    <row r="514" spans="4:6" ht="12.75" customHeight="1" x14ac:dyDescent="0.25">
      <c r="D514" s="3"/>
      <c r="E514" s="3"/>
      <c r="F514" s="3"/>
    </row>
    <row r="515" spans="4:6" ht="12.75" customHeight="1" x14ac:dyDescent="0.25">
      <c r="D515" s="3"/>
      <c r="E515" s="3"/>
      <c r="F515" s="3"/>
    </row>
    <row r="516" spans="4:6" ht="12.75" customHeight="1" x14ac:dyDescent="0.25">
      <c r="D516" s="3"/>
      <c r="E516" s="3"/>
      <c r="F516" s="3"/>
    </row>
    <row r="517" spans="4:6" ht="12.75" customHeight="1" x14ac:dyDescent="0.25">
      <c r="D517" s="3"/>
      <c r="E517" s="3"/>
      <c r="F517" s="3"/>
    </row>
    <row r="518" spans="4:6" ht="12.75" customHeight="1" x14ac:dyDescent="0.25">
      <c r="D518" s="3"/>
      <c r="E518" s="3"/>
      <c r="F518" s="3"/>
    </row>
    <row r="519" spans="4:6" ht="12.75" customHeight="1" x14ac:dyDescent="0.25">
      <c r="D519" s="3"/>
      <c r="E519" s="3"/>
      <c r="F519" s="3"/>
    </row>
    <row r="520" spans="4:6" ht="12.75" customHeight="1" x14ac:dyDescent="0.25">
      <c r="D520" s="3"/>
      <c r="E520" s="3"/>
      <c r="F520" s="3"/>
    </row>
    <row r="521" spans="4:6" ht="12.75" customHeight="1" x14ac:dyDescent="0.25">
      <c r="D521" s="3"/>
      <c r="E521" s="3"/>
      <c r="F521" s="3"/>
    </row>
    <row r="522" spans="4:6" ht="12.75" customHeight="1" x14ac:dyDescent="0.25">
      <c r="D522" s="3"/>
      <c r="E522" s="3"/>
      <c r="F522" s="3"/>
    </row>
    <row r="523" spans="4:6" ht="12.75" customHeight="1" x14ac:dyDescent="0.25">
      <c r="D523" s="3"/>
      <c r="E523" s="3"/>
      <c r="F523" s="3"/>
    </row>
    <row r="524" spans="4:6" ht="12.75" customHeight="1" x14ac:dyDescent="0.25">
      <c r="D524" s="3"/>
      <c r="E524" s="3"/>
      <c r="F524" s="3"/>
    </row>
    <row r="525" spans="4:6" ht="12.75" customHeight="1" x14ac:dyDescent="0.25">
      <c r="D525" s="3"/>
      <c r="E525" s="3"/>
      <c r="F525" s="3"/>
    </row>
    <row r="526" spans="4:6" ht="12.75" customHeight="1" x14ac:dyDescent="0.25">
      <c r="D526" s="3"/>
      <c r="E526" s="3"/>
      <c r="F526" s="3"/>
    </row>
    <row r="527" spans="4:6" ht="12.75" customHeight="1" x14ac:dyDescent="0.25">
      <c r="D527" s="3"/>
      <c r="E527" s="3"/>
      <c r="F527" s="3"/>
    </row>
    <row r="528" spans="4:6" ht="12.75" customHeight="1" x14ac:dyDescent="0.25">
      <c r="D528" s="3"/>
      <c r="E528" s="3"/>
      <c r="F528" s="3"/>
    </row>
    <row r="529" spans="4:6" ht="12.75" customHeight="1" x14ac:dyDescent="0.25">
      <c r="D529" s="3"/>
      <c r="E529" s="3"/>
      <c r="F529" s="3"/>
    </row>
    <row r="530" spans="4:6" ht="12.75" customHeight="1" x14ac:dyDescent="0.25">
      <c r="D530" s="3"/>
      <c r="E530" s="3"/>
      <c r="F530" s="3"/>
    </row>
    <row r="531" spans="4:6" ht="12.75" customHeight="1" x14ac:dyDescent="0.25">
      <c r="D531" s="3"/>
      <c r="E531" s="3"/>
      <c r="F531" s="3"/>
    </row>
    <row r="532" spans="4:6" ht="12.75" customHeight="1" x14ac:dyDescent="0.25">
      <c r="D532" s="3"/>
      <c r="E532" s="3"/>
      <c r="F532" s="3"/>
    </row>
    <row r="533" spans="4:6" ht="12.75" customHeight="1" x14ac:dyDescent="0.25">
      <c r="D533" s="3"/>
      <c r="E533" s="3"/>
      <c r="F533" s="3"/>
    </row>
    <row r="534" spans="4:6" ht="12.75" customHeight="1" x14ac:dyDescent="0.25">
      <c r="D534" s="3"/>
      <c r="E534" s="3"/>
      <c r="F534" s="3"/>
    </row>
    <row r="535" spans="4:6" ht="12.75" customHeight="1" x14ac:dyDescent="0.25">
      <c r="D535" s="3"/>
      <c r="E535" s="3"/>
      <c r="F535" s="3"/>
    </row>
    <row r="536" spans="4:6" ht="12.75" customHeight="1" x14ac:dyDescent="0.25">
      <c r="D536" s="3"/>
      <c r="E536" s="3"/>
      <c r="F536" s="3"/>
    </row>
    <row r="537" spans="4:6" ht="12.75" customHeight="1" x14ac:dyDescent="0.25">
      <c r="D537" s="3"/>
      <c r="E537" s="3"/>
      <c r="F537" s="3"/>
    </row>
    <row r="538" spans="4:6" ht="12.75" customHeight="1" x14ac:dyDescent="0.25">
      <c r="D538" s="3"/>
      <c r="E538" s="3"/>
      <c r="F538" s="3"/>
    </row>
    <row r="539" spans="4:6" ht="12.75" customHeight="1" x14ac:dyDescent="0.25">
      <c r="D539" s="3"/>
      <c r="E539" s="3"/>
      <c r="F539" s="3"/>
    </row>
    <row r="540" spans="4:6" ht="12.75" customHeight="1" x14ac:dyDescent="0.25">
      <c r="D540" s="3"/>
      <c r="E540" s="3"/>
      <c r="F540" s="3"/>
    </row>
    <row r="541" spans="4:6" ht="12.75" customHeight="1" x14ac:dyDescent="0.25">
      <c r="D541" s="3"/>
      <c r="E541" s="3"/>
      <c r="F541" s="3"/>
    </row>
    <row r="542" spans="4:6" ht="12.75" customHeight="1" x14ac:dyDescent="0.25">
      <c r="D542" s="3"/>
      <c r="E542" s="3"/>
      <c r="F542" s="3"/>
    </row>
    <row r="543" spans="4:6" ht="12.75" customHeight="1" x14ac:dyDescent="0.25">
      <c r="D543" s="3"/>
      <c r="E543" s="3"/>
      <c r="F543" s="3"/>
    </row>
    <row r="544" spans="4:6" ht="12.75" customHeight="1" x14ac:dyDescent="0.25">
      <c r="D544" s="3"/>
      <c r="E544" s="3"/>
      <c r="F544" s="3"/>
    </row>
    <row r="545" spans="4:6" ht="12.75" customHeight="1" x14ac:dyDescent="0.25">
      <c r="D545" s="3"/>
      <c r="E545" s="3"/>
      <c r="F545" s="3"/>
    </row>
    <row r="546" spans="4:6" ht="12.75" customHeight="1" x14ac:dyDescent="0.25">
      <c r="D546" s="3"/>
      <c r="E546" s="3"/>
      <c r="F546" s="3"/>
    </row>
    <row r="547" spans="4:6" ht="12.75" customHeight="1" x14ac:dyDescent="0.25">
      <c r="D547" s="3"/>
      <c r="E547" s="3"/>
      <c r="F547" s="3"/>
    </row>
    <row r="548" spans="4:6" ht="12.75" customHeight="1" x14ac:dyDescent="0.25">
      <c r="D548" s="3"/>
      <c r="E548" s="3"/>
      <c r="F548" s="3"/>
    </row>
    <row r="549" spans="4:6" ht="12.75" customHeight="1" x14ac:dyDescent="0.25">
      <c r="D549" s="3"/>
      <c r="E549" s="3"/>
      <c r="F549" s="3"/>
    </row>
    <row r="550" spans="4:6" ht="12.75" customHeight="1" x14ac:dyDescent="0.25">
      <c r="D550" s="3"/>
      <c r="E550" s="3"/>
      <c r="F550" s="3"/>
    </row>
    <row r="551" spans="4:6" ht="12.75" customHeight="1" x14ac:dyDescent="0.25">
      <c r="D551" s="3"/>
      <c r="E551" s="3"/>
      <c r="F551" s="3"/>
    </row>
    <row r="552" spans="4:6" ht="12.75" customHeight="1" x14ac:dyDescent="0.25">
      <c r="D552" s="3"/>
      <c r="E552" s="3"/>
      <c r="F552" s="3"/>
    </row>
    <row r="553" spans="4:6" ht="12.75" customHeight="1" x14ac:dyDescent="0.25">
      <c r="D553" s="3"/>
      <c r="E553" s="3"/>
      <c r="F553" s="3"/>
    </row>
    <row r="554" spans="4:6" ht="12.75" customHeight="1" x14ac:dyDescent="0.25">
      <c r="D554" s="3"/>
      <c r="E554" s="3"/>
      <c r="F554" s="3"/>
    </row>
    <row r="555" spans="4:6" ht="12.75" customHeight="1" x14ac:dyDescent="0.25">
      <c r="D555" s="3"/>
      <c r="E555" s="3"/>
      <c r="F555" s="3"/>
    </row>
    <row r="556" spans="4:6" ht="12.75" customHeight="1" x14ac:dyDescent="0.25">
      <c r="D556" s="3"/>
      <c r="E556" s="3"/>
      <c r="F556" s="3"/>
    </row>
    <row r="557" spans="4:6" ht="12.75" customHeight="1" x14ac:dyDescent="0.25">
      <c r="D557" s="3"/>
      <c r="E557" s="3"/>
      <c r="F557" s="3"/>
    </row>
    <row r="558" spans="4:6" ht="12.75" customHeight="1" x14ac:dyDescent="0.25">
      <c r="D558" s="3"/>
      <c r="E558" s="3"/>
      <c r="F558" s="3"/>
    </row>
    <row r="559" spans="4:6" ht="12.75" customHeight="1" x14ac:dyDescent="0.25">
      <c r="D559" s="3"/>
      <c r="E559" s="3"/>
      <c r="F559" s="3"/>
    </row>
    <row r="560" spans="4:6" ht="12.75" customHeight="1" x14ac:dyDescent="0.25">
      <c r="D560" s="3"/>
      <c r="E560" s="3"/>
      <c r="F560" s="3"/>
    </row>
    <row r="561" spans="4:6" ht="12.75" customHeight="1" x14ac:dyDescent="0.25">
      <c r="D561" s="3"/>
      <c r="E561" s="3"/>
      <c r="F561" s="3"/>
    </row>
    <row r="562" spans="4:6" ht="12.75" customHeight="1" x14ac:dyDescent="0.25">
      <c r="D562" s="3"/>
      <c r="E562" s="3"/>
      <c r="F562" s="3"/>
    </row>
    <row r="563" spans="4:6" ht="12.75" customHeight="1" x14ac:dyDescent="0.25">
      <c r="D563" s="3"/>
      <c r="E563" s="3"/>
      <c r="F563" s="3"/>
    </row>
    <row r="564" spans="4:6" ht="12.75" customHeight="1" x14ac:dyDescent="0.25">
      <c r="D564" s="3"/>
      <c r="E564" s="3"/>
      <c r="F564" s="3"/>
    </row>
    <row r="565" spans="4:6" ht="12.75" customHeight="1" x14ac:dyDescent="0.25">
      <c r="D565" s="3"/>
      <c r="E565" s="3"/>
      <c r="F565" s="3"/>
    </row>
    <row r="566" spans="4:6" ht="12.75" customHeight="1" x14ac:dyDescent="0.25">
      <c r="D566" s="3"/>
      <c r="E566" s="3"/>
      <c r="F566" s="3"/>
    </row>
    <row r="567" spans="4:6" ht="12.75" customHeight="1" x14ac:dyDescent="0.25">
      <c r="D567" s="3"/>
      <c r="E567" s="3"/>
      <c r="F567" s="3"/>
    </row>
    <row r="568" spans="4:6" ht="12.75" customHeight="1" x14ac:dyDescent="0.25">
      <c r="D568" s="3"/>
      <c r="E568" s="3"/>
      <c r="F568" s="3"/>
    </row>
    <row r="569" spans="4:6" ht="12.75" customHeight="1" x14ac:dyDescent="0.25">
      <c r="D569" s="3"/>
      <c r="E569" s="3"/>
      <c r="F569" s="3"/>
    </row>
    <row r="570" spans="4:6" ht="12.75" customHeight="1" x14ac:dyDescent="0.25">
      <c r="D570" s="3"/>
      <c r="E570" s="3"/>
      <c r="F570" s="3"/>
    </row>
    <row r="571" spans="4:6" ht="12.75" customHeight="1" x14ac:dyDescent="0.25">
      <c r="D571" s="3"/>
      <c r="E571" s="3"/>
      <c r="F571" s="3"/>
    </row>
    <row r="572" spans="4:6" ht="12.75" customHeight="1" x14ac:dyDescent="0.25">
      <c r="D572" s="3"/>
      <c r="E572" s="3"/>
      <c r="F572" s="3"/>
    </row>
    <row r="573" spans="4:6" ht="12.75" customHeight="1" x14ac:dyDescent="0.25">
      <c r="D573" s="3"/>
      <c r="E573" s="3"/>
      <c r="F573" s="3"/>
    </row>
    <row r="574" spans="4:6" ht="12.75" customHeight="1" x14ac:dyDescent="0.25">
      <c r="D574" s="3"/>
      <c r="E574" s="3"/>
      <c r="F574" s="3"/>
    </row>
    <row r="575" spans="4:6" ht="12.75" customHeight="1" x14ac:dyDescent="0.25">
      <c r="D575" s="3"/>
      <c r="E575" s="3"/>
      <c r="F575" s="3"/>
    </row>
    <row r="576" spans="4:6" ht="12.75" customHeight="1" x14ac:dyDescent="0.25">
      <c r="D576" s="3"/>
      <c r="E576" s="3"/>
      <c r="F576" s="3"/>
    </row>
    <row r="577" spans="4:6" ht="12.75" customHeight="1" x14ac:dyDescent="0.25">
      <c r="D577" s="3"/>
      <c r="E577" s="3"/>
      <c r="F577" s="3"/>
    </row>
    <row r="578" spans="4:6" ht="12.75" customHeight="1" x14ac:dyDescent="0.25">
      <c r="D578" s="3"/>
      <c r="E578" s="3"/>
      <c r="F578" s="3"/>
    </row>
    <row r="579" spans="4:6" ht="12.75" customHeight="1" x14ac:dyDescent="0.25">
      <c r="D579" s="3"/>
      <c r="E579" s="3"/>
      <c r="F579" s="3"/>
    </row>
    <row r="580" spans="4:6" ht="12.75" customHeight="1" x14ac:dyDescent="0.25">
      <c r="D580" s="3"/>
      <c r="E580" s="3"/>
      <c r="F580" s="3"/>
    </row>
    <row r="581" spans="4:6" ht="12.75" customHeight="1" x14ac:dyDescent="0.25">
      <c r="D581" s="3"/>
      <c r="E581" s="3"/>
      <c r="F581" s="3"/>
    </row>
    <row r="582" spans="4:6" ht="12.75" customHeight="1" x14ac:dyDescent="0.25">
      <c r="D582" s="3"/>
      <c r="E582" s="3"/>
      <c r="F582" s="3"/>
    </row>
    <row r="583" spans="4:6" ht="12.75" customHeight="1" x14ac:dyDescent="0.25">
      <c r="D583" s="3"/>
      <c r="E583" s="3"/>
      <c r="F583" s="3"/>
    </row>
    <row r="584" spans="4:6" ht="12.75" customHeight="1" x14ac:dyDescent="0.25">
      <c r="D584" s="3"/>
      <c r="E584" s="3"/>
      <c r="F584" s="3"/>
    </row>
    <row r="585" spans="4:6" ht="12.75" customHeight="1" x14ac:dyDescent="0.25">
      <c r="D585" s="3"/>
      <c r="E585" s="3"/>
      <c r="F585" s="3"/>
    </row>
    <row r="586" spans="4:6" ht="12.75" customHeight="1" x14ac:dyDescent="0.25">
      <c r="D586" s="3"/>
      <c r="E586" s="3"/>
      <c r="F586" s="3"/>
    </row>
    <row r="587" spans="4:6" ht="12.75" customHeight="1" x14ac:dyDescent="0.25">
      <c r="D587" s="3"/>
      <c r="E587" s="3"/>
      <c r="F587" s="3"/>
    </row>
    <row r="588" spans="4:6" ht="12.75" customHeight="1" x14ac:dyDescent="0.25">
      <c r="D588" s="3"/>
      <c r="E588" s="3"/>
      <c r="F588" s="3"/>
    </row>
    <row r="589" spans="4:6" ht="12.75" customHeight="1" x14ac:dyDescent="0.25">
      <c r="D589" s="3"/>
      <c r="E589" s="3"/>
      <c r="F589" s="3"/>
    </row>
    <row r="590" spans="4:6" ht="12.75" customHeight="1" x14ac:dyDescent="0.25">
      <c r="D590" s="3"/>
      <c r="E590" s="3"/>
      <c r="F590" s="3"/>
    </row>
    <row r="591" spans="4:6" ht="12.75" customHeight="1" x14ac:dyDescent="0.25">
      <c r="D591" s="3"/>
      <c r="E591" s="3"/>
      <c r="F591" s="3"/>
    </row>
    <row r="592" spans="4:6" ht="12.75" customHeight="1" x14ac:dyDescent="0.25">
      <c r="D592" s="3"/>
      <c r="E592" s="3"/>
      <c r="F592" s="3"/>
    </row>
    <row r="593" spans="4:6" ht="12.75" customHeight="1" x14ac:dyDescent="0.25">
      <c r="D593" s="3"/>
      <c r="E593" s="3"/>
      <c r="F593" s="3"/>
    </row>
    <row r="594" spans="4:6" ht="12.75" customHeight="1" x14ac:dyDescent="0.25">
      <c r="D594" s="3"/>
      <c r="E594" s="3"/>
      <c r="F594" s="3"/>
    </row>
    <row r="595" spans="4:6" ht="12.75" customHeight="1" x14ac:dyDescent="0.25">
      <c r="D595" s="3"/>
      <c r="E595" s="3"/>
      <c r="F595" s="3"/>
    </row>
    <row r="596" spans="4:6" ht="12.75" customHeight="1" x14ac:dyDescent="0.25">
      <c r="D596" s="3"/>
      <c r="E596" s="3"/>
      <c r="F596" s="3"/>
    </row>
    <row r="597" spans="4:6" ht="12.75" customHeight="1" x14ac:dyDescent="0.25">
      <c r="D597" s="3"/>
      <c r="E597" s="3"/>
      <c r="F597" s="3"/>
    </row>
    <row r="598" spans="4:6" ht="12.75" customHeight="1" x14ac:dyDescent="0.25">
      <c r="D598" s="3"/>
      <c r="E598" s="3"/>
      <c r="F598" s="3"/>
    </row>
    <row r="599" spans="4:6" ht="12.75" customHeight="1" x14ac:dyDescent="0.25">
      <c r="D599" s="3"/>
      <c r="E599" s="3"/>
      <c r="F599" s="3"/>
    </row>
    <row r="600" spans="4:6" ht="12.75" customHeight="1" x14ac:dyDescent="0.25">
      <c r="D600" s="3"/>
      <c r="E600" s="3"/>
      <c r="F600" s="3"/>
    </row>
    <row r="601" spans="4:6" ht="12.75" customHeight="1" x14ac:dyDescent="0.25">
      <c r="D601" s="3"/>
      <c r="E601" s="3"/>
      <c r="F601" s="3"/>
    </row>
    <row r="602" spans="4:6" ht="12.75" customHeight="1" x14ac:dyDescent="0.25">
      <c r="D602" s="3"/>
      <c r="E602" s="3"/>
      <c r="F602" s="3"/>
    </row>
    <row r="603" spans="4:6" ht="12.75" customHeight="1" x14ac:dyDescent="0.25">
      <c r="D603" s="3"/>
      <c r="E603" s="3"/>
      <c r="F603" s="3"/>
    </row>
    <row r="604" spans="4:6" ht="12.75" customHeight="1" x14ac:dyDescent="0.25">
      <c r="D604" s="3"/>
      <c r="E604" s="3"/>
      <c r="F604" s="3"/>
    </row>
    <row r="605" spans="4:6" ht="12.75" customHeight="1" x14ac:dyDescent="0.25">
      <c r="D605" s="3"/>
      <c r="E605" s="3"/>
      <c r="F605" s="3"/>
    </row>
    <row r="606" spans="4:6" ht="12.75" customHeight="1" x14ac:dyDescent="0.25">
      <c r="D606" s="3"/>
      <c r="E606" s="3"/>
      <c r="F606" s="3"/>
    </row>
    <row r="607" spans="4:6" ht="12.75" customHeight="1" x14ac:dyDescent="0.25">
      <c r="D607" s="3"/>
      <c r="E607" s="3"/>
      <c r="F607" s="3"/>
    </row>
    <row r="608" spans="4:6" ht="12.75" customHeight="1" x14ac:dyDescent="0.25">
      <c r="D608" s="3"/>
      <c r="E608" s="3"/>
      <c r="F608" s="3"/>
    </row>
    <row r="609" spans="4:6" ht="12.75" customHeight="1" x14ac:dyDescent="0.25">
      <c r="D609" s="3"/>
      <c r="E609" s="3"/>
      <c r="F609" s="3"/>
    </row>
    <row r="610" spans="4:6" ht="12.75" customHeight="1" x14ac:dyDescent="0.25">
      <c r="D610" s="3"/>
      <c r="E610" s="3"/>
      <c r="F610" s="3"/>
    </row>
    <row r="611" spans="4:6" ht="12.75" customHeight="1" x14ac:dyDescent="0.25">
      <c r="D611" s="3"/>
      <c r="E611" s="3"/>
      <c r="F611" s="3"/>
    </row>
    <row r="612" spans="4:6" ht="12.75" customHeight="1" x14ac:dyDescent="0.25">
      <c r="D612" s="3"/>
      <c r="E612" s="3"/>
      <c r="F612" s="3"/>
    </row>
    <row r="613" spans="4:6" ht="12.75" customHeight="1" x14ac:dyDescent="0.25">
      <c r="D613" s="3"/>
      <c r="E613" s="3"/>
      <c r="F613" s="3"/>
    </row>
    <row r="614" spans="4:6" ht="12.75" customHeight="1" x14ac:dyDescent="0.25">
      <c r="D614" s="3"/>
      <c r="E614" s="3"/>
      <c r="F614" s="3"/>
    </row>
    <row r="615" spans="4:6" ht="12.75" customHeight="1" x14ac:dyDescent="0.25">
      <c r="D615" s="3"/>
      <c r="E615" s="3"/>
      <c r="F615" s="3"/>
    </row>
    <row r="616" spans="4:6" ht="12.75" customHeight="1" x14ac:dyDescent="0.25">
      <c r="D616" s="3"/>
      <c r="E616" s="3"/>
      <c r="F616" s="3"/>
    </row>
    <row r="617" spans="4:6" ht="12.75" customHeight="1" x14ac:dyDescent="0.25">
      <c r="D617" s="3"/>
      <c r="E617" s="3"/>
      <c r="F617" s="3"/>
    </row>
    <row r="618" spans="4:6" ht="12.75" customHeight="1" x14ac:dyDescent="0.25">
      <c r="D618" s="3"/>
      <c r="E618" s="3"/>
      <c r="F618" s="3"/>
    </row>
    <row r="619" spans="4:6" ht="12.75" customHeight="1" x14ac:dyDescent="0.25">
      <c r="D619" s="3"/>
      <c r="E619" s="3"/>
      <c r="F619" s="3"/>
    </row>
    <row r="620" spans="4:6" ht="12.75" customHeight="1" x14ac:dyDescent="0.25">
      <c r="D620" s="3"/>
      <c r="E620" s="3"/>
      <c r="F620" s="3"/>
    </row>
    <row r="621" spans="4:6" ht="12.75" customHeight="1" x14ac:dyDescent="0.25">
      <c r="D621" s="3"/>
      <c r="E621" s="3"/>
      <c r="F621" s="3"/>
    </row>
    <row r="622" spans="4:6" ht="12.75" customHeight="1" x14ac:dyDescent="0.25">
      <c r="D622" s="3"/>
      <c r="E622" s="3"/>
      <c r="F622" s="3"/>
    </row>
    <row r="623" spans="4:6" ht="12.75" customHeight="1" x14ac:dyDescent="0.25">
      <c r="D623" s="3"/>
      <c r="E623" s="3"/>
      <c r="F623" s="3"/>
    </row>
    <row r="624" spans="4:6" ht="12.75" customHeight="1" x14ac:dyDescent="0.25">
      <c r="D624" s="3"/>
      <c r="E624" s="3"/>
      <c r="F624" s="3"/>
    </row>
    <row r="625" spans="4:6" ht="12.75" customHeight="1" x14ac:dyDescent="0.25">
      <c r="D625" s="3"/>
      <c r="E625" s="3"/>
      <c r="F625" s="3"/>
    </row>
    <row r="626" spans="4:6" ht="12.75" customHeight="1" x14ac:dyDescent="0.25">
      <c r="D626" s="3"/>
      <c r="E626" s="3"/>
      <c r="F626" s="3"/>
    </row>
    <row r="627" spans="4:6" ht="12.75" customHeight="1" x14ac:dyDescent="0.25">
      <c r="D627" s="3"/>
      <c r="E627" s="3"/>
      <c r="F627" s="3"/>
    </row>
    <row r="628" spans="4:6" ht="12.75" customHeight="1" x14ac:dyDescent="0.25">
      <c r="D628" s="3"/>
      <c r="E628" s="3"/>
      <c r="F628" s="3"/>
    </row>
    <row r="629" spans="4:6" ht="12.75" customHeight="1" x14ac:dyDescent="0.25">
      <c r="D629" s="3"/>
      <c r="E629" s="3"/>
      <c r="F629" s="3"/>
    </row>
    <row r="630" spans="4:6" ht="12.75" customHeight="1" x14ac:dyDescent="0.25">
      <c r="D630" s="3"/>
      <c r="E630" s="3"/>
      <c r="F630" s="3"/>
    </row>
    <row r="631" spans="4:6" ht="12.75" customHeight="1" x14ac:dyDescent="0.25">
      <c r="D631" s="3"/>
      <c r="E631" s="3"/>
      <c r="F631" s="3"/>
    </row>
    <row r="632" spans="4:6" ht="12.75" customHeight="1" x14ac:dyDescent="0.25">
      <c r="D632" s="3"/>
      <c r="E632" s="3"/>
      <c r="F632" s="3"/>
    </row>
    <row r="633" spans="4:6" ht="12.75" customHeight="1" x14ac:dyDescent="0.25">
      <c r="D633" s="3"/>
      <c r="E633" s="3"/>
      <c r="F633" s="3"/>
    </row>
    <row r="634" spans="4:6" ht="12.75" customHeight="1" x14ac:dyDescent="0.25">
      <c r="D634" s="3"/>
      <c r="E634" s="3"/>
      <c r="F634" s="3"/>
    </row>
    <row r="635" spans="4:6" ht="12.75" customHeight="1" x14ac:dyDescent="0.25">
      <c r="D635" s="3"/>
      <c r="E635" s="3"/>
      <c r="F635" s="3"/>
    </row>
    <row r="636" spans="4:6" ht="12.75" customHeight="1" x14ac:dyDescent="0.25">
      <c r="D636" s="3"/>
      <c r="E636" s="3"/>
      <c r="F636" s="3"/>
    </row>
    <row r="637" spans="4:6" ht="12.75" customHeight="1" x14ac:dyDescent="0.25">
      <c r="D637" s="3"/>
      <c r="E637" s="3"/>
      <c r="F637" s="3"/>
    </row>
    <row r="638" spans="4:6" ht="12.75" customHeight="1" x14ac:dyDescent="0.25">
      <c r="D638" s="3"/>
      <c r="E638" s="3"/>
      <c r="F638" s="3"/>
    </row>
    <row r="639" spans="4:6" ht="12.75" customHeight="1" x14ac:dyDescent="0.25">
      <c r="D639" s="3"/>
      <c r="E639" s="3"/>
      <c r="F639" s="3"/>
    </row>
    <row r="640" spans="4:6" ht="12.75" customHeight="1" x14ac:dyDescent="0.25">
      <c r="D640" s="3"/>
      <c r="E640" s="3"/>
      <c r="F640" s="3"/>
    </row>
    <row r="641" spans="4:6" ht="12.75" customHeight="1" x14ac:dyDescent="0.25">
      <c r="D641" s="3"/>
      <c r="E641" s="3"/>
      <c r="F641" s="3"/>
    </row>
    <row r="642" spans="4:6" ht="12.75" customHeight="1" x14ac:dyDescent="0.25">
      <c r="D642" s="3"/>
      <c r="E642" s="3"/>
      <c r="F642" s="3"/>
    </row>
    <row r="643" spans="4:6" ht="12.75" customHeight="1" x14ac:dyDescent="0.25">
      <c r="D643" s="3"/>
      <c r="E643" s="3"/>
      <c r="F643" s="3"/>
    </row>
    <row r="644" spans="4:6" ht="12.75" customHeight="1" x14ac:dyDescent="0.25">
      <c r="D644" s="3"/>
      <c r="E644" s="3"/>
      <c r="F644" s="3"/>
    </row>
    <row r="645" spans="4:6" ht="12.75" customHeight="1" x14ac:dyDescent="0.25">
      <c r="D645" s="3"/>
      <c r="E645" s="3"/>
      <c r="F645" s="3"/>
    </row>
    <row r="646" spans="4:6" ht="12.75" customHeight="1" x14ac:dyDescent="0.25">
      <c r="D646" s="3"/>
      <c r="E646" s="3"/>
      <c r="F646" s="3"/>
    </row>
    <row r="647" spans="4:6" ht="12.75" customHeight="1" x14ac:dyDescent="0.25">
      <c r="D647" s="3"/>
      <c r="E647" s="3"/>
      <c r="F647" s="3"/>
    </row>
    <row r="648" spans="4:6" ht="12.75" customHeight="1" x14ac:dyDescent="0.25">
      <c r="D648" s="3"/>
      <c r="E648" s="3"/>
      <c r="F648" s="3"/>
    </row>
    <row r="649" spans="4:6" ht="12.75" customHeight="1" x14ac:dyDescent="0.25">
      <c r="D649" s="3"/>
      <c r="E649" s="3"/>
      <c r="F649" s="3"/>
    </row>
    <row r="650" spans="4:6" ht="12.75" customHeight="1" x14ac:dyDescent="0.25">
      <c r="D650" s="3"/>
      <c r="E650" s="3"/>
      <c r="F650" s="3"/>
    </row>
    <row r="651" spans="4:6" ht="12.75" customHeight="1" x14ac:dyDescent="0.25">
      <c r="D651" s="3"/>
      <c r="E651" s="3"/>
      <c r="F651" s="3"/>
    </row>
    <row r="652" spans="4:6" ht="12.75" customHeight="1" x14ac:dyDescent="0.25">
      <c r="D652" s="3"/>
      <c r="E652" s="3"/>
      <c r="F652" s="3"/>
    </row>
    <row r="653" spans="4:6" ht="12.75" customHeight="1" x14ac:dyDescent="0.25">
      <c r="D653" s="3"/>
      <c r="E653" s="3"/>
      <c r="F653" s="3"/>
    </row>
    <row r="654" spans="4:6" ht="12.75" customHeight="1" x14ac:dyDescent="0.25">
      <c r="D654" s="3"/>
      <c r="E654" s="3"/>
      <c r="F654" s="3"/>
    </row>
    <row r="655" spans="4:6" ht="12.75" customHeight="1" x14ac:dyDescent="0.25">
      <c r="D655" s="3"/>
      <c r="E655" s="3"/>
      <c r="F655" s="3"/>
    </row>
    <row r="656" spans="4:6" ht="12.75" customHeight="1" x14ac:dyDescent="0.25">
      <c r="D656" s="3"/>
      <c r="E656" s="3"/>
      <c r="F656" s="3"/>
    </row>
    <row r="657" spans="4:6" ht="12.75" customHeight="1" x14ac:dyDescent="0.25">
      <c r="D657" s="3"/>
      <c r="E657" s="3"/>
      <c r="F657" s="3"/>
    </row>
    <row r="658" spans="4:6" ht="12.75" customHeight="1" x14ac:dyDescent="0.25">
      <c r="D658" s="3"/>
      <c r="E658" s="3"/>
      <c r="F658" s="3"/>
    </row>
    <row r="659" spans="4:6" ht="12.75" customHeight="1" x14ac:dyDescent="0.25">
      <c r="D659" s="3"/>
      <c r="E659" s="3"/>
      <c r="F659" s="3"/>
    </row>
    <row r="660" spans="4:6" ht="12.75" customHeight="1" x14ac:dyDescent="0.25">
      <c r="D660" s="3"/>
      <c r="E660" s="3"/>
      <c r="F660" s="3"/>
    </row>
    <row r="661" spans="4:6" ht="12.75" customHeight="1" x14ac:dyDescent="0.25">
      <c r="D661" s="3"/>
      <c r="E661" s="3"/>
      <c r="F661" s="3"/>
    </row>
    <row r="662" spans="4:6" ht="12.75" customHeight="1" x14ac:dyDescent="0.25">
      <c r="D662" s="3"/>
      <c r="E662" s="3"/>
      <c r="F662" s="3"/>
    </row>
    <row r="663" spans="4:6" ht="12.75" customHeight="1" x14ac:dyDescent="0.25">
      <c r="D663" s="3"/>
      <c r="E663" s="3"/>
      <c r="F663" s="3"/>
    </row>
    <row r="664" spans="4:6" ht="12.75" customHeight="1" x14ac:dyDescent="0.25">
      <c r="D664" s="3"/>
      <c r="E664" s="3"/>
      <c r="F664" s="3"/>
    </row>
    <row r="665" spans="4:6" ht="12.75" customHeight="1" x14ac:dyDescent="0.25">
      <c r="D665" s="3"/>
      <c r="E665" s="3"/>
      <c r="F665" s="3"/>
    </row>
    <row r="666" spans="4:6" ht="12.75" customHeight="1" x14ac:dyDescent="0.25">
      <c r="D666" s="3"/>
      <c r="E666" s="3"/>
      <c r="F666" s="3"/>
    </row>
    <row r="667" spans="4:6" ht="12.75" customHeight="1" x14ac:dyDescent="0.25">
      <c r="D667" s="3"/>
      <c r="E667" s="3"/>
      <c r="F667" s="3"/>
    </row>
    <row r="668" spans="4:6" ht="12.75" customHeight="1" x14ac:dyDescent="0.25">
      <c r="D668" s="3"/>
      <c r="E668" s="3"/>
      <c r="F668" s="3"/>
    </row>
    <row r="669" spans="4:6" ht="12.75" customHeight="1" x14ac:dyDescent="0.25">
      <c r="D669" s="3"/>
      <c r="E669" s="3"/>
      <c r="F669" s="3"/>
    </row>
    <row r="670" spans="4:6" ht="12.75" customHeight="1" x14ac:dyDescent="0.25">
      <c r="D670" s="3"/>
      <c r="E670" s="3"/>
      <c r="F670" s="3"/>
    </row>
    <row r="671" spans="4:6" ht="12.75" customHeight="1" x14ac:dyDescent="0.25">
      <c r="D671" s="3"/>
      <c r="E671" s="3"/>
      <c r="F671" s="3"/>
    </row>
    <row r="672" spans="4:6" ht="12.75" customHeight="1" x14ac:dyDescent="0.25">
      <c r="D672" s="3"/>
      <c r="E672" s="3"/>
      <c r="F672" s="3"/>
    </row>
    <row r="673" spans="4:6" ht="12.75" customHeight="1" x14ac:dyDescent="0.25">
      <c r="D673" s="3"/>
      <c r="E673" s="3"/>
      <c r="F673" s="3"/>
    </row>
    <row r="674" spans="4:6" ht="12.75" customHeight="1" x14ac:dyDescent="0.25">
      <c r="D674" s="3"/>
      <c r="E674" s="3"/>
      <c r="F674" s="3"/>
    </row>
    <row r="675" spans="4:6" ht="12.75" customHeight="1" x14ac:dyDescent="0.25">
      <c r="D675" s="3"/>
      <c r="E675" s="3"/>
      <c r="F675" s="3"/>
    </row>
    <row r="676" spans="4:6" ht="12.75" customHeight="1" x14ac:dyDescent="0.25">
      <c r="D676" s="3"/>
      <c r="E676" s="3"/>
      <c r="F676" s="3"/>
    </row>
    <row r="677" spans="4:6" ht="12.75" customHeight="1" x14ac:dyDescent="0.25">
      <c r="D677" s="3"/>
      <c r="E677" s="3"/>
      <c r="F677" s="3"/>
    </row>
    <row r="678" spans="4:6" ht="12.75" customHeight="1" x14ac:dyDescent="0.25">
      <c r="D678" s="3"/>
      <c r="E678" s="3"/>
      <c r="F678" s="3"/>
    </row>
    <row r="679" spans="4:6" ht="12.75" customHeight="1" x14ac:dyDescent="0.25">
      <c r="D679" s="3"/>
      <c r="E679" s="3"/>
      <c r="F679" s="3"/>
    </row>
    <row r="680" spans="4:6" ht="12.75" customHeight="1" x14ac:dyDescent="0.25">
      <c r="D680" s="3"/>
      <c r="E680" s="3"/>
      <c r="F680" s="3"/>
    </row>
    <row r="681" spans="4:6" ht="12.75" customHeight="1" x14ac:dyDescent="0.25">
      <c r="D681" s="3"/>
      <c r="E681" s="3"/>
      <c r="F681" s="3"/>
    </row>
    <row r="682" spans="4:6" ht="12.75" customHeight="1" x14ac:dyDescent="0.25">
      <c r="D682" s="3"/>
      <c r="E682" s="3"/>
      <c r="F682" s="3"/>
    </row>
    <row r="683" spans="4:6" ht="12.75" customHeight="1" x14ac:dyDescent="0.25">
      <c r="D683" s="3"/>
      <c r="E683" s="3"/>
      <c r="F683" s="3"/>
    </row>
    <row r="684" spans="4:6" ht="12.75" customHeight="1" x14ac:dyDescent="0.25">
      <c r="D684" s="3"/>
      <c r="E684" s="3"/>
      <c r="F684" s="3"/>
    </row>
    <row r="685" spans="4:6" ht="12.75" customHeight="1" x14ac:dyDescent="0.25">
      <c r="D685" s="3"/>
      <c r="E685" s="3"/>
      <c r="F685" s="3"/>
    </row>
    <row r="686" spans="4:6" ht="12.75" customHeight="1" x14ac:dyDescent="0.25">
      <c r="D686" s="3"/>
      <c r="E686" s="3"/>
      <c r="F686" s="3"/>
    </row>
    <row r="687" spans="4:6" ht="12.75" customHeight="1" x14ac:dyDescent="0.25">
      <c r="D687" s="3"/>
      <c r="E687" s="3"/>
      <c r="F687" s="3"/>
    </row>
    <row r="688" spans="4:6" ht="12.75" customHeight="1" x14ac:dyDescent="0.25">
      <c r="D688" s="3"/>
      <c r="E688" s="3"/>
      <c r="F688" s="3"/>
    </row>
    <row r="689" spans="4:6" ht="12.75" customHeight="1" x14ac:dyDescent="0.25">
      <c r="D689" s="3"/>
      <c r="E689" s="3"/>
      <c r="F689" s="3"/>
    </row>
    <row r="690" spans="4:6" ht="12.75" customHeight="1" x14ac:dyDescent="0.25">
      <c r="D690" s="3"/>
      <c r="E690" s="3"/>
      <c r="F690" s="3"/>
    </row>
    <row r="691" spans="4:6" ht="12.75" customHeight="1" x14ac:dyDescent="0.25">
      <c r="D691" s="3"/>
      <c r="E691" s="3"/>
      <c r="F691" s="3"/>
    </row>
    <row r="692" spans="4:6" ht="12.75" customHeight="1" x14ac:dyDescent="0.25">
      <c r="D692" s="3"/>
      <c r="E692" s="3"/>
      <c r="F692" s="3"/>
    </row>
    <row r="693" spans="4:6" ht="12.75" customHeight="1" x14ac:dyDescent="0.25">
      <c r="D693" s="3"/>
      <c r="E693" s="3"/>
      <c r="F693" s="3"/>
    </row>
    <row r="694" spans="4:6" ht="12.75" customHeight="1" x14ac:dyDescent="0.25">
      <c r="D694" s="3"/>
      <c r="E694" s="3"/>
      <c r="F694" s="3"/>
    </row>
    <row r="695" spans="4:6" ht="12.75" customHeight="1" x14ac:dyDescent="0.25">
      <c r="D695" s="3"/>
      <c r="E695" s="3"/>
      <c r="F695" s="3"/>
    </row>
    <row r="696" spans="4:6" ht="12.75" customHeight="1" x14ac:dyDescent="0.25">
      <c r="D696" s="3"/>
      <c r="E696" s="3"/>
      <c r="F696" s="3"/>
    </row>
    <row r="697" spans="4:6" ht="12.75" customHeight="1" x14ac:dyDescent="0.25">
      <c r="D697" s="3"/>
      <c r="E697" s="3"/>
      <c r="F697" s="3"/>
    </row>
    <row r="698" spans="4:6" ht="12.75" customHeight="1" x14ac:dyDescent="0.25">
      <c r="D698" s="3"/>
      <c r="E698" s="3"/>
      <c r="F698" s="3"/>
    </row>
    <row r="699" spans="4:6" ht="12.75" customHeight="1" x14ac:dyDescent="0.25">
      <c r="D699" s="3"/>
      <c r="E699" s="3"/>
      <c r="F699" s="3"/>
    </row>
    <row r="700" spans="4:6" ht="12.75" customHeight="1" x14ac:dyDescent="0.25">
      <c r="D700" s="3"/>
      <c r="E700" s="3"/>
      <c r="F700" s="3"/>
    </row>
    <row r="701" spans="4:6" ht="12.75" customHeight="1" x14ac:dyDescent="0.25">
      <c r="D701" s="3"/>
      <c r="E701" s="3"/>
      <c r="F701" s="3"/>
    </row>
    <row r="702" spans="4:6" ht="12.75" customHeight="1" x14ac:dyDescent="0.25">
      <c r="D702" s="3"/>
      <c r="E702" s="3"/>
      <c r="F702" s="3"/>
    </row>
    <row r="703" spans="4:6" ht="12.75" customHeight="1" x14ac:dyDescent="0.25">
      <c r="D703" s="3"/>
      <c r="E703" s="3"/>
      <c r="F703" s="3"/>
    </row>
    <row r="704" spans="4:6" ht="12.75" customHeight="1" x14ac:dyDescent="0.25">
      <c r="D704" s="3"/>
      <c r="E704" s="3"/>
      <c r="F704" s="3"/>
    </row>
    <row r="705" spans="4:6" ht="12.75" customHeight="1" x14ac:dyDescent="0.25">
      <c r="D705" s="3"/>
      <c r="E705" s="3"/>
      <c r="F705" s="3"/>
    </row>
    <row r="706" spans="4:6" ht="12.75" customHeight="1" x14ac:dyDescent="0.25">
      <c r="D706" s="3"/>
      <c r="E706" s="3"/>
      <c r="F706" s="3"/>
    </row>
    <row r="707" spans="4:6" ht="12.75" customHeight="1" x14ac:dyDescent="0.25">
      <c r="D707" s="3"/>
      <c r="E707" s="3"/>
      <c r="F707" s="3"/>
    </row>
    <row r="708" spans="4:6" ht="12.75" customHeight="1" x14ac:dyDescent="0.25">
      <c r="D708" s="3"/>
      <c r="E708" s="3"/>
      <c r="F708" s="3"/>
    </row>
    <row r="709" spans="4:6" ht="12.75" customHeight="1" x14ac:dyDescent="0.25">
      <c r="D709" s="3"/>
      <c r="E709" s="3"/>
      <c r="F709" s="3"/>
    </row>
    <row r="710" spans="4:6" ht="12.75" customHeight="1" x14ac:dyDescent="0.25">
      <c r="D710" s="3"/>
      <c r="E710" s="3"/>
      <c r="F710" s="3"/>
    </row>
    <row r="711" spans="4:6" ht="12.75" customHeight="1" x14ac:dyDescent="0.25">
      <c r="D711" s="3"/>
      <c r="E711" s="3"/>
      <c r="F711" s="3"/>
    </row>
    <row r="712" spans="4:6" ht="12.75" customHeight="1" x14ac:dyDescent="0.25">
      <c r="D712" s="3"/>
      <c r="E712" s="3"/>
      <c r="F712" s="3"/>
    </row>
    <row r="713" spans="4:6" ht="12.75" customHeight="1" x14ac:dyDescent="0.25">
      <c r="D713" s="3"/>
      <c r="E713" s="3"/>
      <c r="F713" s="3"/>
    </row>
    <row r="714" spans="4:6" ht="12.75" customHeight="1" x14ac:dyDescent="0.25">
      <c r="D714" s="3"/>
      <c r="E714" s="3"/>
      <c r="F714" s="3"/>
    </row>
    <row r="715" spans="4:6" ht="12.75" customHeight="1" x14ac:dyDescent="0.25">
      <c r="D715" s="3"/>
      <c r="E715" s="3"/>
      <c r="F715" s="3"/>
    </row>
    <row r="716" spans="4:6" ht="12.75" customHeight="1" x14ac:dyDescent="0.25">
      <c r="D716" s="3"/>
      <c r="E716" s="3"/>
      <c r="F716" s="3"/>
    </row>
    <row r="717" spans="4:6" ht="12.75" customHeight="1" x14ac:dyDescent="0.25">
      <c r="D717" s="3"/>
      <c r="E717" s="3"/>
      <c r="F717" s="3"/>
    </row>
    <row r="718" spans="4:6" ht="12.75" customHeight="1" x14ac:dyDescent="0.25">
      <c r="D718" s="3"/>
      <c r="E718" s="3"/>
      <c r="F718" s="3"/>
    </row>
    <row r="719" spans="4:6" ht="12.75" customHeight="1" x14ac:dyDescent="0.25">
      <c r="D719" s="3"/>
      <c r="E719" s="3"/>
      <c r="F719" s="3"/>
    </row>
    <row r="720" spans="4:6" ht="12.75" customHeight="1" x14ac:dyDescent="0.25">
      <c r="D720" s="3"/>
      <c r="E720" s="3"/>
      <c r="F720" s="3"/>
    </row>
    <row r="721" spans="4:6" ht="12.75" customHeight="1" x14ac:dyDescent="0.25">
      <c r="D721" s="3"/>
      <c r="E721" s="3"/>
      <c r="F721" s="3"/>
    </row>
    <row r="722" spans="4:6" ht="12.75" customHeight="1" x14ac:dyDescent="0.25">
      <c r="D722" s="3"/>
      <c r="E722" s="3"/>
      <c r="F722" s="3"/>
    </row>
    <row r="723" spans="4:6" ht="12.75" customHeight="1" x14ac:dyDescent="0.25">
      <c r="D723" s="3"/>
      <c r="E723" s="3"/>
      <c r="F723" s="3"/>
    </row>
    <row r="724" spans="4:6" ht="12.75" customHeight="1" x14ac:dyDescent="0.25">
      <c r="D724" s="3"/>
      <c r="E724" s="3"/>
      <c r="F724" s="3"/>
    </row>
    <row r="725" spans="4:6" ht="12.75" customHeight="1" x14ac:dyDescent="0.25">
      <c r="D725" s="3"/>
      <c r="E725" s="3"/>
      <c r="F725" s="3"/>
    </row>
    <row r="726" spans="4:6" ht="12.75" customHeight="1" x14ac:dyDescent="0.25">
      <c r="D726" s="3"/>
      <c r="E726" s="3"/>
      <c r="F726" s="3"/>
    </row>
    <row r="727" spans="4:6" ht="12.75" customHeight="1" x14ac:dyDescent="0.25">
      <c r="D727" s="3"/>
      <c r="E727" s="3"/>
      <c r="F727" s="3"/>
    </row>
    <row r="728" spans="4:6" ht="12.75" customHeight="1" x14ac:dyDescent="0.25">
      <c r="D728" s="3"/>
      <c r="E728" s="3"/>
      <c r="F728" s="3"/>
    </row>
    <row r="729" spans="4:6" ht="12.75" customHeight="1" x14ac:dyDescent="0.25">
      <c r="D729" s="3"/>
      <c r="E729" s="3"/>
      <c r="F729" s="3"/>
    </row>
    <row r="730" spans="4:6" ht="12.75" customHeight="1" x14ac:dyDescent="0.25">
      <c r="D730" s="3"/>
      <c r="E730" s="3"/>
      <c r="F730" s="3"/>
    </row>
    <row r="731" spans="4:6" ht="12.75" customHeight="1" x14ac:dyDescent="0.25">
      <c r="D731" s="3"/>
      <c r="E731" s="3"/>
      <c r="F731" s="3"/>
    </row>
    <row r="732" spans="4:6" ht="12.75" customHeight="1" x14ac:dyDescent="0.25">
      <c r="D732" s="3"/>
      <c r="E732" s="3"/>
      <c r="F732" s="3"/>
    </row>
    <row r="733" spans="4:6" ht="12.75" customHeight="1" x14ac:dyDescent="0.25">
      <c r="D733" s="3"/>
      <c r="E733" s="3"/>
      <c r="F733" s="3"/>
    </row>
    <row r="734" spans="4:6" ht="12.75" customHeight="1" x14ac:dyDescent="0.25">
      <c r="D734" s="3"/>
      <c r="E734" s="3"/>
      <c r="F734" s="3"/>
    </row>
    <row r="735" spans="4:6" ht="12.75" customHeight="1" x14ac:dyDescent="0.25">
      <c r="D735" s="3"/>
      <c r="E735" s="3"/>
      <c r="F735" s="3"/>
    </row>
    <row r="736" spans="4:6" ht="12.75" customHeight="1" x14ac:dyDescent="0.25">
      <c r="D736" s="3"/>
      <c r="E736" s="3"/>
      <c r="F736" s="3"/>
    </row>
    <row r="737" spans="4:6" ht="12.75" customHeight="1" x14ac:dyDescent="0.25">
      <c r="D737" s="3"/>
      <c r="E737" s="3"/>
      <c r="F737" s="3"/>
    </row>
    <row r="738" spans="4:6" ht="12.75" customHeight="1" x14ac:dyDescent="0.25">
      <c r="D738" s="3"/>
      <c r="E738" s="3"/>
      <c r="F738" s="3"/>
    </row>
    <row r="739" spans="4:6" ht="12.75" customHeight="1" x14ac:dyDescent="0.25">
      <c r="D739" s="3"/>
      <c r="E739" s="3"/>
      <c r="F739" s="3"/>
    </row>
    <row r="740" spans="4:6" ht="12.75" customHeight="1" x14ac:dyDescent="0.25">
      <c r="D740" s="3"/>
      <c r="E740" s="3"/>
      <c r="F740" s="3"/>
    </row>
    <row r="741" spans="4:6" ht="12.75" customHeight="1" x14ac:dyDescent="0.25">
      <c r="D741" s="3"/>
      <c r="E741" s="3"/>
      <c r="F741" s="3"/>
    </row>
    <row r="742" spans="4:6" ht="12.75" customHeight="1" x14ac:dyDescent="0.25">
      <c r="D742" s="3"/>
      <c r="E742" s="3"/>
      <c r="F742" s="3"/>
    </row>
    <row r="743" spans="4:6" ht="12.75" customHeight="1" x14ac:dyDescent="0.25">
      <c r="D743" s="3"/>
      <c r="E743" s="3"/>
      <c r="F743" s="3"/>
    </row>
    <row r="744" spans="4:6" ht="12.75" customHeight="1" x14ac:dyDescent="0.25">
      <c r="D744" s="3"/>
      <c r="E744" s="3"/>
      <c r="F744" s="3"/>
    </row>
    <row r="745" spans="4:6" ht="12.75" customHeight="1" x14ac:dyDescent="0.25">
      <c r="D745" s="3"/>
      <c r="E745" s="3"/>
      <c r="F745" s="3"/>
    </row>
    <row r="746" spans="4:6" ht="12.75" customHeight="1" x14ac:dyDescent="0.25">
      <c r="D746" s="3"/>
      <c r="E746" s="3"/>
      <c r="F746" s="3"/>
    </row>
    <row r="747" spans="4:6" ht="12.75" customHeight="1" x14ac:dyDescent="0.25">
      <c r="D747" s="3"/>
      <c r="E747" s="3"/>
      <c r="F747" s="3"/>
    </row>
    <row r="748" spans="4:6" ht="12.75" customHeight="1" x14ac:dyDescent="0.25">
      <c r="D748" s="3"/>
      <c r="E748" s="3"/>
      <c r="F748" s="3"/>
    </row>
    <row r="749" spans="4:6" ht="12.75" customHeight="1" x14ac:dyDescent="0.25">
      <c r="D749" s="3"/>
      <c r="E749" s="3"/>
      <c r="F749" s="3"/>
    </row>
    <row r="750" spans="4:6" ht="12.75" customHeight="1" x14ac:dyDescent="0.25">
      <c r="D750" s="3"/>
      <c r="E750" s="3"/>
      <c r="F750" s="3"/>
    </row>
    <row r="751" spans="4:6" ht="12.75" customHeight="1" x14ac:dyDescent="0.25">
      <c r="D751" s="3"/>
      <c r="E751" s="3"/>
      <c r="F751" s="3"/>
    </row>
    <row r="752" spans="4:6" ht="12.75" customHeight="1" x14ac:dyDescent="0.25">
      <c r="D752" s="3"/>
      <c r="E752" s="3"/>
      <c r="F752" s="3"/>
    </row>
    <row r="753" spans="4:6" ht="12.75" customHeight="1" x14ac:dyDescent="0.25">
      <c r="D753" s="3"/>
      <c r="E753" s="3"/>
      <c r="F753" s="3"/>
    </row>
    <row r="754" spans="4:6" ht="12.75" customHeight="1" x14ac:dyDescent="0.25">
      <c r="D754" s="3"/>
      <c r="E754" s="3"/>
      <c r="F754" s="3"/>
    </row>
    <row r="755" spans="4:6" ht="12.75" customHeight="1" x14ac:dyDescent="0.25">
      <c r="D755" s="3"/>
      <c r="E755" s="3"/>
      <c r="F755" s="3"/>
    </row>
    <row r="756" spans="4:6" ht="12.75" customHeight="1" x14ac:dyDescent="0.25">
      <c r="D756" s="3"/>
      <c r="E756" s="3"/>
      <c r="F756" s="3"/>
    </row>
    <row r="757" spans="4:6" ht="12.75" customHeight="1" x14ac:dyDescent="0.25">
      <c r="D757" s="3"/>
      <c r="E757" s="3"/>
      <c r="F757" s="3"/>
    </row>
    <row r="758" spans="4:6" ht="12.75" customHeight="1" x14ac:dyDescent="0.25">
      <c r="D758" s="3"/>
      <c r="E758" s="3"/>
      <c r="F758" s="3"/>
    </row>
    <row r="759" spans="4:6" ht="12.75" customHeight="1" x14ac:dyDescent="0.25">
      <c r="D759" s="3"/>
      <c r="E759" s="3"/>
      <c r="F759" s="3"/>
    </row>
    <row r="760" spans="4:6" ht="12.75" customHeight="1" x14ac:dyDescent="0.25">
      <c r="D760" s="3"/>
      <c r="E760" s="3"/>
      <c r="F760" s="3"/>
    </row>
    <row r="761" spans="4:6" ht="12.75" customHeight="1" x14ac:dyDescent="0.25">
      <c r="D761" s="3"/>
      <c r="E761" s="3"/>
      <c r="F761" s="3"/>
    </row>
    <row r="762" spans="4:6" ht="12.75" customHeight="1" x14ac:dyDescent="0.25">
      <c r="D762" s="3"/>
      <c r="E762" s="3"/>
      <c r="F762" s="3"/>
    </row>
    <row r="763" spans="4:6" ht="12.75" customHeight="1" x14ac:dyDescent="0.25">
      <c r="D763" s="3"/>
      <c r="E763" s="3"/>
      <c r="F763" s="3"/>
    </row>
    <row r="764" spans="4:6" ht="12.75" customHeight="1" x14ac:dyDescent="0.25">
      <c r="D764" s="3"/>
      <c r="E764" s="3"/>
      <c r="F764" s="3"/>
    </row>
    <row r="765" spans="4:6" ht="12.75" customHeight="1" x14ac:dyDescent="0.25">
      <c r="D765" s="3"/>
      <c r="E765" s="3"/>
      <c r="F765" s="3"/>
    </row>
    <row r="766" spans="4:6" ht="12.75" customHeight="1" x14ac:dyDescent="0.25">
      <c r="D766" s="3"/>
      <c r="E766" s="3"/>
      <c r="F766" s="3"/>
    </row>
    <row r="767" spans="4:6" ht="12.75" customHeight="1" x14ac:dyDescent="0.25">
      <c r="D767" s="3"/>
      <c r="E767" s="3"/>
      <c r="F767" s="3"/>
    </row>
    <row r="768" spans="4:6" ht="12.75" customHeight="1" x14ac:dyDescent="0.25">
      <c r="D768" s="3"/>
      <c r="E768" s="3"/>
      <c r="F768" s="3"/>
    </row>
    <row r="769" spans="4:6" ht="12.75" customHeight="1" x14ac:dyDescent="0.25">
      <c r="D769" s="3"/>
      <c r="E769" s="3"/>
      <c r="F769" s="3"/>
    </row>
    <row r="770" spans="4:6" ht="12.75" customHeight="1" x14ac:dyDescent="0.25">
      <c r="D770" s="3"/>
      <c r="E770" s="3"/>
      <c r="F770" s="3"/>
    </row>
    <row r="771" spans="4:6" ht="12.75" customHeight="1" x14ac:dyDescent="0.25">
      <c r="D771" s="3"/>
      <c r="E771" s="3"/>
      <c r="F771" s="3"/>
    </row>
    <row r="772" spans="4:6" ht="12.75" customHeight="1" x14ac:dyDescent="0.25">
      <c r="D772" s="3"/>
      <c r="E772" s="3"/>
      <c r="F772" s="3"/>
    </row>
    <row r="773" spans="4:6" ht="12.75" customHeight="1" x14ac:dyDescent="0.25">
      <c r="D773" s="3"/>
      <c r="E773" s="3"/>
      <c r="F773" s="3"/>
    </row>
    <row r="774" spans="4:6" ht="12.75" customHeight="1" x14ac:dyDescent="0.25">
      <c r="D774" s="3"/>
      <c r="E774" s="3"/>
      <c r="F774" s="3"/>
    </row>
    <row r="775" spans="4:6" ht="12.75" customHeight="1" x14ac:dyDescent="0.25">
      <c r="D775" s="3"/>
      <c r="E775" s="3"/>
      <c r="F775" s="3"/>
    </row>
    <row r="776" spans="4:6" ht="12.75" customHeight="1" x14ac:dyDescent="0.25">
      <c r="D776" s="3"/>
      <c r="E776" s="3"/>
      <c r="F776" s="3"/>
    </row>
    <row r="777" spans="4:6" ht="12.75" customHeight="1" x14ac:dyDescent="0.25">
      <c r="D777" s="3"/>
      <c r="E777" s="3"/>
      <c r="F777" s="3"/>
    </row>
    <row r="778" spans="4:6" ht="12.75" customHeight="1" x14ac:dyDescent="0.25">
      <c r="D778" s="3"/>
      <c r="E778" s="3"/>
      <c r="F778" s="3"/>
    </row>
    <row r="779" spans="4:6" ht="12.75" customHeight="1" x14ac:dyDescent="0.25">
      <c r="D779" s="3"/>
      <c r="E779" s="3"/>
      <c r="F779" s="3"/>
    </row>
    <row r="780" spans="4:6" ht="12.75" customHeight="1" x14ac:dyDescent="0.25">
      <c r="D780" s="3"/>
      <c r="E780" s="3"/>
      <c r="F780" s="3"/>
    </row>
    <row r="781" spans="4:6" ht="12.75" customHeight="1" x14ac:dyDescent="0.25">
      <c r="D781" s="3"/>
      <c r="E781" s="3"/>
      <c r="F781" s="3"/>
    </row>
    <row r="782" spans="4:6" ht="12.75" customHeight="1" x14ac:dyDescent="0.25">
      <c r="D782" s="3"/>
      <c r="E782" s="3"/>
      <c r="F782" s="3"/>
    </row>
    <row r="783" spans="4:6" ht="12.75" customHeight="1" x14ac:dyDescent="0.25">
      <c r="D783" s="3"/>
      <c r="E783" s="3"/>
      <c r="F783" s="3"/>
    </row>
    <row r="784" spans="4:6" ht="12.75" customHeight="1" x14ac:dyDescent="0.25">
      <c r="D784" s="3"/>
      <c r="E784" s="3"/>
      <c r="F784" s="3"/>
    </row>
    <row r="785" spans="4:6" ht="12.75" customHeight="1" x14ac:dyDescent="0.25">
      <c r="D785" s="3"/>
      <c r="E785" s="3"/>
      <c r="F785" s="3"/>
    </row>
    <row r="786" spans="4:6" ht="12.75" customHeight="1" x14ac:dyDescent="0.25">
      <c r="D786" s="3"/>
      <c r="E786" s="3"/>
      <c r="F786" s="3"/>
    </row>
    <row r="787" spans="4:6" ht="12.75" customHeight="1" x14ac:dyDescent="0.25">
      <c r="D787" s="3"/>
      <c r="E787" s="3"/>
      <c r="F787" s="3"/>
    </row>
    <row r="788" spans="4:6" ht="12.75" customHeight="1" x14ac:dyDescent="0.25">
      <c r="D788" s="3"/>
      <c r="E788" s="3"/>
      <c r="F788" s="3"/>
    </row>
    <row r="789" spans="4:6" ht="12.75" customHeight="1" x14ac:dyDescent="0.25">
      <c r="D789" s="3"/>
      <c r="E789" s="3"/>
      <c r="F789" s="3"/>
    </row>
    <row r="790" spans="4:6" ht="12.75" customHeight="1" x14ac:dyDescent="0.25">
      <c r="D790" s="3"/>
      <c r="E790" s="3"/>
      <c r="F790" s="3"/>
    </row>
    <row r="791" spans="4:6" ht="12.75" customHeight="1" x14ac:dyDescent="0.25">
      <c r="D791" s="3"/>
      <c r="E791" s="3"/>
      <c r="F791" s="3"/>
    </row>
    <row r="792" spans="4:6" ht="12.75" customHeight="1" x14ac:dyDescent="0.25">
      <c r="D792" s="3"/>
      <c r="E792" s="3"/>
      <c r="F792" s="3"/>
    </row>
    <row r="793" spans="4:6" ht="12.75" customHeight="1" x14ac:dyDescent="0.25">
      <c r="D793" s="3"/>
      <c r="E793" s="3"/>
      <c r="F793" s="3"/>
    </row>
    <row r="794" spans="4:6" ht="12.75" customHeight="1" x14ac:dyDescent="0.25">
      <c r="D794" s="3"/>
      <c r="E794" s="3"/>
      <c r="F794" s="3"/>
    </row>
    <row r="795" spans="4:6" ht="12.75" customHeight="1" x14ac:dyDescent="0.25">
      <c r="D795" s="3"/>
      <c r="E795" s="3"/>
      <c r="F795" s="3"/>
    </row>
    <row r="796" spans="4:6" ht="12.75" customHeight="1" x14ac:dyDescent="0.25">
      <c r="D796" s="3"/>
      <c r="E796" s="3"/>
      <c r="F796" s="3"/>
    </row>
    <row r="797" spans="4:6" ht="12.75" customHeight="1" x14ac:dyDescent="0.25">
      <c r="D797" s="3"/>
      <c r="E797" s="3"/>
      <c r="F797" s="3"/>
    </row>
    <row r="798" spans="4:6" ht="12.75" customHeight="1" x14ac:dyDescent="0.25">
      <c r="D798" s="3"/>
      <c r="E798" s="3"/>
      <c r="F798" s="3"/>
    </row>
    <row r="799" spans="4:6" ht="12.75" customHeight="1" x14ac:dyDescent="0.25">
      <c r="D799" s="3"/>
      <c r="E799" s="3"/>
      <c r="F799" s="3"/>
    </row>
    <row r="800" spans="4:6" ht="12.75" customHeight="1" x14ac:dyDescent="0.25">
      <c r="D800" s="3"/>
      <c r="E800" s="3"/>
      <c r="F800" s="3"/>
    </row>
    <row r="801" spans="4:6" ht="12.75" customHeight="1" x14ac:dyDescent="0.25">
      <c r="D801" s="3"/>
      <c r="E801" s="3"/>
      <c r="F801" s="3"/>
    </row>
    <row r="802" spans="4:6" ht="12.75" customHeight="1" x14ac:dyDescent="0.25">
      <c r="D802" s="3"/>
      <c r="E802" s="3"/>
      <c r="F802" s="3"/>
    </row>
    <row r="803" spans="4:6" ht="12.75" customHeight="1" x14ac:dyDescent="0.25">
      <c r="D803" s="3"/>
      <c r="E803" s="3"/>
      <c r="F803" s="3"/>
    </row>
    <row r="804" spans="4:6" ht="12.75" customHeight="1" x14ac:dyDescent="0.25">
      <c r="D804" s="3"/>
      <c r="E804" s="3"/>
      <c r="F804" s="3"/>
    </row>
    <row r="805" spans="4:6" ht="12.75" customHeight="1" x14ac:dyDescent="0.25">
      <c r="D805" s="3"/>
      <c r="E805" s="3"/>
      <c r="F805" s="3"/>
    </row>
    <row r="806" spans="4:6" ht="12.75" customHeight="1" x14ac:dyDescent="0.25">
      <c r="D806" s="3"/>
      <c r="E806" s="3"/>
      <c r="F806" s="3"/>
    </row>
    <row r="807" spans="4:6" ht="12.75" customHeight="1" x14ac:dyDescent="0.25">
      <c r="D807" s="3"/>
      <c r="E807" s="3"/>
      <c r="F807" s="3"/>
    </row>
    <row r="808" spans="4:6" ht="12.75" customHeight="1" x14ac:dyDescent="0.25">
      <c r="D808" s="3"/>
      <c r="E808" s="3"/>
      <c r="F808" s="3"/>
    </row>
    <row r="809" spans="4:6" ht="12.75" customHeight="1" x14ac:dyDescent="0.25">
      <c r="D809" s="3"/>
      <c r="E809" s="3"/>
      <c r="F809" s="3"/>
    </row>
    <row r="810" spans="4:6" ht="12.75" customHeight="1" x14ac:dyDescent="0.25">
      <c r="D810" s="3"/>
      <c r="E810" s="3"/>
      <c r="F810" s="3"/>
    </row>
    <row r="811" spans="4:6" ht="12.75" customHeight="1" x14ac:dyDescent="0.25">
      <c r="D811" s="3"/>
      <c r="E811" s="3"/>
      <c r="F811" s="3"/>
    </row>
    <row r="812" spans="4:6" ht="12.75" customHeight="1" x14ac:dyDescent="0.25">
      <c r="D812" s="3"/>
      <c r="E812" s="3"/>
      <c r="F812" s="3"/>
    </row>
    <row r="813" spans="4:6" ht="12.75" customHeight="1" x14ac:dyDescent="0.25">
      <c r="D813" s="3"/>
      <c r="E813" s="3"/>
      <c r="F813" s="3"/>
    </row>
    <row r="814" spans="4:6" ht="12.75" customHeight="1" x14ac:dyDescent="0.25">
      <c r="D814" s="3"/>
      <c r="E814" s="3"/>
      <c r="F814" s="3"/>
    </row>
    <row r="815" spans="4:6" ht="12.75" customHeight="1" x14ac:dyDescent="0.25">
      <c r="D815" s="3"/>
      <c r="E815" s="3"/>
      <c r="F815" s="3"/>
    </row>
    <row r="816" spans="4:6" ht="12.75" customHeight="1" x14ac:dyDescent="0.25">
      <c r="D816" s="3"/>
      <c r="E816" s="3"/>
      <c r="F816" s="3"/>
    </row>
    <row r="817" spans="4:6" ht="12.75" customHeight="1" x14ac:dyDescent="0.25">
      <c r="D817" s="3"/>
      <c r="E817" s="3"/>
      <c r="F817" s="3"/>
    </row>
    <row r="818" spans="4:6" ht="12.75" customHeight="1" x14ac:dyDescent="0.25">
      <c r="D818" s="3"/>
      <c r="E818" s="3"/>
      <c r="F818" s="3"/>
    </row>
    <row r="819" spans="4:6" ht="12.75" customHeight="1" x14ac:dyDescent="0.25">
      <c r="D819" s="3"/>
      <c r="E819" s="3"/>
      <c r="F819" s="3"/>
    </row>
    <row r="820" spans="4:6" ht="12.75" customHeight="1" x14ac:dyDescent="0.25">
      <c r="D820" s="3"/>
      <c r="E820" s="3"/>
      <c r="F820" s="3"/>
    </row>
    <row r="821" spans="4:6" ht="12.75" customHeight="1" x14ac:dyDescent="0.25">
      <c r="D821" s="3"/>
      <c r="E821" s="3"/>
      <c r="F821" s="3"/>
    </row>
    <row r="822" spans="4:6" ht="12.75" customHeight="1" x14ac:dyDescent="0.25">
      <c r="D822" s="3"/>
      <c r="E822" s="3"/>
      <c r="F822" s="3"/>
    </row>
    <row r="823" spans="4:6" ht="12.75" customHeight="1" x14ac:dyDescent="0.25">
      <c r="D823" s="3"/>
      <c r="E823" s="3"/>
      <c r="F823" s="3"/>
    </row>
    <row r="824" spans="4:6" ht="12.75" customHeight="1" x14ac:dyDescent="0.25">
      <c r="D824" s="3"/>
      <c r="E824" s="3"/>
      <c r="F824" s="3"/>
    </row>
    <row r="825" spans="4:6" ht="12.75" customHeight="1" x14ac:dyDescent="0.25">
      <c r="D825" s="3"/>
      <c r="E825" s="3"/>
      <c r="F825" s="3"/>
    </row>
    <row r="826" spans="4:6" ht="12.75" customHeight="1" x14ac:dyDescent="0.25">
      <c r="D826" s="3"/>
      <c r="E826" s="3"/>
      <c r="F826" s="3"/>
    </row>
    <row r="827" spans="4:6" ht="12.75" customHeight="1" x14ac:dyDescent="0.25">
      <c r="D827" s="3"/>
      <c r="E827" s="3"/>
      <c r="F827" s="3"/>
    </row>
    <row r="828" spans="4:6" ht="12.75" customHeight="1" x14ac:dyDescent="0.25">
      <c r="D828" s="3"/>
      <c r="E828" s="3"/>
      <c r="F828" s="3"/>
    </row>
    <row r="829" spans="4:6" ht="12.75" customHeight="1" x14ac:dyDescent="0.25">
      <c r="D829" s="3"/>
      <c r="E829" s="3"/>
      <c r="F829" s="3"/>
    </row>
    <row r="830" spans="4:6" ht="12.75" customHeight="1" x14ac:dyDescent="0.25">
      <c r="D830" s="3"/>
      <c r="E830" s="3"/>
      <c r="F830" s="3"/>
    </row>
    <row r="831" spans="4:6" ht="12.75" customHeight="1" x14ac:dyDescent="0.25">
      <c r="D831" s="3"/>
      <c r="E831" s="3"/>
      <c r="F831" s="3"/>
    </row>
    <row r="832" spans="4:6" ht="12.75" customHeight="1" x14ac:dyDescent="0.25">
      <c r="D832" s="3"/>
      <c r="E832" s="3"/>
      <c r="F832" s="3"/>
    </row>
    <row r="833" spans="4:6" ht="12.75" customHeight="1" x14ac:dyDescent="0.25">
      <c r="D833" s="3"/>
      <c r="E833" s="3"/>
      <c r="F833" s="3"/>
    </row>
    <row r="834" spans="4:6" ht="12.75" customHeight="1" x14ac:dyDescent="0.25">
      <c r="D834" s="3"/>
      <c r="E834" s="3"/>
      <c r="F834" s="3"/>
    </row>
    <row r="835" spans="4:6" ht="12.75" customHeight="1" x14ac:dyDescent="0.25">
      <c r="D835" s="3"/>
      <c r="E835" s="3"/>
      <c r="F835" s="3"/>
    </row>
    <row r="836" spans="4:6" ht="12.75" customHeight="1" x14ac:dyDescent="0.25">
      <c r="D836" s="3"/>
      <c r="E836" s="3"/>
      <c r="F836" s="3"/>
    </row>
    <row r="837" spans="4:6" ht="12.75" customHeight="1" x14ac:dyDescent="0.25">
      <c r="D837" s="3"/>
      <c r="E837" s="3"/>
      <c r="F837" s="3"/>
    </row>
    <row r="838" spans="4:6" ht="12.75" customHeight="1" x14ac:dyDescent="0.25">
      <c r="D838" s="3"/>
      <c r="E838" s="3"/>
      <c r="F838" s="3"/>
    </row>
    <row r="839" spans="4:6" ht="12.75" customHeight="1" x14ac:dyDescent="0.25">
      <c r="D839" s="3"/>
      <c r="E839" s="3"/>
      <c r="F839" s="3"/>
    </row>
    <row r="840" spans="4:6" ht="12.75" customHeight="1" x14ac:dyDescent="0.25">
      <c r="D840" s="3"/>
      <c r="E840" s="3"/>
      <c r="F840" s="3"/>
    </row>
    <row r="841" spans="4:6" ht="12.75" customHeight="1" x14ac:dyDescent="0.25">
      <c r="D841" s="3"/>
      <c r="E841" s="3"/>
      <c r="F841" s="3"/>
    </row>
    <row r="842" spans="4:6" ht="12.75" customHeight="1" x14ac:dyDescent="0.25">
      <c r="D842" s="3"/>
      <c r="E842" s="3"/>
      <c r="F842" s="3"/>
    </row>
    <row r="843" spans="4:6" ht="12.75" customHeight="1" x14ac:dyDescent="0.25">
      <c r="D843" s="3"/>
      <c r="E843" s="3"/>
      <c r="F843" s="3"/>
    </row>
    <row r="844" spans="4:6" ht="12.75" customHeight="1" x14ac:dyDescent="0.25">
      <c r="D844" s="3"/>
      <c r="E844" s="3"/>
      <c r="F844" s="3"/>
    </row>
    <row r="845" spans="4:6" ht="12.75" customHeight="1" x14ac:dyDescent="0.25">
      <c r="D845" s="3"/>
      <c r="E845" s="3"/>
      <c r="F845" s="3"/>
    </row>
    <row r="846" spans="4:6" ht="12.75" customHeight="1" x14ac:dyDescent="0.25">
      <c r="D846" s="3"/>
      <c r="E846" s="3"/>
      <c r="F846" s="3"/>
    </row>
    <row r="847" spans="4:6" ht="12.75" customHeight="1" x14ac:dyDescent="0.25">
      <c r="D847" s="3"/>
      <c r="E847" s="3"/>
      <c r="F847" s="3"/>
    </row>
    <row r="848" spans="4:6" ht="12.75" customHeight="1" x14ac:dyDescent="0.25">
      <c r="D848" s="3"/>
      <c r="E848" s="3"/>
      <c r="F848" s="3"/>
    </row>
    <row r="849" spans="4:6" ht="12.75" customHeight="1" x14ac:dyDescent="0.25">
      <c r="D849" s="3"/>
      <c r="E849" s="3"/>
      <c r="F849" s="3"/>
    </row>
    <row r="850" spans="4:6" ht="12.75" customHeight="1" x14ac:dyDescent="0.25">
      <c r="D850" s="3"/>
      <c r="E850" s="3"/>
      <c r="F850" s="3"/>
    </row>
    <row r="851" spans="4:6" ht="12.75" customHeight="1" x14ac:dyDescent="0.25">
      <c r="D851" s="3"/>
      <c r="E851" s="3"/>
      <c r="F851" s="3"/>
    </row>
    <row r="852" spans="4:6" ht="12.75" customHeight="1" x14ac:dyDescent="0.25">
      <c r="D852" s="3"/>
      <c r="E852" s="3"/>
      <c r="F852" s="3"/>
    </row>
    <row r="853" spans="4:6" ht="12.75" customHeight="1" x14ac:dyDescent="0.25">
      <c r="D853" s="3"/>
      <c r="E853" s="3"/>
      <c r="F853" s="3"/>
    </row>
    <row r="854" spans="4:6" ht="12.75" customHeight="1" x14ac:dyDescent="0.25">
      <c r="D854" s="3"/>
      <c r="E854" s="3"/>
      <c r="F854" s="3"/>
    </row>
    <row r="855" spans="4:6" ht="12.75" customHeight="1" x14ac:dyDescent="0.25">
      <c r="D855" s="3"/>
      <c r="E855" s="3"/>
      <c r="F855" s="3"/>
    </row>
    <row r="856" spans="4:6" ht="12.75" customHeight="1" x14ac:dyDescent="0.25">
      <c r="D856" s="3"/>
      <c r="E856" s="3"/>
      <c r="F856" s="3"/>
    </row>
    <row r="857" spans="4:6" ht="12.75" customHeight="1" x14ac:dyDescent="0.25">
      <c r="D857" s="3"/>
      <c r="E857" s="3"/>
      <c r="F857" s="3"/>
    </row>
    <row r="858" spans="4:6" ht="12.75" customHeight="1" x14ac:dyDescent="0.25">
      <c r="D858" s="3"/>
      <c r="E858" s="3"/>
      <c r="F858" s="3"/>
    </row>
    <row r="859" spans="4:6" ht="12.75" customHeight="1" x14ac:dyDescent="0.25">
      <c r="D859" s="3"/>
      <c r="E859" s="3"/>
      <c r="F859" s="3"/>
    </row>
    <row r="860" spans="4:6" ht="12.75" customHeight="1" x14ac:dyDescent="0.25">
      <c r="D860" s="3"/>
      <c r="E860" s="3"/>
      <c r="F860" s="3"/>
    </row>
    <row r="861" spans="4:6" ht="12.75" customHeight="1" x14ac:dyDescent="0.25">
      <c r="D861" s="3"/>
      <c r="E861" s="3"/>
      <c r="F861" s="3"/>
    </row>
    <row r="862" spans="4:6" ht="12.75" customHeight="1" x14ac:dyDescent="0.25">
      <c r="D862" s="3"/>
      <c r="E862" s="3"/>
      <c r="F862" s="3"/>
    </row>
    <row r="863" spans="4:6" ht="12.75" customHeight="1" x14ac:dyDescent="0.25">
      <c r="D863" s="3"/>
      <c r="E863" s="3"/>
      <c r="F863" s="3"/>
    </row>
    <row r="864" spans="4:6" ht="12.75" customHeight="1" x14ac:dyDescent="0.25">
      <c r="D864" s="3"/>
      <c r="E864" s="3"/>
      <c r="F864" s="3"/>
    </row>
    <row r="865" spans="4:6" ht="12.75" customHeight="1" x14ac:dyDescent="0.25">
      <c r="D865" s="3"/>
      <c r="E865" s="3"/>
      <c r="F865" s="3"/>
    </row>
    <row r="866" spans="4:6" ht="12.75" customHeight="1" x14ac:dyDescent="0.25">
      <c r="D866" s="3"/>
      <c r="E866" s="3"/>
      <c r="F866" s="3"/>
    </row>
    <row r="867" spans="4:6" ht="12.75" customHeight="1" x14ac:dyDescent="0.25">
      <c r="D867" s="3"/>
      <c r="E867" s="3"/>
      <c r="F867" s="3"/>
    </row>
    <row r="868" spans="4:6" ht="12.75" customHeight="1" x14ac:dyDescent="0.25">
      <c r="D868" s="3"/>
      <c r="E868" s="3"/>
      <c r="F868" s="3"/>
    </row>
    <row r="869" spans="4:6" ht="12.75" customHeight="1" x14ac:dyDescent="0.25">
      <c r="D869" s="3"/>
      <c r="E869" s="3"/>
      <c r="F869" s="3"/>
    </row>
    <row r="870" spans="4:6" ht="12.75" customHeight="1" x14ac:dyDescent="0.25">
      <c r="D870" s="3"/>
      <c r="E870" s="3"/>
      <c r="F870" s="3"/>
    </row>
    <row r="871" spans="4:6" ht="12.75" customHeight="1" x14ac:dyDescent="0.25">
      <c r="D871" s="3"/>
      <c r="E871" s="3"/>
      <c r="F871" s="3"/>
    </row>
    <row r="872" spans="4:6" ht="12.75" customHeight="1" x14ac:dyDescent="0.25">
      <c r="D872" s="3"/>
      <c r="E872" s="3"/>
      <c r="F872" s="3"/>
    </row>
    <row r="873" spans="4:6" ht="12.75" customHeight="1" x14ac:dyDescent="0.25">
      <c r="D873" s="3"/>
      <c r="E873" s="3"/>
      <c r="F873" s="3"/>
    </row>
    <row r="874" spans="4:6" ht="12.75" customHeight="1" x14ac:dyDescent="0.25">
      <c r="D874" s="3"/>
      <c r="E874" s="3"/>
      <c r="F874" s="3"/>
    </row>
    <row r="875" spans="4:6" ht="12.75" customHeight="1" x14ac:dyDescent="0.25">
      <c r="D875" s="3"/>
      <c r="E875" s="3"/>
      <c r="F875" s="3"/>
    </row>
    <row r="876" spans="4:6" ht="12.75" customHeight="1" x14ac:dyDescent="0.25">
      <c r="D876" s="3"/>
      <c r="E876" s="3"/>
      <c r="F876" s="3"/>
    </row>
    <row r="877" spans="4:6" ht="12.75" customHeight="1" x14ac:dyDescent="0.25">
      <c r="D877" s="3"/>
      <c r="E877" s="3"/>
      <c r="F877" s="3"/>
    </row>
    <row r="878" spans="4:6" ht="12.75" customHeight="1" x14ac:dyDescent="0.25">
      <c r="D878" s="3"/>
      <c r="E878" s="3"/>
      <c r="F878" s="3"/>
    </row>
    <row r="879" spans="4:6" ht="12.75" customHeight="1" x14ac:dyDescent="0.25">
      <c r="D879" s="3"/>
      <c r="E879" s="3"/>
      <c r="F879" s="3"/>
    </row>
    <row r="880" spans="4:6" ht="12.75" customHeight="1" x14ac:dyDescent="0.25">
      <c r="D880" s="3"/>
      <c r="E880" s="3"/>
      <c r="F880" s="3"/>
    </row>
    <row r="881" spans="4:6" ht="12.75" customHeight="1" x14ac:dyDescent="0.25">
      <c r="D881" s="3"/>
      <c r="E881" s="3"/>
      <c r="F881" s="3"/>
    </row>
    <row r="882" spans="4:6" ht="12.75" customHeight="1" x14ac:dyDescent="0.25">
      <c r="D882" s="3"/>
      <c r="E882" s="3"/>
      <c r="F882" s="3"/>
    </row>
    <row r="883" spans="4:6" ht="12.75" customHeight="1" x14ac:dyDescent="0.25">
      <c r="D883" s="3"/>
      <c r="E883" s="3"/>
      <c r="F883" s="3"/>
    </row>
    <row r="884" spans="4:6" ht="12.75" customHeight="1" x14ac:dyDescent="0.25">
      <c r="D884" s="3"/>
      <c r="E884" s="3"/>
      <c r="F884" s="3"/>
    </row>
    <row r="885" spans="4:6" ht="12.75" customHeight="1" x14ac:dyDescent="0.25">
      <c r="D885" s="3"/>
      <c r="E885" s="3"/>
      <c r="F885" s="3"/>
    </row>
    <row r="886" spans="4:6" ht="12.75" customHeight="1" x14ac:dyDescent="0.25">
      <c r="D886" s="3"/>
      <c r="E886" s="3"/>
      <c r="F886" s="3"/>
    </row>
    <row r="887" spans="4:6" ht="12.75" customHeight="1" x14ac:dyDescent="0.25">
      <c r="D887" s="3"/>
      <c r="E887" s="3"/>
      <c r="F887" s="3"/>
    </row>
    <row r="888" spans="4:6" ht="12.75" customHeight="1" x14ac:dyDescent="0.25">
      <c r="D888" s="3"/>
      <c r="E888" s="3"/>
      <c r="F888" s="3"/>
    </row>
    <row r="889" spans="4:6" ht="12.75" customHeight="1" x14ac:dyDescent="0.25">
      <c r="D889" s="3"/>
      <c r="E889" s="3"/>
      <c r="F889" s="3"/>
    </row>
    <row r="890" spans="4:6" ht="12.75" customHeight="1" x14ac:dyDescent="0.25">
      <c r="D890" s="3"/>
      <c r="E890" s="3"/>
      <c r="F890" s="3"/>
    </row>
    <row r="891" spans="4:6" ht="12.75" customHeight="1" x14ac:dyDescent="0.25">
      <c r="D891" s="3"/>
      <c r="E891" s="3"/>
      <c r="F891" s="3"/>
    </row>
    <row r="892" spans="4:6" ht="12.75" customHeight="1" x14ac:dyDescent="0.25">
      <c r="D892" s="3"/>
      <c r="E892" s="3"/>
      <c r="F892" s="3"/>
    </row>
    <row r="893" spans="4:6" ht="12.75" customHeight="1" x14ac:dyDescent="0.25">
      <c r="D893" s="3"/>
      <c r="E893" s="3"/>
      <c r="F893" s="3"/>
    </row>
    <row r="894" spans="4:6" ht="12.75" customHeight="1" x14ac:dyDescent="0.25">
      <c r="D894" s="3"/>
      <c r="E894" s="3"/>
      <c r="F894" s="3"/>
    </row>
    <row r="895" spans="4:6" ht="12.75" customHeight="1" x14ac:dyDescent="0.25">
      <c r="D895" s="3"/>
      <c r="E895" s="3"/>
      <c r="F895" s="3"/>
    </row>
    <row r="896" spans="4:6" ht="12.75" customHeight="1" x14ac:dyDescent="0.25">
      <c r="D896" s="3"/>
      <c r="E896" s="3"/>
      <c r="F896" s="3"/>
    </row>
    <row r="897" spans="4:6" ht="12.75" customHeight="1" x14ac:dyDescent="0.25">
      <c r="D897" s="3"/>
      <c r="E897" s="3"/>
      <c r="F897" s="3"/>
    </row>
    <row r="898" spans="4:6" ht="12.75" customHeight="1" x14ac:dyDescent="0.25">
      <c r="D898" s="3"/>
      <c r="E898" s="3"/>
      <c r="F898" s="3"/>
    </row>
    <row r="899" spans="4:6" ht="12.75" customHeight="1" x14ac:dyDescent="0.25">
      <c r="D899" s="3"/>
      <c r="E899" s="3"/>
      <c r="F899" s="3"/>
    </row>
    <row r="900" spans="4:6" ht="12.75" customHeight="1" x14ac:dyDescent="0.25">
      <c r="D900" s="3"/>
      <c r="E900" s="3"/>
      <c r="F900" s="3"/>
    </row>
    <row r="901" spans="4:6" ht="12.75" customHeight="1" x14ac:dyDescent="0.25">
      <c r="D901" s="3"/>
      <c r="E901" s="3"/>
      <c r="F901" s="3"/>
    </row>
    <row r="902" spans="4:6" ht="12.75" customHeight="1" x14ac:dyDescent="0.25">
      <c r="D902" s="3"/>
      <c r="E902" s="3"/>
      <c r="F902" s="3"/>
    </row>
    <row r="903" spans="4:6" ht="12.75" customHeight="1" x14ac:dyDescent="0.25">
      <c r="D903" s="3"/>
      <c r="E903" s="3"/>
      <c r="F903" s="3"/>
    </row>
    <row r="904" spans="4:6" ht="12.75" customHeight="1" x14ac:dyDescent="0.25">
      <c r="D904" s="3"/>
      <c r="E904" s="3"/>
      <c r="F904" s="3"/>
    </row>
    <row r="905" spans="4:6" ht="12.75" customHeight="1" x14ac:dyDescent="0.25">
      <c r="D905" s="3"/>
      <c r="E905" s="3"/>
      <c r="F905" s="3"/>
    </row>
    <row r="906" spans="4:6" ht="12.75" customHeight="1" x14ac:dyDescent="0.25">
      <c r="D906" s="3"/>
      <c r="E906" s="3"/>
      <c r="F906" s="3"/>
    </row>
    <row r="907" spans="4:6" ht="12.75" customHeight="1" x14ac:dyDescent="0.25">
      <c r="D907" s="3"/>
      <c r="E907" s="3"/>
      <c r="F907" s="3"/>
    </row>
    <row r="908" spans="4:6" ht="12.75" customHeight="1" x14ac:dyDescent="0.25">
      <c r="D908" s="3"/>
      <c r="E908" s="3"/>
      <c r="F908" s="3"/>
    </row>
    <row r="909" spans="4:6" ht="12.75" customHeight="1" x14ac:dyDescent="0.25">
      <c r="D909" s="3"/>
      <c r="E909" s="3"/>
      <c r="F909" s="3"/>
    </row>
    <row r="910" spans="4:6" ht="12.75" customHeight="1" x14ac:dyDescent="0.25">
      <c r="D910" s="3"/>
      <c r="E910" s="3"/>
      <c r="F910" s="3"/>
    </row>
    <row r="911" spans="4:6" ht="12.75" customHeight="1" x14ac:dyDescent="0.25">
      <c r="D911" s="3"/>
      <c r="E911" s="3"/>
      <c r="F911" s="3"/>
    </row>
    <row r="912" spans="4:6" ht="12.75" customHeight="1" x14ac:dyDescent="0.25">
      <c r="D912" s="3"/>
      <c r="E912" s="3"/>
      <c r="F912" s="3"/>
    </row>
    <row r="913" spans="4:6" ht="12.75" customHeight="1" x14ac:dyDescent="0.25">
      <c r="D913" s="3"/>
      <c r="E913" s="3"/>
      <c r="F913" s="3"/>
    </row>
    <row r="914" spans="4:6" ht="12.75" customHeight="1" x14ac:dyDescent="0.25">
      <c r="D914" s="3"/>
      <c r="E914" s="3"/>
      <c r="F914" s="3"/>
    </row>
    <row r="915" spans="4:6" ht="12.75" customHeight="1" x14ac:dyDescent="0.25">
      <c r="D915" s="3"/>
      <c r="E915" s="3"/>
      <c r="F915" s="3"/>
    </row>
    <row r="916" spans="4:6" ht="12.75" customHeight="1" x14ac:dyDescent="0.25">
      <c r="D916" s="3"/>
      <c r="E916" s="3"/>
      <c r="F916" s="3"/>
    </row>
    <row r="917" spans="4:6" ht="12.75" customHeight="1" x14ac:dyDescent="0.25">
      <c r="D917" s="3"/>
      <c r="E917" s="3"/>
      <c r="F917" s="3"/>
    </row>
    <row r="918" spans="4:6" ht="12.75" customHeight="1" x14ac:dyDescent="0.25">
      <c r="D918" s="3"/>
      <c r="E918" s="3"/>
      <c r="F918" s="3"/>
    </row>
    <row r="919" spans="4:6" ht="12.75" customHeight="1" x14ac:dyDescent="0.25">
      <c r="D919" s="3"/>
      <c r="E919" s="3"/>
      <c r="F919" s="3"/>
    </row>
    <row r="920" spans="4:6" ht="12.75" customHeight="1" x14ac:dyDescent="0.25">
      <c r="D920" s="3"/>
      <c r="E920" s="3"/>
      <c r="F920" s="3"/>
    </row>
    <row r="921" spans="4:6" ht="12.75" customHeight="1" x14ac:dyDescent="0.25">
      <c r="D921" s="3"/>
      <c r="E921" s="3"/>
      <c r="F921" s="3"/>
    </row>
    <row r="922" spans="4:6" ht="12.75" customHeight="1" x14ac:dyDescent="0.25">
      <c r="D922" s="3"/>
      <c r="E922" s="3"/>
      <c r="F922" s="3"/>
    </row>
    <row r="923" spans="4:6" ht="12.75" customHeight="1" x14ac:dyDescent="0.25">
      <c r="D923" s="3"/>
      <c r="E923" s="3"/>
      <c r="F923" s="3"/>
    </row>
    <row r="924" spans="4:6" ht="12.75" customHeight="1" x14ac:dyDescent="0.25">
      <c r="D924" s="3"/>
      <c r="E924" s="3"/>
      <c r="F924" s="3"/>
    </row>
    <row r="925" spans="4:6" ht="12.75" customHeight="1" x14ac:dyDescent="0.25">
      <c r="D925" s="3"/>
      <c r="E925" s="3"/>
      <c r="F925" s="3"/>
    </row>
    <row r="926" spans="4:6" ht="12.75" customHeight="1" x14ac:dyDescent="0.25">
      <c r="D926" s="3"/>
      <c r="E926" s="3"/>
      <c r="F926" s="3"/>
    </row>
    <row r="927" spans="4:6" ht="12.75" customHeight="1" x14ac:dyDescent="0.25">
      <c r="D927" s="3"/>
      <c r="E927" s="3"/>
      <c r="F927" s="3"/>
    </row>
    <row r="928" spans="4:6" ht="12.75" customHeight="1" x14ac:dyDescent="0.25">
      <c r="D928" s="3"/>
      <c r="E928" s="3"/>
      <c r="F928" s="3"/>
    </row>
    <row r="929" spans="4:6" ht="12.75" customHeight="1" x14ac:dyDescent="0.25">
      <c r="D929" s="3"/>
      <c r="E929" s="3"/>
      <c r="F929" s="3"/>
    </row>
    <row r="930" spans="4:6" ht="12.75" customHeight="1" x14ac:dyDescent="0.25">
      <c r="D930" s="3"/>
      <c r="E930" s="3"/>
      <c r="F930" s="3"/>
    </row>
    <row r="931" spans="4:6" ht="12.75" customHeight="1" x14ac:dyDescent="0.25">
      <c r="D931" s="3"/>
      <c r="E931" s="3"/>
      <c r="F931" s="3"/>
    </row>
    <row r="932" spans="4:6" ht="12.75" customHeight="1" x14ac:dyDescent="0.25">
      <c r="D932" s="3"/>
      <c r="E932" s="3"/>
      <c r="F932" s="3"/>
    </row>
    <row r="933" spans="4:6" ht="12.75" customHeight="1" x14ac:dyDescent="0.25">
      <c r="D933" s="3"/>
      <c r="E933" s="3"/>
      <c r="F933" s="3"/>
    </row>
    <row r="934" spans="4:6" ht="12.75" customHeight="1" x14ac:dyDescent="0.25">
      <c r="D934" s="3"/>
      <c r="E934" s="3"/>
      <c r="F934" s="3"/>
    </row>
    <row r="935" spans="4:6" ht="12.75" customHeight="1" x14ac:dyDescent="0.25">
      <c r="D935" s="3"/>
      <c r="E935" s="3"/>
      <c r="F935" s="3"/>
    </row>
    <row r="936" spans="4:6" ht="12.75" customHeight="1" x14ac:dyDescent="0.25">
      <c r="D936" s="3"/>
      <c r="E936" s="3"/>
      <c r="F936" s="3"/>
    </row>
    <row r="937" spans="4:6" ht="12.75" customHeight="1" x14ac:dyDescent="0.25">
      <c r="D937" s="3"/>
      <c r="E937" s="3"/>
      <c r="F937" s="3"/>
    </row>
    <row r="938" spans="4:6" ht="12.75" customHeight="1" x14ac:dyDescent="0.25">
      <c r="D938" s="3"/>
      <c r="E938" s="3"/>
      <c r="F938" s="3"/>
    </row>
    <row r="939" spans="4:6" ht="12.75" customHeight="1" x14ac:dyDescent="0.25">
      <c r="D939" s="3"/>
      <c r="E939" s="3"/>
      <c r="F939" s="3"/>
    </row>
    <row r="940" spans="4:6" ht="12.75" customHeight="1" x14ac:dyDescent="0.25">
      <c r="D940" s="3"/>
      <c r="E940" s="3"/>
      <c r="F940" s="3"/>
    </row>
    <row r="941" spans="4:6" ht="12.75" customHeight="1" x14ac:dyDescent="0.25">
      <c r="D941" s="3"/>
      <c r="E941" s="3"/>
      <c r="F941" s="3"/>
    </row>
    <row r="942" spans="4:6" ht="12.75" customHeight="1" x14ac:dyDescent="0.25">
      <c r="D942" s="3"/>
      <c r="E942" s="3"/>
      <c r="F942" s="3"/>
    </row>
    <row r="943" spans="4:6" ht="12.75" customHeight="1" x14ac:dyDescent="0.25">
      <c r="D943" s="3"/>
      <c r="E943" s="3"/>
      <c r="F943" s="3"/>
    </row>
    <row r="944" spans="4:6" ht="12.75" customHeight="1" x14ac:dyDescent="0.25">
      <c r="D944" s="3"/>
      <c r="E944" s="3"/>
      <c r="F944" s="3"/>
    </row>
    <row r="945" spans="4:6" ht="12.75" customHeight="1" x14ac:dyDescent="0.25">
      <c r="D945" s="3"/>
      <c r="E945" s="3"/>
      <c r="F945" s="3"/>
    </row>
    <row r="946" spans="4:6" ht="12.75" customHeight="1" x14ac:dyDescent="0.25">
      <c r="D946" s="3"/>
      <c r="E946" s="3"/>
      <c r="F946" s="3"/>
    </row>
    <row r="947" spans="4:6" ht="12.75" customHeight="1" x14ac:dyDescent="0.25">
      <c r="D947" s="3"/>
      <c r="E947" s="3"/>
      <c r="F947" s="3"/>
    </row>
    <row r="948" spans="4:6" ht="12.75" customHeight="1" x14ac:dyDescent="0.25">
      <c r="D948" s="3"/>
      <c r="E948" s="3"/>
      <c r="F948" s="3"/>
    </row>
    <row r="949" spans="4:6" ht="12.75" customHeight="1" x14ac:dyDescent="0.25">
      <c r="D949" s="3"/>
      <c r="E949" s="3"/>
      <c r="F949" s="3"/>
    </row>
    <row r="950" spans="4:6" ht="12.75" customHeight="1" x14ac:dyDescent="0.25">
      <c r="D950" s="3"/>
      <c r="E950" s="3"/>
      <c r="F950" s="3"/>
    </row>
    <row r="951" spans="4:6" ht="12.75" customHeight="1" x14ac:dyDescent="0.25">
      <c r="D951" s="3"/>
      <c r="E951" s="3"/>
      <c r="F951" s="3"/>
    </row>
    <row r="952" spans="4:6" ht="12.75" customHeight="1" x14ac:dyDescent="0.25">
      <c r="D952" s="3"/>
      <c r="E952" s="3"/>
      <c r="F952" s="3"/>
    </row>
    <row r="953" spans="4:6" ht="12.75" customHeight="1" x14ac:dyDescent="0.25">
      <c r="D953" s="3"/>
      <c r="E953" s="3"/>
      <c r="F953" s="3"/>
    </row>
    <row r="954" spans="4:6" ht="12.75" customHeight="1" x14ac:dyDescent="0.25">
      <c r="D954" s="3"/>
      <c r="E954" s="3"/>
      <c r="F954" s="3"/>
    </row>
    <row r="955" spans="4:6" ht="12.75" customHeight="1" x14ac:dyDescent="0.25">
      <c r="D955" s="3"/>
      <c r="E955" s="3"/>
      <c r="F955" s="3"/>
    </row>
    <row r="956" spans="4:6" ht="12.75" customHeight="1" x14ac:dyDescent="0.25">
      <c r="D956" s="3"/>
      <c r="E956" s="3"/>
      <c r="F956" s="3"/>
    </row>
    <row r="957" spans="4:6" ht="12.75" customHeight="1" x14ac:dyDescent="0.25">
      <c r="D957" s="3"/>
      <c r="E957" s="3"/>
      <c r="F957" s="3"/>
    </row>
    <row r="958" spans="4:6" ht="12.75" customHeight="1" x14ac:dyDescent="0.25">
      <c r="D958" s="3"/>
      <c r="E958" s="3"/>
      <c r="F958" s="3"/>
    </row>
    <row r="959" spans="4:6" ht="12.75" customHeight="1" x14ac:dyDescent="0.25">
      <c r="D959" s="3"/>
      <c r="E959" s="3"/>
      <c r="F959" s="3"/>
    </row>
    <row r="960" spans="4:6" ht="12.75" customHeight="1" x14ac:dyDescent="0.25">
      <c r="D960" s="3"/>
      <c r="E960" s="3"/>
      <c r="F960" s="3"/>
    </row>
    <row r="961" spans="4:6" ht="12.75" customHeight="1" x14ac:dyDescent="0.25">
      <c r="D961" s="3"/>
      <c r="E961" s="3"/>
      <c r="F961" s="3"/>
    </row>
    <row r="962" spans="4:6" ht="12.75" customHeight="1" x14ac:dyDescent="0.25">
      <c r="D962" s="3"/>
      <c r="E962" s="3"/>
      <c r="F962" s="3"/>
    </row>
    <row r="963" spans="4:6" ht="12.75" customHeight="1" x14ac:dyDescent="0.25">
      <c r="D963" s="3"/>
      <c r="E963" s="3"/>
      <c r="F963" s="3"/>
    </row>
    <row r="964" spans="4:6" ht="12.75" customHeight="1" x14ac:dyDescent="0.25">
      <c r="D964" s="3"/>
      <c r="E964" s="3"/>
      <c r="F964" s="3"/>
    </row>
    <row r="965" spans="4:6" ht="12.75" customHeight="1" x14ac:dyDescent="0.25">
      <c r="D965" s="3"/>
      <c r="E965" s="3"/>
      <c r="F965" s="3"/>
    </row>
    <row r="966" spans="4:6" ht="12.75" customHeight="1" x14ac:dyDescent="0.25">
      <c r="D966" s="3"/>
      <c r="E966" s="3"/>
      <c r="F966" s="3"/>
    </row>
    <row r="967" spans="4:6" ht="12.75" customHeight="1" x14ac:dyDescent="0.25">
      <c r="D967" s="3"/>
      <c r="E967" s="3"/>
      <c r="F967" s="3"/>
    </row>
    <row r="968" spans="4:6" ht="12.75" customHeight="1" x14ac:dyDescent="0.25">
      <c r="D968" s="3"/>
      <c r="E968" s="3"/>
      <c r="F968" s="3"/>
    </row>
    <row r="969" spans="4:6" ht="12.75" customHeight="1" x14ac:dyDescent="0.25">
      <c r="D969" s="3"/>
      <c r="E969" s="3"/>
      <c r="F969" s="3"/>
    </row>
    <row r="970" spans="4:6" ht="12.75" customHeight="1" x14ac:dyDescent="0.25">
      <c r="D970" s="3"/>
      <c r="E970" s="3"/>
      <c r="F970" s="3"/>
    </row>
    <row r="971" spans="4:6" ht="12.75" customHeight="1" x14ac:dyDescent="0.25">
      <c r="D971" s="3"/>
      <c r="E971" s="3"/>
      <c r="F971" s="3"/>
    </row>
    <row r="972" spans="4:6" ht="12.75" customHeight="1" x14ac:dyDescent="0.25">
      <c r="D972" s="3"/>
      <c r="E972" s="3"/>
      <c r="F972" s="3"/>
    </row>
    <row r="973" spans="4:6" ht="12.75" customHeight="1" x14ac:dyDescent="0.25">
      <c r="D973" s="3"/>
      <c r="E973" s="3"/>
      <c r="F973" s="3"/>
    </row>
    <row r="974" spans="4:6" ht="12.75" customHeight="1" x14ac:dyDescent="0.25">
      <c r="D974" s="3"/>
      <c r="E974" s="3"/>
      <c r="F974" s="3"/>
    </row>
    <row r="975" spans="4:6" ht="12.75" customHeight="1" x14ac:dyDescent="0.25">
      <c r="D975" s="3"/>
      <c r="E975" s="3"/>
      <c r="F975" s="3"/>
    </row>
    <row r="976" spans="4:6" ht="12.75" customHeight="1" x14ac:dyDescent="0.25">
      <c r="D976" s="3"/>
      <c r="E976" s="3"/>
      <c r="F976" s="3"/>
    </row>
    <row r="977" spans="4:6" ht="12.75" customHeight="1" x14ac:dyDescent="0.25">
      <c r="D977" s="3"/>
      <c r="E977" s="3"/>
      <c r="F977" s="3"/>
    </row>
    <row r="978" spans="4:6" ht="12.75" customHeight="1" x14ac:dyDescent="0.25">
      <c r="D978" s="3"/>
      <c r="E978" s="3"/>
      <c r="F978" s="3"/>
    </row>
    <row r="979" spans="4:6" ht="12.75" customHeight="1" x14ac:dyDescent="0.25">
      <c r="D979" s="3"/>
      <c r="E979" s="3"/>
      <c r="F979" s="3"/>
    </row>
    <row r="980" spans="4:6" ht="12.75" customHeight="1" x14ac:dyDescent="0.25">
      <c r="D980" s="3"/>
      <c r="E980" s="3"/>
      <c r="F980" s="3"/>
    </row>
    <row r="981" spans="4:6" ht="12.75" customHeight="1" x14ac:dyDescent="0.25">
      <c r="D981" s="3"/>
      <c r="E981" s="3"/>
      <c r="F981" s="3"/>
    </row>
    <row r="982" spans="4:6" ht="12.75" customHeight="1" x14ac:dyDescent="0.25">
      <c r="D982" s="3"/>
      <c r="E982" s="3"/>
      <c r="F982" s="3"/>
    </row>
    <row r="983" spans="4:6" ht="12.75" customHeight="1" x14ac:dyDescent="0.25">
      <c r="D983" s="3"/>
      <c r="E983" s="3"/>
      <c r="F983" s="3"/>
    </row>
    <row r="984" spans="4:6" ht="12.75" customHeight="1" x14ac:dyDescent="0.25">
      <c r="D984" s="3"/>
      <c r="E984" s="3"/>
      <c r="F984" s="3"/>
    </row>
    <row r="985" spans="4:6" ht="12.75" customHeight="1" x14ac:dyDescent="0.25">
      <c r="D985" s="3"/>
      <c r="E985" s="3"/>
      <c r="F985" s="3"/>
    </row>
    <row r="986" spans="4:6" ht="12.75" customHeight="1" x14ac:dyDescent="0.25">
      <c r="D986" s="3"/>
      <c r="E986" s="3"/>
      <c r="F986" s="3"/>
    </row>
    <row r="987" spans="4:6" ht="12.75" customHeight="1" x14ac:dyDescent="0.25">
      <c r="D987" s="3"/>
      <c r="E987" s="3"/>
      <c r="F987" s="3"/>
    </row>
    <row r="988" spans="4:6" ht="12.75" customHeight="1" x14ac:dyDescent="0.25">
      <c r="D988" s="3"/>
      <c r="E988" s="3"/>
      <c r="F988" s="3"/>
    </row>
    <row r="989" spans="4:6" ht="12.75" customHeight="1" x14ac:dyDescent="0.25">
      <c r="D989" s="3"/>
      <c r="E989" s="3"/>
      <c r="F989" s="3"/>
    </row>
    <row r="990" spans="4:6" ht="12.75" customHeight="1" x14ac:dyDescent="0.25">
      <c r="D990" s="3"/>
      <c r="E990" s="3"/>
      <c r="F990" s="3"/>
    </row>
    <row r="991" spans="4:6" ht="12.75" customHeight="1" x14ac:dyDescent="0.25">
      <c r="D991" s="3"/>
      <c r="E991" s="3"/>
      <c r="F991" s="3"/>
    </row>
    <row r="992" spans="4:6" ht="12.75" customHeight="1" x14ac:dyDescent="0.25">
      <c r="D992" s="3"/>
      <c r="E992" s="3"/>
      <c r="F992" s="3"/>
    </row>
    <row r="993" spans="4:6" ht="12.75" customHeight="1" x14ac:dyDescent="0.25">
      <c r="D993" s="3"/>
      <c r="E993" s="3"/>
      <c r="F993" s="3"/>
    </row>
    <row r="994" spans="4:6" ht="12.75" customHeight="1" x14ac:dyDescent="0.25">
      <c r="D994" s="3"/>
      <c r="E994" s="3"/>
      <c r="F994" s="3"/>
    </row>
    <row r="995" spans="4:6" ht="12.75" customHeight="1" x14ac:dyDescent="0.25">
      <c r="D995" s="3"/>
      <c r="E995" s="3"/>
      <c r="F995" s="3"/>
    </row>
    <row r="996" spans="4:6" ht="12.75" customHeight="1" x14ac:dyDescent="0.25">
      <c r="D996" s="3"/>
      <c r="E996" s="3"/>
      <c r="F996" s="3"/>
    </row>
    <row r="997" spans="4:6" ht="12.75" customHeight="1" x14ac:dyDescent="0.25">
      <c r="D997" s="3"/>
      <c r="E997" s="3"/>
      <c r="F997" s="3"/>
    </row>
    <row r="998" spans="4:6" ht="12.75" customHeight="1" x14ac:dyDescent="0.25">
      <c r="D998" s="3"/>
      <c r="E998" s="3"/>
      <c r="F998" s="3"/>
    </row>
    <row r="999" spans="4:6" ht="12.75" customHeight="1" x14ac:dyDescent="0.25">
      <c r="D999" s="3"/>
      <c r="E999" s="3"/>
      <c r="F999" s="3"/>
    </row>
    <row r="1000" spans="4:6" ht="12.75" customHeight="1" x14ac:dyDescent="0.25">
      <c r="D1000" s="3"/>
      <c r="E1000" s="3"/>
      <c r="F1000" s="3"/>
    </row>
  </sheetData>
  <mergeCells count="4">
    <mergeCell ref="I3:M5"/>
    <mergeCell ref="I6:M8"/>
    <mergeCell ref="I10:M12"/>
    <mergeCell ref="I13:M15"/>
  </mergeCells>
  <conditionalFormatting sqref="G3:G15 G17:G1000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G3:G15 G17:G1000">
    <cfRule type="cellIs" dxfId="15" priority="2" stopIfTrue="1" operator="equal">
      <formula>"error"</formula>
    </cfRule>
  </conditionalFormatting>
  <conditionalFormatting sqref="G3:G15 G17:G1000">
    <cfRule type="cellIs" dxfId="14" priority="3" stopIfTrue="1" operator="equal">
      <formula>"OK"</formula>
    </cfRule>
  </conditionalFormatting>
  <conditionalFormatting sqref="I13">
    <cfRule type="colorScale" priority="4">
      <colorScale>
        <cfvo type="formula" val="0.19"/>
        <cfvo type="formula" val="0.2"/>
        <cfvo type="formula" val="0.5"/>
        <color rgb="FF92D050"/>
        <color rgb="FFFFEB84"/>
        <color rgb="FFD99594"/>
      </colorScale>
    </cfRule>
  </conditionalFormatting>
  <conditionalFormatting sqref="I6:M8">
    <cfRule type="colorScale" priority="5">
      <colorScale>
        <cfvo type="formula" val="0.19"/>
        <cfvo type="formula" val="0.2"/>
        <cfvo type="formula" val="0.5"/>
        <color rgb="FF92D050"/>
        <color rgb="FFFFEB84"/>
        <color rgb="FFD99594"/>
      </colorScale>
    </cfRule>
  </conditionalFormatting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00"/>
  <sheetViews>
    <sheetView workbookViewId="0"/>
  </sheetViews>
  <sheetFormatPr baseColWidth="10" defaultColWidth="12.6328125" defaultRowHeight="15" customHeight="1" x14ac:dyDescent="0.25"/>
  <cols>
    <col min="1" max="1" width="10.6328125" customWidth="1"/>
    <col min="2" max="2" width="15.08984375" customWidth="1"/>
    <col min="3" max="3" width="12.26953125" customWidth="1"/>
    <col min="4" max="4" width="18" customWidth="1"/>
    <col min="5" max="5" width="3.7265625" hidden="1" customWidth="1"/>
    <col min="6" max="6" width="3.90625" hidden="1" customWidth="1"/>
    <col min="7" max="7" width="20.08984375" customWidth="1"/>
    <col min="8" max="8" width="4" customWidth="1"/>
    <col min="9" max="26" width="10.6328125" customWidth="1"/>
  </cols>
  <sheetData>
    <row r="1" spans="2:13" ht="12.75" customHeight="1" x14ac:dyDescent="0.25">
      <c r="D1" s="3"/>
      <c r="E1" s="3"/>
      <c r="F1" s="3"/>
    </row>
    <row r="2" spans="2:13" ht="12.75" customHeight="1" x14ac:dyDescent="0.25">
      <c r="D2" s="3"/>
      <c r="E2" s="3"/>
      <c r="F2" s="3"/>
    </row>
    <row r="3" spans="2:13" ht="19.5" customHeight="1" x14ac:dyDescent="0.4">
      <c r="B3" s="28" t="s">
        <v>32</v>
      </c>
      <c r="C3" s="21" t="s">
        <v>23</v>
      </c>
      <c r="D3" s="21" t="s">
        <v>24</v>
      </c>
      <c r="E3" s="21"/>
      <c r="F3" s="21"/>
      <c r="G3" s="21"/>
      <c r="H3" s="3"/>
      <c r="I3" s="48" t="s">
        <v>25</v>
      </c>
      <c r="J3" s="49"/>
      <c r="K3" s="49"/>
      <c r="L3" s="49"/>
      <c r="M3" s="50"/>
    </row>
    <row r="4" spans="2:13" ht="19.5" customHeight="1" x14ac:dyDescent="0.4">
      <c r="B4" s="21">
        <v>1</v>
      </c>
      <c r="C4" s="21">
        <v>10</v>
      </c>
      <c r="D4" s="21">
        <v>9</v>
      </c>
      <c r="E4" s="21">
        <f>C4-TOTAL!G4</f>
        <v>0</v>
      </c>
      <c r="F4" s="21">
        <f>D4-TOTAL!H4</f>
        <v>0</v>
      </c>
      <c r="G4" s="21" t="str">
        <f t="shared" ref="G4:G14" si="0">IF(AND(E4=0,F4=0),IF(B4="T","OKPELEA","OK"),IF(B4="T","ERRORPELEA","ERROR"))</f>
        <v>OK</v>
      </c>
      <c r="H4" s="3"/>
      <c r="I4" s="51"/>
      <c r="J4" s="52"/>
      <c r="K4" s="52"/>
      <c r="L4" s="52"/>
      <c r="M4" s="53"/>
    </row>
    <row r="5" spans="2:13" ht="19.5" customHeight="1" x14ac:dyDescent="0.4">
      <c r="B5" s="21">
        <v>2</v>
      </c>
      <c r="C5" s="21">
        <v>10</v>
      </c>
      <c r="D5" s="21">
        <v>9</v>
      </c>
      <c r="E5" s="21">
        <f>C5-TOTAL!G5</f>
        <v>0</v>
      </c>
      <c r="F5" s="21">
        <f>D5-TOTAL!H5</f>
        <v>0</v>
      </c>
      <c r="G5" s="21" t="str">
        <f t="shared" si="0"/>
        <v>OK</v>
      </c>
      <c r="H5" s="3"/>
      <c r="I5" s="54"/>
      <c r="J5" s="55"/>
      <c r="K5" s="55"/>
      <c r="L5" s="55"/>
      <c r="M5" s="56"/>
    </row>
    <row r="6" spans="2:13" ht="19.5" customHeight="1" x14ac:dyDescent="0.4">
      <c r="B6" s="21">
        <v>3</v>
      </c>
      <c r="C6" s="21">
        <v>10</v>
      </c>
      <c r="D6" s="21">
        <v>9</v>
      </c>
      <c r="E6" s="21">
        <f>C6-TOTAL!G6</f>
        <v>0</v>
      </c>
      <c r="F6" s="21">
        <f>D6-TOTAL!H6</f>
        <v>0</v>
      </c>
      <c r="G6" s="21" t="str">
        <f t="shared" si="0"/>
        <v>OK</v>
      </c>
      <c r="H6" s="3"/>
      <c r="I6" s="57">
        <f>COUNTIF(G4:G13,"ERROR")*1/10</f>
        <v>0.3</v>
      </c>
      <c r="J6" s="49"/>
      <c r="K6" s="49"/>
      <c r="L6" s="49"/>
      <c r="M6" s="50"/>
    </row>
    <row r="7" spans="2:13" ht="19.5" customHeight="1" x14ac:dyDescent="0.4">
      <c r="B7" s="21">
        <v>4</v>
      </c>
      <c r="C7" s="21">
        <v>10</v>
      </c>
      <c r="D7" s="23">
        <v>9</v>
      </c>
      <c r="E7" s="21">
        <f>C7-TOTAL!G7</f>
        <v>1</v>
      </c>
      <c r="F7" s="21">
        <f>D7-TOTAL!H7</f>
        <v>-1</v>
      </c>
      <c r="G7" s="21" t="str">
        <f t="shared" si="0"/>
        <v>ERROR</v>
      </c>
      <c r="H7" s="3"/>
      <c r="I7" s="51"/>
      <c r="J7" s="52"/>
      <c r="K7" s="52"/>
      <c r="L7" s="52"/>
      <c r="M7" s="53"/>
    </row>
    <row r="8" spans="2:13" ht="19.5" customHeight="1" x14ac:dyDescent="0.4">
      <c r="B8" s="21">
        <v>5</v>
      </c>
      <c r="C8" s="21">
        <v>10</v>
      </c>
      <c r="D8" s="23">
        <v>9</v>
      </c>
      <c r="E8" s="21">
        <f>C8-TOTAL!G8</f>
        <v>1</v>
      </c>
      <c r="F8" s="21">
        <f>D8-TOTAL!H8</f>
        <v>-1</v>
      </c>
      <c r="G8" s="21" t="str">
        <f t="shared" si="0"/>
        <v>ERROR</v>
      </c>
      <c r="H8" s="3"/>
      <c r="I8" s="54"/>
      <c r="J8" s="55"/>
      <c r="K8" s="55"/>
      <c r="L8" s="55"/>
      <c r="M8" s="56"/>
    </row>
    <row r="9" spans="2:13" ht="19.5" customHeight="1" x14ac:dyDescent="0.4">
      <c r="B9" s="21">
        <v>6</v>
      </c>
      <c r="C9" s="21">
        <v>10</v>
      </c>
      <c r="D9" s="23">
        <v>9</v>
      </c>
      <c r="E9" s="21">
        <f>C9-TOTAL!G9</f>
        <v>0</v>
      </c>
      <c r="F9" s="21">
        <f>D9-TOTAL!H9</f>
        <v>0</v>
      </c>
      <c r="G9" s="21" t="str">
        <f t="shared" si="0"/>
        <v>OK</v>
      </c>
      <c r="H9" s="3"/>
    </row>
    <row r="10" spans="2:13" ht="19.5" customHeight="1" x14ac:dyDescent="0.4">
      <c r="B10" s="21">
        <v>7</v>
      </c>
      <c r="C10" s="21">
        <v>10</v>
      </c>
      <c r="D10" s="23">
        <v>9</v>
      </c>
      <c r="E10" s="21">
        <f>C10-TOTAL!G10</f>
        <v>0</v>
      </c>
      <c r="F10" s="21">
        <f>D10-TOTAL!H10</f>
        <v>0</v>
      </c>
      <c r="G10" s="21" t="str">
        <f t="shared" si="0"/>
        <v>OK</v>
      </c>
      <c r="H10" s="3"/>
      <c r="I10" s="48" t="s">
        <v>31</v>
      </c>
      <c r="J10" s="49"/>
      <c r="K10" s="49"/>
      <c r="L10" s="49"/>
      <c r="M10" s="50"/>
    </row>
    <row r="11" spans="2:13" ht="19.5" customHeight="1" x14ac:dyDescent="0.4">
      <c r="B11" s="21">
        <v>8</v>
      </c>
      <c r="C11" s="21">
        <v>10</v>
      </c>
      <c r="D11" s="21">
        <v>9</v>
      </c>
      <c r="E11" s="21">
        <f>C11-TOTAL!G11</f>
        <v>0</v>
      </c>
      <c r="F11" s="21">
        <f>D11-TOTAL!H11</f>
        <v>0</v>
      </c>
      <c r="G11" s="21" t="str">
        <f t="shared" si="0"/>
        <v>OK</v>
      </c>
      <c r="H11" s="3"/>
      <c r="I11" s="51"/>
      <c r="J11" s="52"/>
      <c r="K11" s="52"/>
      <c r="L11" s="52"/>
      <c r="M11" s="53"/>
    </row>
    <row r="12" spans="2:13" ht="19.5" customHeight="1" x14ac:dyDescent="0.4">
      <c r="B12" s="21">
        <v>9</v>
      </c>
      <c r="C12" s="23">
        <v>9</v>
      </c>
      <c r="D12" s="23">
        <v>10</v>
      </c>
      <c r="E12" s="21">
        <f>C12-TOTAL!G12</f>
        <v>-1</v>
      </c>
      <c r="F12" s="21">
        <f>D12-TOTAL!H12</f>
        <v>1</v>
      </c>
      <c r="G12" s="21" t="str">
        <f t="shared" si="0"/>
        <v>ERROR</v>
      </c>
      <c r="H12" s="3"/>
      <c r="I12" s="54"/>
      <c r="J12" s="55"/>
      <c r="K12" s="55"/>
      <c r="L12" s="55"/>
      <c r="M12" s="56"/>
    </row>
    <row r="13" spans="2:13" ht="19.5" customHeight="1" x14ac:dyDescent="0.4">
      <c r="B13" s="21">
        <v>10</v>
      </c>
      <c r="C13" s="21">
        <v>10</v>
      </c>
      <c r="D13" s="21">
        <v>9</v>
      </c>
      <c r="E13" s="21">
        <f>C13-TOTAL!G13</f>
        <v>0</v>
      </c>
      <c r="F13" s="21">
        <f>D13-TOTAL!H13</f>
        <v>0</v>
      </c>
      <c r="G13" s="21" t="str">
        <f t="shared" si="0"/>
        <v>OK</v>
      </c>
      <c r="H13" s="3"/>
      <c r="I13" s="58">
        <v>0.2</v>
      </c>
      <c r="J13" s="49"/>
      <c r="K13" s="49"/>
      <c r="L13" s="49"/>
      <c r="M13" s="50"/>
    </row>
    <row r="14" spans="2:13" ht="19.5" customHeight="1" x14ac:dyDescent="0.4">
      <c r="B14" s="21" t="s">
        <v>3</v>
      </c>
      <c r="C14" s="21">
        <f t="shared" ref="C14:D14" si="1">SUM(C4:C13)</f>
        <v>99</v>
      </c>
      <c r="D14" s="21">
        <f t="shared" si="1"/>
        <v>91</v>
      </c>
      <c r="E14" s="21">
        <f>C14-TOTAL!G14</f>
        <v>1</v>
      </c>
      <c r="F14" s="21">
        <f>D14-TOTAL!H14</f>
        <v>-1</v>
      </c>
      <c r="G14" s="21" t="str">
        <f t="shared" si="0"/>
        <v>ERRORPELEA</v>
      </c>
      <c r="H14" s="3"/>
      <c r="I14" s="51"/>
      <c r="J14" s="52"/>
      <c r="K14" s="52"/>
      <c r="L14" s="52"/>
      <c r="M14" s="53"/>
    </row>
    <row r="15" spans="2:13" ht="19.5" customHeight="1" x14ac:dyDescent="0.4">
      <c r="B15" s="29"/>
      <c r="C15" s="29"/>
      <c r="D15" s="21" t="s">
        <v>27</v>
      </c>
      <c r="E15" s="21"/>
      <c r="F15" s="21"/>
      <c r="G15" s="21">
        <f>COUNTIF(G4:G13,"error")</f>
        <v>3</v>
      </c>
      <c r="I15" s="54"/>
      <c r="J15" s="55"/>
      <c r="K15" s="55"/>
      <c r="L15" s="55"/>
      <c r="M15" s="56"/>
    </row>
    <row r="16" spans="2:13" ht="12.75" customHeight="1" x14ac:dyDescent="0.25">
      <c r="D16" s="3"/>
      <c r="E16" s="3"/>
      <c r="F16" s="3"/>
    </row>
    <row r="17" spans="4:6" ht="12.75" customHeight="1" x14ac:dyDescent="0.25">
      <c r="D17" s="3"/>
      <c r="E17" s="3"/>
      <c r="F17" s="3"/>
    </row>
    <row r="18" spans="4:6" ht="12.75" customHeight="1" x14ac:dyDescent="0.25">
      <c r="D18" s="3"/>
      <c r="E18" s="3"/>
      <c r="F18" s="3"/>
    </row>
    <row r="19" spans="4:6" ht="12.75" customHeight="1" x14ac:dyDescent="0.25">
      <c r="D19" s="3"/>
      <c r="E19" s="3"/>
      <c r="F19" s="3"/>
    </row>
    <row r="20" spans="4:6" ht="12.75" customHeight="1" x14ac:dyDescent="0.25">
      <c r="D20" s="3"/>
      <c r="E20" s="3"/>
      <c r="F20" s="3"/>
    </row>
    <row r="21" spans="4:6" ht="12.75" customHeight="1" x14ac:dyDescent="0.25">
      <c r="D21" s="3"/>
      <c r="E21" s="3"/>
      <c r="F21" s="3"/>
    </row>
    <row r="22" spans="4:6" ht="12.75" customHeight="1" x14ac:dyDescent="0.25">
      <c r="D22" s="3"/>
      <c r="E22" s="3"/>
      <c r="F22" s="3"/>
    </row>
    <row r="23" spans="4:6" ht="12.75" customHeight="1" x14ac:dyDescent="0.25">
      <c r="D23" s="3"/>
      <c r="E23" s="3"/>
      <c r="F23" s="3"/>
    </row>
    <row r="24" spans="4:6" ht="12.75" customHeight="1" x14ac:dyDescent="0.25">
      <c r="D24" s="3"/>
      <c r="E24" s="3"/>
      <c r="F24" s="3"/>
    </row>
    <row r="25" spans="4:6" ht="12.75" customHeight="1" x14ac:dyDescent="0.25">
      <c r="D25" s="3"/>
      <c r="E25" s="3"/>
      <c r="F25" s="3"/>
    </row>
    <row r="26" spans="4:6" ht="12.75" customHeight="1" x14ac:dyDescent="0.25">
      <c r="D26" s="3"/>
      <c r="E26" s="3"/>
      <c r="F26" s="3"/>
    </row>
    <row r="27" spans="4:6" ht="12.75" customHeight="1" x14ac:dyDescent="0.25">
      <c r="D27" s="3"/>
      <c r="E27" s="3"/>
      <c r="F27" s="3"/>
    </row>
    <row r="28" spans="4:6" ht="12.75" customHeight="1" x14ac:dyDescent="0.25">
      <c r="D28" s="3"/>
      <c r="E28" s="3"/>
      <c r="F28" s="3"/>
    </row>
    <row r="29" spans="4:6" ht="12.75" customHeight="1" x14ac:dyDescent="0.25">
      <c r="D29" s="3"/>
      <c r="E29" s="3"/>
      <c r="F29" s="3"/>
    </row>
    <row r="30" spans="4:6" ht="12.75" customHeight="1" x14ac:dyDescent="0.25">
      <c r="D30" s="3"/>
      <c r="E30" s="3"/>
      <c r="F30" s="3"/>
    </row>
    <row r="31" spans="4:6" ht="12.75" customHeight="1" x14ac:dyDescent="0.25">
      <c r="D31" s="3"/>
      <c r="E31" s="3"/>
      <c r="F31" s="3"/>
    </row>
    <row r="32" spans="4:6" ht="12.75" customHeight="1" x14ac:dyDescent="0.25">
      <c r="D32" s="3"/>
      <c r="E32" s="3"/>
      <c r="F32" s="3"/>
    </row>
    <row r="33" spans="4:6" ht="12.75" customHeight="1" x14ac:dyDescent="0.25">
      <c r="D33" s="3"/>
      <c r="E33" s="3"/>
      <c r="F33" s="3"/>
    </row>
    <row r="34" spans="4:6" ht="12.75" customHeight="1" x14ac:dyDescent="0.25">
      <c r="D34" s="3"/>
      <c r="E34" s="3"/>
      <c r="F34" s="3"/>
    </row>
    <row r="35" spans="4:6" ht="12.75" customHeight="1" x14ac:dyDescent="0.25">
      <c r="D35" s="3"/>
      <c r="E35" s="3"/>
      <c r="F35" s="3"/>
    </row>
    <row r="36" spans="4:6" ht="12.75" customHeight="1" x14ac:dyDescent="0.25">
      <c r="D36" s="3"/>
      <c r="E36" s="3"/>
      <c r="F36" s="3"/>
    </row>
    <row r="37" spans="4:6" ht="12.75" customHeight="1" x14ac:dyDescent="0.25">
      <c r="D37" s="3"/>
      <c r="E37" s="3"/>
      <c r="F37" s="3"/>
    </row>
    <row r="38" spans="4:6" ht="12.75" customHeight="1" x14ac:dyDescent="0.25">
      <c r="D38" s="3"/>
      <c r="E38" s="3"/>
      <c r="F38" s="3"/>
    </row>
    <row r="39" spans="4:6" ht="12.75" customHeight="1" x14ac:dyDescent="0.25">
      <c r="D39" s="3"/>
      <c r="E39" s="3"/>
      <c r="F39" s="3"/>
    </row>
    <row r="40" spans="4:6" ht="12.75" customHeight="1" x14ac:dyDescent="0.25">
      <c r="D40" s="3"/>
      <c r="E40" s="3"/>
      <c r="F40" s="3"/>
    </row>
    <row r="41" spans="4:6" ht="12.75" customHeight="1" x14ac:dyDescent="0.25">
      <c r="D41" s="3"/>
      <c r="E41" s="3"/>
      <c r="F41" s="3"/>
    </row>
    <row r="42" spans="4:6" ht="12.75" customHeight="1" x14ac:dyDescent="0.25">
      <c r="D42" s="3"/>
      <c r="E42" s="3"/>
      <c r="F42" s="3"/>
    </row>
    <row r="43" spans="4:6" ht="12.75" customHeight="1" x14ac:dyDescent="0.25">
      <c r="D43" s="3"/>
      <c r="E43" s="3"/>
      <c r="F43" s="3"/>
    </row>
    <row r="44" spans="4:6" ht="12.75" customHeight="1" x14ac:dyDescent="0.25">
      <c r="D44" s="3"/>
      <c r="E44" s="3"/>
      <c r="F44" s="3"/>
    </row>
    <row r="45" spans="4:6" ht="12.75" customHeight="1" x14ac:dyDescent="0.25">
      <c r="D45" s="3"/>
      <c r="E45" s="3"/>
      <c r="F45" s="3"/>
    </row>
    <row r="46" spans="4:6" ht="12.75" customHeight="1" x14ac:dyDescent="0.25">
      <c r="D46" s="3"/>
      <c r="E46" s="3"/>
      <c r="F46" s="3"/>
    </row>
    <row r="47" spans="4:6" ht="12.75" customHeight="1" x14ac:dyDescent="0.25">
      <c r="D47" s="3"/>
      <c r="E47" s="3"/>
      <c r="F47" s="3"/>
    </row>
    <row r="48" spans="4:6" ht="12.75" customHeight="1" x14ac:dyDescent="0.25">
      <c r="D48" s="3"/>
      <c r="E48" s="3"/>
      <c r="F48" s="3"/>
    </row>
    <row r="49" spans="4:6" ht="12.75" customHeight="1" x14ac:dyDescent="0.25">
      <c r="D49" s="3"/>
      <c r="E49" s="3"/>
      <c r="F49" s="3"/>
    </row>
    <row r="50" spans="4:6" ht="12.75" customHeight="1" x14ac:dyDescent="0.25">
      <c r="D50" s="3"/>
      <c r="E50" s="3"/>
      <c r="F50" s="3"/>
    </row>
    <row r="51" spans="4:6" ht="12.75" customHeight="1" x14ac:dyDescent="0.25">
      <c r="D51" s="3"/>
      <c r="E51" s="3"/>
      <c r="F51" s="3"/>
    </row>
    <row r="52" spans="4:6" ht="12.75" customHeight="1" x14ac:dyDescent="0.25">
      <c r="D52" s="3"/>
      <c r="E52" s="3"/>
      <c r="F52" s="3"/>
    </row>
    <row r="53" spans="4:6" ht="12.75" customHeight="1" x14ac:dyDescent="0.25">
      <c r="D53" s="3"/>
      <c r="E53" s="3"/>
      <c r="F53" s="3"/>
    </row>
    <row r="54" spans="4:6" ht="12.75" customHeight="1" x14ac:dyDescent="0.25">
      <c r="D54" s="3"/>
      <c r="E54" s="3"/>
      <c r="F54" s="3"/>
    </row>
    <row r="55" spans="4:6" ht="12.75" customHeight="1" x14ac:dyDescent="0.25">
      <c r="D55" s="3"/>
      <c r="E55" s="3"/>
      <c r="F55" s="3"/>
    </row>
    <row r="56" spans="4:6" ht="12.75" customHeight="1" x14ac:dyDescent="0.25">
      <c r="D56" s="3"/>
      <c r="E56" s="3"/>
      <c r="F56" s="3"/>
    </row>
    <row r="57" spans="4:6" ht="12.75" customHeight="1" x14ac:dyDescent="0.25">
      <c r="D57" s="3"/>
      <c r="E57" s="3"/>
      <c r="F57" s="3"/>
    </row>
    <row r="58" spans="4:6" ht="12.75" customHeight="1" x14ac:dyDescent="0.25">
      <c r="D58" s="3"/>
      <c r="E58" s="3"/>
      <c r="F58" s="3"/>
    </row>
    <row r="59" spans="4:6" ht="12.75" customHeight="1" x14ac:dyDescent="0.25">
      <c r="D59" s="3"/>
      <c r="E59" s="3"/>
      <c r="F59" s="3"/>
    </row>
    <row r="60" spans="4:6" ht="12.75" customHeight="1" x14ac:dyDescent="0.25">
      <c r="D60" s="3"/>
      <c r="E60" s="3"/>
      <c r="F60" s="3"/>
    </row>
    <row r="61" spans="4:6" ht="12.75" customHeight="1" x14ac:dyDescent="0.25">
      <c r="D61" s="3"/>
      <c r="E61" s="3"/>
      <c r="F61" s="3"/>
    </row>
    <row r="62" spans="4:6" ht="12.75" customHeight="1" x14ac:dyDescent="0.25">
      <c r="D62" s="3"/>
      <c r="E62" s="3"/>
      <c r="F62" s="3"/>
    </row>
    <row r="63" spans="4:6" ht="12.75" customHeight="1" x14ac:dyDescent="0.25">
      <c r="D63" s="3"/>
      <c r="E63" s="3"/>
      <c r="F63" s="3"/>
    </row>
    <row r="64" spans="4:6" ht="12.75" customHeight="1" x14ac:dyDescent="0.25">
      <c r="D64" s="3"/>
      <c r="E64" s="3"/>
      <c r="F64" s="3"/>
    </row>
    <row r="65" spans="4:6" ht="12.75" customHeight="1" x14ac:dyDescent="0.25">
      <c r="D65" s="3"/>
      <c r="E65" s="3"/>
      <c r="F65" s="3"/>
    </row>
    <row r="66" spans="4:6" ht="12.75" customHeight="1" x14ac:dyDescent="0.25">
      <c r="D66" s="3"/>
      <c r="E66" s="3"/>
      <c r="F66" s="3"/>
    </row>
    <row r="67" spans="4:6" ht="12.75" customHeight="1" x14ac:dyDescent="0.25">
      <c r="D67" s="3"/>
      <c r="E67" s="3"/>
      <c r="F67" s="3"/>
    </row>
    <row r="68" spans="4:6" ht="12.75" customHeight="1" x14ac:dyDescent="0.25">
      <c r="D68" s="3"/>
      <c r="E68" s="3"/>
      <c r="F68" s="3"/>
    </row>
    <row r="69" spans="4:6" ht="12.75" customHeight="1" x14ac:dyDescent="0.25">
      <c r="D69" s="3"/>
      <c r="E69" s="3"/>
      <c r="F69" s="3"/>
    </row>
    <row r="70" spans="4:6" ht="12.75" customHeight="1" x14ac:dyDescent="0.25">
      <c r="D70" s="3"/>
      <c r="E70" s="3"/>
      <c r="F70" s="3"/>
    </row>
    <row r="71" spans="4:6" ht="12.75" customHeight="1" x14ac:dyDescent="0.25">
      <c r="D71" s="3"/>
      <c r="E71" s="3"/>
      <c r="F71" s="3"/>
    </row>
    <row r="72" spans="4:6" ht="12.75" customHeight="1" x14ac:dyDescent="0.25">
      <c r="D72" s="3"/>
      <c r="E72" s="3"/>
      <c r="F72" s="3"/>
    </row>
    <row r="73" spans="4:6" ht="12.75" customHeight="1" x14ac:dyDescent="0.25">
      <c r="D73" s="3"/>
      <c r="E73" s="3"/>
      <c r="F73" s="3"/>
    </row>
    <row r="74" spans="4:6" ht="12.75" customHeight="1" x14ac:dyDescent="0.25">
      <c r="D74" s="3"/>
      <c r="E74" s="3"/>
      <c r="F74" s="3"/>
    </row>
    <row r="75" spans="4:6" ht="12.75" customHeight="1" x14ac:dyDescent="0.25">
      <c r="D75" s="3"/>
      <c r="E75" s="3"/>
      <c r="F75" s="3"/>
    </row>
    <row r="76" spans="4:6" ht="12.75" customHeight="1" x14ac:dyDescent="0.25">
      <c r="D76" s="3"/>
      <c r="E76" s="3"/>
      <c r="F76" s="3"/>
    </row>
    <row r="77" spans="4:6" ht="12.75" customHeight="1" x14ac:dyDescent="0.25">
      <c r="D77" s="3"/>
      <c r="E77" s="3"/>
      <c r="F77" s="3"/>
    </row>
    <row r="78" spans="4:6" ht="12.75" customHeight="1" x14ac:dyDescent="0.25">
      <c r="D78" s="3"/>
      <c r="E78" s="3"/>
      <c r="F78" s="3"/>
    </row>
    <row r="79" spans="4:6" ht="12.75" customHeight="1" x14ac:dyDescent="0.25">
      <c r="D79" s="3"/>
      <c r="E79" s="3"/>
      <c r="F79" s="3"/>
    </row>
    <row r="80" spans="4:6" ht="12.75" customHeight="1" x14ac:dyDescent="0.25">
      <c r="D80" s="3"/>
      <c r="E80" s="3"/>
      <c r="F80" s="3"/>
    </row>
    <row r="81" spans="4:6" ht="12.75" customHeight="1" x14ac:dyDescent="0.25">
      <c r="D81" s="3"/>
      <c r="E81" s="3"/>
      <c r="F81" s="3"/>
    </row>
    <row r="82" spans="4:6" ht="12.75" customHeight="1" x14ac:dyDescent="0.25">
      <c r="D82" s="3"/>
      <c r="E82" s="3"/>
      <c r="F82" s="3"/>
    </row>
    <row r="83" spans="4:6" ht="12.75" customHeight="1" x14ac:dyDescent="0.25">
      <c r="D83" s="3"/>
      <c r="E83" s="3"/>
      <c r="F83" s="3"/>
    </row>
    <row r="84" spans="4:6" ht="12.75" customHeight="1" x14ac:dyDescent="0.25">
      <c r="D84" s="3"/>
      <c r="E84" s="3"/>
      <c r="F84" s="3"/>
    </row>
    <row r="85" spans="4:6" ht="12.75" customHeight="1" x14ac:dyDescent="0.25">
      <c r="D85" s="3"/>
      <c r="E85" s="3"/>
      <c r="F85" s="3"/>
    </row>
    <row r="86" spans="4:6" ht="12.75" customHeight="1" x14ac:dyDescent="0.25">
      <c r="D86" s="3"/>
      <c r="E86" s="3"/>
      <c r="F86" s="3"/>
    </row>
    <row r="87" spans="4:6" ht="12.75" customHeight="1" x14ac:dyDescent="0.25">
      <c r="D87" s="3"/>
      <c r="E87" s="3"/>
      <c r="F87" s="3"/>
    </row>
    <row r="88" spans="4:6" ht="12.75" customHeight="1" x14ac:dyDescent="0.25">
      <c r="D88" s="3"/>
      <c r="E88" s="3"/>
      <c r="F88" s="3"/>
    </row>
    <row r="89" spans="4:6" ht="12.75" customHeight="1" x14ac:dyDescent="0.25">
      <c r="D89" s="3"/>
      <c r="E89" s="3"/>
      <c r="F89" s="3"/>
    </row>
    <row r="90" spans="4:6" ht="12.75" customHeight="1" x14ac:dyDescent="0.25">
      <c r="D90" s="3"/>
      <c r="E90" s="3"/>
      <c r="F90" s="3"/>
    </row>
    <row r="91" spans="4:6" ht="12.75" customHeight="1" x14ac:dyDescent="0.25">
      <c r="D91" s="3"/>
      <c r="E91" s="3"/>
      <c r="F91" s="3"/>
    </row>
    <row r="92" spans="4:6" ht="12.75" customHeight="1" x14ac:dyDescent="0.25">
      <c r="D92" s="3"/>
      <c r="E92" s="3"/>
      <c r="F92" s="3"/>
    </row>
    <row r="93" spans="4:6" ht="12.75" customHeight="1" x14ac:dyDescent="0.25">
      <c r="D93" s="3"/>
      <c r="E93" s="3"/>
      <c r="F93" s="3"/>
    </row>
    <row r="94" spans="4:6" ht="12.75" customHeight="1" x14ac:dyDescent="0.25">
      <c r="D94" s="3"/>
      <c r="E94" s="3"/>
      <c r="F94" s="3"/>
    </row>
    <row r="95" spans="4:6" ht="12.75" customHeight="1" x14ac:dyDescent="0.25">
      <c r="D95" s="3"/>
      <c r="E95" s="3"/>
      <c r="F95" s="3"/>
    </row>
    <row r="96" spans="4:6" ht="12.75" customHeight="1" x14ac:dyDescent="0.25">
      <c r="D96" s="3"/>
      <c r="E96" s="3"/>
      <c r="F96" s="3"/>
    </row>
    <row r="97" spans="4:6" ht="12.75" customHeight="1" x14ac:dyDescent="0.25">
      <c r="D97" s="3"/>
      <c r="E97" s="3"/>
      <c r="F97" s="3"/>
    </row>
    <row r="98" spans="4:6" ht="12.75" customHeight="1" x14ac:dyDescent="0.25">
      <c r="D98" s="3"/>
      <c r="E98" s="3"/>
      <c r="F98" s="3"/>
    </row>
    <row r="99" spans="4:6" ht="12.75" customHeight="1" x14ac:dyDescent="0.25">
      <c r="D99" s="3"/>
      <c r="E99" s="3"/>
      <c r="F99" s="3"/>
    </row>
    <row r="100" spans="4:6" ht="12.75" customHeight="1" x14ac:dyDescent="0.25">
      <c r="D100" s="3"/>
      <c r="E100" s="3"/>
      <c r="F100" s="3"/>
    </row>
    <row r="101" spans="4:6" ht="12.75" customHeight="1" x14ac:dyDescent="0.25">
      <c r="D101" s="3"/>
      <c r="E101" s="3"/>
      <c r="F101" s="3"/>
    </row>
    <row r="102" spans="4:6" ht="12.75" customHeight="1" x14ac:dyDescent="0.25">
      <c r="D102" s="3"/>
      <c r="E102" s="3"/>
      <c r="F102" s="3"/>
    </row>
    <row r="103" spans="4:6" ht="12.75" customHeight="1" x14ac:dyDescent="0.25">
      <c r="D103" s="3"/>
      <c r="E103" s="3"/>
      <c r="F103" s="3"/>
    </row>
    <row r="104" spans="4:6" ht="12.75" customHeight="1" x14ac:dyDescent="0.25">
      <c r="D104" s="3"/>
      <c r="E104" s="3"/>
      <c r="F104" s="3"/>
    </row>
    <row r="105" spans="4:6" ht="12.75" customHeight="1" x14ac:dyDescent="0.25">
      <c r="D105" s="3"/>
      <c r="E105" s="3"/>
      <c r="F105" s="3"/>
    </row>
    <row r="106" spans="4:6" ht="12.75" customHeight="1" x14ac:dyDescent="0.25">
      <c r="D106" s="3"/>
      <c r="E106" s="3"/>
      <c r="F106" s="3"/>
    </row>
    <row r="107" spans="4:6" ht="12.75" customHeight="1" x14ac:dyDescent="0.25">
      <c r="D107" s="3"/>
      <c r="E107" s="3"/>
      <c r="F107" s="3"/>
    </row>
    <row r="108" spans="4:6" ht="12.75" customHeight="1" x14ac:dyDescent="0.25">
      <c r="D108" s="3"/>
      <c r="E108" s="3"/>
      <c r="F108" s="3"/>
    </row>
    <row r="109" spans="4:6" ht="12.75" customHeight="1" x14ac:dyDescent="0.25">
      <c r="D109" s="3"/>
      <c r="E109" s="3"/>
      <c r="F109" s="3"/>
    </row>
    <row r="110" spans="4:6" ht="12.75" customHeight="1" x14ac:dyDescent="0.25">
      <c r="D110" s="3"/>
      <c r="E110" s="3"/>
      <c r="F110" s="3"/>
    </row>
    <row r="111" spans="4:6" ht="12.75" customHeight="1" x14ac:dyDescent="0.25">
      <c r="D111" s="3"/>
      <c r="E111" s="3"/>
      <c r="F111" s="3"/>
    </row>
    <row r="112" spans="4:6" ht="12.75" customHeight="1" x14ac:dyDescent="0.25">
      <c r="D112" s="3"/>
      <c r="E112" s="3"/>
      <c r="F112" s="3"/>
    </row>
    <row r="113" spans="4:6" ht="12.75" customHeight="1" x14ac:dyDescent="0.25">
      <c r="D113" s="3"/>
      <c r="E113" s="3"/>
      <c r="F113" s="3"/>
    </row>
    <row r="114" spans="4:6" ht="12.75" customHeight="1" x14ac:dyDescent="0.25">
      <c r="D114" s="3"/>
      <c r="E114" s="3"/>
      <c r="F114" s="3"/>
    </row>
    <row r="115" spans="4:6" ht="12.75" customHeight="1" x14ac:dyDescent="0.25">
      <c r="D115" s="3"/>
      <c r="E115" s="3"/>
      <c r="F115" s="3"/>
    </row>
    <row r="116" spans="4:6" ht="12.75" customHeight="1" x14ac:dyDescent="0.25">
      <c r="D116" s="3"/>
      <c r="E116" s="3"/>
      <c r="F116" s="3"/>
    </row>
    <row r="117" spans="4:6" ht="12.75" customHeight="1" x14ac:dyDescent="0.25">
      <c r="D117" s="3"/>
      <c r="E117" s="3"/>
      <c r="F117" s="3"/>
    </row>
    <row r="118" spans="4:6" ht="12.75" customHeight="1" x14ac:dyDescent="0.25">
      <c r="D118" s="3"/>
      <c r="E118" s="3"/>
      <c r="F118" s="3"/>
    </row>
    <row r="119" spans="4:6" ht="12.75" customHeight="1" x14ac:dyDescent="0.25">
      <c r="D119" s="3"/>
      <c r="E119" s="3"/>
      <c r="F119" s="3"/>
    </row>
    <row r="120" spans="4:6" ht="12.75" customHeight="1" x14ac:dyDescent="0.25">
      <c r="D120" s="3"/>
      <c r="E120" s="3"/>
      <c r="F120" s="3"/>
    </row>
    <row r="121" spans="4:6" ht="12.75" customHeight="1" x14ac:dyDescent="0.25">
      <c r="D121" s="3"/>
      <c r="E121" s="3"/>
      <c r="F121" s="3"/>
    </row>
    <row r="122" spans="4:6" ht="12.75" customHeight="1" x14ac:dyDescent="0.25">
      <c r="D122" s="3"/>
      <c r="E122" s="3"/>
      <c r="F122" s="3"/>
    </row>
    <row r="123" spans="4:6" ht="12.75" customHeight="1" x14ac:dyDescent="0.25">
      <c r="D123" s="3"/>
      <c r="E123" s="3"/>
      <c r="F123" s="3"/>
    </row>
    <row r="124" spans="4:6" ht="12.75" customHeight="1" x14ac:dyDescent="0.25">
      <c r="D124" s="3"/>
      <c r="E124" s="3"/>
      <c r="F124" s="3"/>
    </row>
    <row r="125" spans="4:6" ht="12.75" customHeight="1" x14ac:dyDescent="0.25">
      <c r="D125" s="3"/>
      <c r="E125" s="3"/>
      <c r="F125" s="3"/>
    </row>
    <row r="126" spans="4:6" ht="12.75" customHeight="1" x14ac:dyDescent="0.25">
      <c r="D126" s="3"/>
      <c r="E126" s="3"/>
      <c r="F126" s="3"/>
    </row>
    <row r="127" spans="4:6" ht="12.75" customHeight="1" x14ac:dyDescent="0.25">
      <c r="D127" s="3"/>
      <c r="E127" s="3"/>
      <c r="F127" s="3"/>
    </row>
    <row r="128" spans="4:6" ht="12.75" customHeight="1" x14ac:dyDescent="0.25">
      <c r="D128" s="3"/>
      <c r="E128" s="3"/>
      <c r="F128" s="3"/>
    </row>
    <row r="129" spans="4:6" ht="12.75" customHeight="1" x14ac:dyDescent="0.25">
      <c r="D129" s="3"/>
      <c r="E129" s="3"/>
      <c r="F129" s="3"/>
    </row>
    <row r="130" spans="4:6" ht="12.75" customHeight="1" x14ac:dyDescent="0.25">
      <c r="D130" s="3"/>
      <c r="E130" s="3"/>
      <c r="F130" s="3"/>
    </row>
    <row r="131" spans="4:6" ht="12.75" customHeight="1" x14ac:dyDescent="0.25">
      <c r="D131" s="3"/>
      <c r="E131" s="3"/>
      <c r="F131" s="3"/>
    </row>
    <row r="132" spans="4:6" ht="12.75" customHeight="1" x14ac:dyDescent="0.25">
      <c r="D132" s="3"/>
      <c r="E132" s="3"/>
      <c r="F132" s="3"/>
    </row>
    <row r="133" spans="4:6" ht="12.75" customHeight="1" x14ac:dyDescent="0.25">
      <c r="D133" s="3"/>
      <c r="E133" s="3"/>
      <c r="F133" s="3"/>
    </row>
    <row r="134" spans="4:6" ht="12.75" customHeight="1" x14ac:dyDescent="0.25">
      <c r="D134" s="3"/>
      <c r="E134" s="3"/>
      <c r="F134" s="3"/>
    </row>
    <row r="135" spans="4:6" ht="12.75" customHeight="1" x14ac:dyDescent="0.25">
      <c r="D135" s="3"/>
      <c r="E135" s="3"/>
      <c r="F135" s="3"/>
    </row>
    <row r="136" spans="4:6" ht="12.75" customHeight="1" x14ac:dyDescent="0.25">
      <c r="D136" s="3"/>
      <c r="E136" s="3"/>
      <c r="F136" s="3"/>
    </row>
    <row r="137" spans="4:6" ht="12.75" customHeight="1" x14ac:dyDescent="0.25">
      <c r="D137" s="3"/>
      <c r="E137" s="3"/>
      <c r="F137" s="3"/>
    </row>
    <row r="138" spans="4:6" ht="12.75" customHeight="1" x14ac:dyDescent="0.25">
      <c r="D138" s="3"/>
      <c r="E138" s="3"/>
      <c r="F138" s="3"/>
    </row>
    <row r="139" spans="4:6" ht="12.75" customHeight="1" x14ac:dyDescent="0.25">
      <c r="D139" s="3"/>
      <c r="E139" s="3"/>
      <c r="F139" s="3"/>
    </row>
    <row r="140" spans="4:6" ht="12.75" customHeight="1" x14ac:dyDescent="0.25">
      <c r="D140" s="3"/>
      <c r="E140" s="3"/>
      <c r="F140" s="3"/>
    </row>
    <row r="141" spans="4:6" ht="12.75" customHeight="1" x14ac:dyDescent="0.25">
      <c r="D141" s="3"/>
      <c r="E141" s="3"/>
      <c r="F141" s="3"/>
    </row>
    <row r="142" spans="4:6" ht="12.75" customHeight="1" x14ac:dyDescent="0.25">
      <c r="D142" s="3"/>
      <c r="E142" s="3"/>
      <c r="F142" s="3"/>
    </row>
    <row r="143" spans="4:6" ht="12.75" customHeight="1" x14ac:dyDescent="0.25">
      <c r="D143" s="3"/>
      <c r="E143" s="3"/>
      <c r="F143" s="3"/>
    </row>
    <row r="144" spans="4:6" ht="12.75" customHeight="1" x14ac:dyDescent="0.25">
      <c r="D144" s="3"/>
      <c r="E144" s="3"/>
      <c r="F144" s="3"/>
    </row>
    <row r="145" spans="4:6" ht="12.75" customHeight="1" x14ac:dyDescent="0.25">
      <c r="D145" s="3"/>
      <c r="E145" s="3"/>
      <c r="F145" s="3"/>
    </row>
    <row r="146" spans="4:6" ht="12.75" customHeight="1" x14ac:dyDescent="0.25">
      <c r="D146" s="3"/>
      <c r="E146" s="3"/>
      <c r="F146" s="3"/>
    </row>
    <row r="147" spans="4:6" ht="12.75" customHeight="1" x14ac:dyDescent="0.25">
      <c r="D147" s="3"/>
      <c r="E147" s="3"/>
      <c r="F147" s="3"/>
    </row>
    <row r="148" spans="4:6" ht="12.75" customHeight="1" x14ac:dyDescent="0.25">
      <c r="D148" s="3"/>
      <c r="E148" s="3"/>
      <c r="F148" s="3"/>
    </row>
    <row r="149" spans="4:6" ht="12.75" customHeight="1" x14ac:dyDescent="0.25">
      <c r="D149" s="3"/>
      <c r="E149" s="3"/>
      <c r="F149" s="3"/>
    </row>
    <row r="150" spans="4:6" ht="12.75" customHeight="1" x14ac:dyDescent="0.25">
      <c r="D150" s="3"/>
      <c r="E150" s="3"/>
      <c r="F150" s="3"/>
    </row>
    <row r="151" spans="4:6" ht="12.75" customHeight="1" x14ac:dyDescent="0.25">
      <c r="D151" s="3"/>
      <c r="E151" s="3"/>
      <c r="F151" s="3"/>
    </row>
    <row r="152" spans="4:6" ht="12.75" customHeight="1" x14ac:dyDescent="0.25">
      <c r="D152" s="3"/>
      <c r="E152" s="3"/>
      <c r="F152" s="3"/>
    </row>
    <row r="153" spans="4:6" ht="12.75" customHeight="1" x14ac:dyDescent="0.25">
      <c r="D153" s="3"/>
      <c r="E153" s="3"/>
      <c r="F153" s="3"/>
    </row>
    <row r="154" spans="4:6" ht="12.75" customHeight="1" x14ac:dyDescent="0.25">
      <c r="D154" s="3"/>
      <c r="E154" s="3"/>
      <c r="F154" s="3"/>
    </row>
    <row r="155" spans="4:6" ht="12.75" customHeight="1" x14ac:dyDescent="0.25">
      <c r="D155" s="3"/>
      <c r="E155" s="3"/>
      <c r="F155" s="3"/>
    </row>
    <row r="156" spans="4:6" ht="12.75" customHeight="1" x14ac:dyDescent="0.25">
      <c r="D156" s="3"/>
      <c r="E156" s="3"/>
      <c r="F156" s="3"/>
    </row>
    <row r="157" spans="4:6" ht="12.75" customHeight="1" x14ac:dyDescent="0.25">
      <c r="D157" s="3"/>
      <c r="E157" s="3"/>
      <c r="F157" s="3"/>
    </row>
    <row r="158" spans="4:6" ht="12.75" customHeight="1" x14ac:dyDescent="0.25">
      <c r="D158" s="3"/>
      <c r="E158" s="3"/>
      <c r="F158" s="3"/>
    </row>
    <row r="159" spans="4:6" ht="12.75" customHeight="1" x14ac:dyDescent="0.25">
      <c r="D159" s="3"/>
      <c r="E159" s="3"/>
      <c r="F159" s="3"/>
    </row>
    <row r="160" spans="4:6" ht="12.75" customHeight="1" x14ac:dyDescent="0.25">
      <c r="D160" s="3"/>
      <c r="E160" s="3"/>
      <c r="F160" s="3"/>
    </row>
    <row r="161" spans="4:6" ht="12.75" customHeight="1" x14ac:dyDescent="0.25">
      <c r="D161" s="3"/>
      <c r="E161" s="3"/>
      <c r="F161" s="3"/>
    </row>
    <row r="162" spans="4:6" ht="12.75" customHeight="1" x14ac:dyDescent="0.25">
      <c r="D162" s="3"/>
      <c r="E162" s="3"/>
      <c r="F162" s="3"/>
    </row>
    <row r="163" spans="4:6" ht="12.75" customHeight="1" x14ac:dyDescent="0.25">
      <c r="D163" s="3"/>
      <c r="E163" s="3"/>
      <c r="F163" s="3"/>
    </row>
    <row r="164" spans="4:6" ht="12.75" customHeight="1" x14ac:dyDescent="0.25">
      <c r="D164" s="3"/>
      <c r="E164" s="3"/>
      <c r="F164" s="3"/>
    </row>
    <row r="165" spans="4:6" ht="12.75" customHeight="1" x14ac:dyDescent="0.25">
      <c r="D165" s="3"/>
      <c r="E165" s="3"/>
      <c r="F165" s="3"/>
    </row>
    <row r="166" spans="4:6" ht="12.75" customHeight="1" x14ac:dyDescent="0.25">
      <c r="D166" s="3"/>
      <c r="E166" s="3"/>
      <c r="F166" s="3"/>
    </row>
    <row r="167" spans="4:6" ht="12.75" customHeight="1" x14ac:dyDescent="0.25">
      <c r="D167" s="3"/>
      <c r="E167" s="3"/>
      <c r="F167" s="3"/>
    </row>
    <row r="168" spans="4:6" ht="12.75" customHeight="1" x14ac:dyDescent="0.25">
      <c r="D168" s="3"/>
      <c r="E168" s="3"/>
      <c r="F168" s="3"/>
    </row>
    <row r="169" spans="4:6" ht="12.75" customHeight="1" x14ac:dyDescent="0.25">
      <c r="D169" s="3"/>
      <c r="E169" s="3"/>
      <c r="F169" s="3"/>
    </row>
    <row r="170" spans="4:6" ht="12.75" customHeight="1" x14ac:dyDescent="0.25">
      <c r="D170" s="3"/>
      <c r="E170" s="3"/>
      <c r="F170" s="3"/>
    </row>
    <row r="171" spans="4:6" ht="12.75" customHeight="1" x14ac:dyDescent="0.25">
      <c r="D171" s="3"/>
      <c r="E171" s="3"/>
      <c r="F171" s="3"/>
    </row>
    <row r="172" spans="4:6" ht="12.75" customHeight="1" x14ac:dyDescent="0.25">
      <c r="D172" s="3"/>
      <c r="E172" s="3"/>
      <c r="F172" s="3"/>
    </row>
    <row r="173" spans="4:6" ht="12.75" customHeight="1" x14ac:dyDescent="0.25">
      <c r="D173" s="3"/>
      <c r="E173" s="3"/>
      <c r="F173" s="3"/>
    </row>
    <row r="174" spans="4:6" ht="12.75" customHeight="1" x14ac:dyDescent="0.25">
      <c r="D174" s="3"/>
      <c r="E174" s="3"/>
      <c r="F174" s="3"/>
    </row>
    <row r="175" spans="4:6" ht="12.75" customHeight="1" x14ac:dyDescent="0.25">
      <c r="D175" s="3"/>
      <c r="E175" s="3"/>
      <c r="F175" s="3"/>
    </row>
    <row r="176" spans="4:6" ht="12.75" customHeight="1" x14ac:dyDescent="0.25">
      <c r="D176" s="3"/>
      <c r="E176" s="3"/>
      <c r="F176" s="3"/>
    </row>
    <row r="177" spans="4:6" ht="12.75" customHeight="1" x14ac:dyDescent="0.25">
      <c r="D177" s="3"/>
      <c r="E177" s="3"/>
      <c r="F177" s="3"/>
    </row>
    <row r="178" spans="4:6" ht="12.75" customHeight="1" x14ac:dyDescent="0.25">
      <c r="D178" s="3"/>
      <c r="E178" s="3"/>
      <c r="F178" s="3"/>
    </row>
    <row r="179" spans="4:6" ht="12.75" customHeight="1" x14ac:dyDescent="0.25">
      <c r="D179" s="3"/>
      <c r="E179" s="3"/>
      <c r="F179" s="3"/>
    </row>
    <row r="180" spans="4:6" ht="12.75" customHeight="1" x14ac:dyDescent="0.25">
      <c r="D180" s="3"/>
      <c r="E180" s="3"/>
      <c r="F180" s="3"/>
    </row>
    <row r="181" spans="4:6" ht="12.75" customHeight="1" x14ac:dyDescent="0.25">
      <c r="D181" s="3"/>
      <c r="E181" s="3"/>
      <c r="F181" s="3"/>
    </row>
    <row r="182" spans="4:6" ht="12.75" customHeight="1" x14ac:dyDescent="0.25">
      <c r="D182" s="3"/>
      <c r="E182" s="3"/>
      <c r="F182" s="3"/>
    </row>
    <row r="183" spans="4:6" ht="12.75" customHeight="1" x14ac:dyDescent="0.25">
      <c r="D183" s="3"/>
      <c r="E183" s="3"/>
      <c r="F183" s="3"/>
    </row>
    <row r="184" spans="4:6" ht="12.75" customHeight="1" x14ac:dyDescent="0.25">
      <c r="D184" s="3"/>
      <c r="E184" s="3"/>
      <c r="F184" s="3"/>
    </row>
    <row r="185" spans="4:6" ht="12.75" customHeight="1" x14ac:dyDescent="0.25">
      <c r="D185" s="3"/>
      <c r="E185" s="3"/>
      <c r="F185" s="3"/>
    </row>
    <row r="186" spans="4:6" ht="12.75" customHeight="1" x14ac:dyDescent="0.25">
      <c r="D186" s="3"/>
      <c r="E186" s="3"/>
      <c r="F186" s="3"/>
    </row>
    <row r="187" spans="4:6" ht="12.75" customHeight="1" x14ac:dyDescent="0.25">
      <c r="D187" s="3"/>
      <c r="E187" s="3"/>
      <c r="F187" s="3"/>
    </row>
    <row r="188" spans="4:6" ht="12.75" customHeight="1" x14ac:dyDescent="0.25">
      <c r="D188" s="3"/>
      <c r="E188" s="3"/>
      <c r="F188" s="3"/>
    </row>
    <row r="189" spans="4:6" ht="12.75" customHeight="1" x14ac:dyDescent="0.25">
      <c r="D189" s="3"/>
      <c r="E189" s="3"/>
      <c r="F189" s="3"/>
    </row>
    <row r="190" spans="4:6" ht="12.75" customHeight="1" x14ac:dyDescent="0.25">
      <c r="D190" s="3"/>
      <c r="E190" s="3"/>
      <c r="F190" s="3"/>
    </row>
    <row r="191" spans="4:6" ht="12.75" customHeight="1" x14ac:dyDescent="0.25">
      <c r="D191" s="3"/>
      <c r="E191" s="3"/>
      <c r="F191" s="3"/>
    </row>
    <row r="192" spans="4:6" ht="12.75" customHeight="1" x14ac:dyDescent="0.25">
      <c r="D192" s="3"/>
      <c r="E192" s="3"/>
      <c r="F192" s="3"/>
    </row>
    <row r="193" spans="4:6" ht="12.75" customHeight="1" x14ac:dyDescent="0.25">
      <c r="D193" s="3"/>
      <c r="E193" s="3"/>
      <c r="F193" s="3"/>
    </row>
    <row r="194" spans="4:6" ht="12.75" customHeight="1" x14ac:dyDescent="0.25">
      <c r="D194" s="3"/>
      <c r="E194" s="3"/>
      <c r="F194" s="3"/>
    </row>
    <row r="195" spans="4:6" ht="12.75" customHeight="1" x14ac:dyDescent="0.25">
      <c r="D195" s="3"/>
      <c r="E195" s="3"/>
      <c r="F195" s="3"/>
    </row>
    <row r="196" spans="4:6" ht="12.75" customHeight="1" x14ac:dyDescent="0.25">
      <c r="D196" s="3"/>
      <c r="E196" s="3"/>
      <c r="F196" s="3"/>
    </row>
    <row r="197" spans="4:6" ht="12.75" customHeight="1" x14ac:dyDescent="0.25">
      <c r="D197" s="3"/>
      <c r="E197" s="3"/>
      <c r="F197" s="3"/>
    </row>
    <row r="198" spans="4:6" ht="12.75" customHeight="1" x14ac:dyDescent="0.25">
      <c r="D198" s="3"/>
      <c r="E198" s="3"/>
      <c r="F198" s="3"/>
    </row>
    <row r="199" spans="4:6" ht="12.75" customHeight="1" x14ac:dyDescent="0.25">
      <c r="D199" s="3"/>
      <c r="E199" s="3"/>
      <c r="F199" s="3"/>
    </row>
    <row r="200" spans="4:6" ht="12.75" customHeight="1" x14ac:dyDescent="0.25">
      <c r="D200" s="3"/>
      <c r="E200" s="3"/>
      <c r="F200" s="3"/>
    </row>
    <row r="201" spans="4:6" ht="12.75" customHeight="1" x14ac:dyDescent="0.25">
      <c r="D201" s="3"/>
      <c r="E201" s="3"/>
      <c r="F201" s="3"/>
    </row>
    <row r="202" spans="4:6" ht="12.75" customHeight="1" x14ac:dyDescent="0.25">
      <c r="D202" s="3"/>
      <c r="E202" s="3"/>
      <c r="F202" s="3"/>
    </row>
    <row r="203" spans="4:6" ht="12.75" customHeight="1" x14ac:dyDescent="0.25">
      <c r="D203" s="3"/>
      <c r="E203" s="3"/>
      <c r="F203" s="3"/>
    </row>
    <row r="204" spans="4:6" ht="12.75" customHeight="1" x14ac:dyDescent="0.25">
      <c r="D204" s="3"/>
      <c r="E204" s="3"/>
      <c r="F204" s="3"/>
    </row>
    <row r="205" spans="4:6" ht="12.75" customHeight="1" x14ac:dyDescent="0.25">
      <c r="D205" s="3"/>
      <c r="E205" s="3"/>
      <c r="F205" s="3"/>
    </row>
    <row r="206" spans="4:6" ht="12.75" customHeight="1" x14ac:dyDescent="0.25">
      <c r="D206" s="3"/>
      <c r="E206" s="3"/>
      <c r="F206" s="3"/>
    </row>
    <row r="207" spans="4:6" ht="12.75" customHeight="1" x14ac:dyDescent="0.25">
      <c r="D207" s="3"/>
      <c r="E207" s="3"/>
      <c r="F207" s="3"/>
    </row>
    <row r="208" spans="4:6" ht="12.75" customHeight="1" x14ac:dyDescent="0.25">
      <c r="D208" s="3"/>
      <c r="E208" s="3"/>
      <c r="F208" s="3"/>
    </row>
    <row r="209" spans="4:6" ht="12.75" customHeight="1" x14ac:dyDescent="0.25">
      <c r="D209" s="3"/>
      <c r="E209" s="3"/>
      <c r="F209" s="3"/>
    </row>
    <row r="210" spans="4:6" ht="12.75" customHeight="1" x14ac:dyDescent="0.25">
      <c r="D210" s="3"/>
      <c r="E210" s="3"/>
      <c r="F210" s="3"/>
    </row>
    <row r="211" spans="4:6" ht="12.75" customHeight="1" x14ac:dyDescent="0.25">
      <c r="D211" s="3"/>
      <c r="E211" s="3"/>
      <c r="F211" s="3"/>
    </row>
    <row r="212" spans="4:6" ht="12.75" customHeight="1" x14ac:dyDescent="0.25">
      <c r="D212" s="3"/>
      <c r="E212" s="3"/>
      <c r="F212" s="3"/>
    </row>
    <row r="213" spans="4:6" ht="12.75" customHeight="1" x14ac:dyDescent="0.25">
      <c r="D213" s="3"/>
      <c r="E213" s="3"/>
      <c r="F213" s="3"/>
    </row>
    <row r="214" spans="4:6" ht="12.75" customHeight="1" x14ac:dyDescent="0.25">
      <c r="D214" s="3"/>
      <c r="E214" s="3"/>
      <c r="F214" s="3"/>
    </row>
    <row r="215" spans="4:6" ht="12.75" customHeight="1" x14ac:dyDescent="0.25">
      <c r="D215" s="3"/>
      <c r="E215" s="3"/>
      <c r="F215" s="3"/>
    </row>
    <row r="216" spans="4:6" ht="12.75" customHeight="1" x14ac:dyDescent="0.25">
      <c r="D216" s="3"/>
      <c r="E216" s="3"/>
      <c r="F216" s="3"/>
    </row>
    <row r="217" spans="4:6" ht="12.75" customHeight="1" x14ac:dyDescent="0.25">
      <c r="D217" s="3"/>
      <c r="E217" s="3"/>
      <c r="F217" s="3"/>
    </row>
    <row r="218" spans="4:6" ht="12.75" customHeight="1" x14ac:dyDescent="0.25">
      <c r="D218" s="3"/>
      <c r="E218" s="3"/>
      <c r="F218" s="3"/>
    </row>
    <row r="219" spans="4:6" ht="12.75" customHeight="1" x14ac:dyDescent="0.25">
      <c r="D219" s="3"/>
      <c r="E219" s="3"/>
      <c r="F219" s="3"/>
    </row>
    <row r="220" spans="4:6" ht="12.75" customHeight="1" x14ac:dyDescent="0.25">
      <c r="D220" s="3"/>
      <c r="E220" s="3"/>
      <c r="F220" s="3"/>
    </row>
    <row r="221" spans="4:6" ht="12.75" customHeight="1" x14ac:dyDescent="0.25">
      <c r="D221" s="3"/>
      <c r="E221" s="3"/>
      <c r="F221" s="3"/>
    </row>
    <row r="222" spans="4:6" ht="12.75" customHeight="1" x14ac:dyDescent="0.25">
      <c r="D222" s="3"/>
      <c r="E222" s="3"/>
      <c r="F222" s="3"/>
    </row>
    <row r="223" spans="4:6" ht="12.75" customHeight="1" x14ac:dyDescent="0.25">
      <c r="D223" s="3"/>
      <c r="E223" s="3"/>
      <c r="F223" s="3"/>
    </row>
    <row r="224" spans="4:6" ht="12.75" customHeight="1" x14ac:dyDescent="0.25">
      <c r="D224" s="3"/>
      <c r="E224" s="3"/>
      <c r="F224" s="3"/>
    </row>
    <row r="225" spans="4:6" ht="12.75" customHeight="1" x14ac:dyDescent="0.25">
      <c r="D225" s="3"/>
      <c r="E225" s="3"/>
      <c r="F225" s="3"/>
    </row>
    <row r="226" spans="4:6" ht="12.75" customHeight="1" x14ac:dyDescent="0.25">
      <c r="D226" s="3"/>
      <c r="E226" s="3"/>
      <c r="F226" s="3"/>
    </row>
    <row r="227" spans="4:6" ht="12.75" customHeight="1" x14ac:dyDescent="0.25">
      <c r="D227" s="3"/>
      <c r="E227" s="3"/>
      <c r="F227" s="3"/>
    </row>
    <row r="228" spans="4:6" ht="12.75" customHeight="1" x14ac:dyDescent="0.25">
      <c r="D228" s="3"/>
      <c r="E228" s="3"/>
      <c r="F228" s="3"/>
    </row>
    <row r="229" spans="4:6" ht="12.75" customHeight="1" x14ac:dyDescent="0.25">
      <c r="D229" s="3"/>
      <c r="E229" s="3"/>
      <c r="F229" s="3"/>
    </row>
    <row r="230" spans="4:6" ht="12.75" customHeight="1" x14ac:dyDescent="0.25">
      <c r="D230" s="3"/>
      <c r="E230" s="3"/>
      <c r="F230" s="3"/>
    </row>
    <row r="231" spans="4:6" ht="12.75" customHeight="1" x14ac:dyDescent="0.25">
      <c r="D231" s="3"/>
      <c r="E231" s="3"/>
      <c r="F231" s="3"/>
    </row>
    <row r="232" spans="4:6" ht="12.75" customHeight="1" x14ac:dyDescent="0.25">
      <c r="D232" s="3"/>
      <c r="E232" s="3"/>
      <c r="F232" s="3"/>
    </row>
    <row r="233" spans="4:6" ht="12.75" customHeight="1" x14ac:dyDescent="0.25">
      <c r="D233" s="3"/>
      <c r="E233" s="3"/>
      <c r="F233" s="3"/>
    </row>
    <row r="234" spans="4:6" ht="12.75" customHeight="1" x14ac:dyDescent="0.25">
      <c r="D234" s="3"/>
      <c r="E234" s="3"/>
      <c r="F234" s="3"/>
    </row>
    <row r="235" spans="4:6" ht="12.75" customHeight="1" x14ac:dyDescent="0.25">
      <c r="D235" s="3"/>
      <c r="E235" s="3"/>
      <c r="F235" s="3"/>
    </row>
    <row r="236" spans="4:6" ht="12.75" customHeight="1" x14ac:dyDescent="0.25">
      <c r="D236" s="3"/>
      <c r="E236" s="3"/>
      <c r="F236" s="3"/>
    </row>
    <row r="237" spans="4:6" ht="12.75" customHeight="1" x14ac:dyDescent="0.25">
      <c r="D237" s="3"/>
      <c r="E237" s="3"/>
      <c r="F237" s="3"/>
    </row>
    <row r="238" spans="4:6" ht="12.75" customHeight="1" x14ac:dyDescent="0.25">
      <c r="D238" s="3"/>
      <c r="E238" s="3"/>
      <c r="F238" s="3"/>
    </row>
    <row r="239" spans="4:6" ht="12.75" customHeight="1" x14ac:dyDescent="0.25">
      <c r="D239" s="3"/>
      <c r="E239" s="3"/>
      <c r="F239" s="3"/>
    </row>
    <row r="240" spans="4:6" ht="12.75" customHeight="1" x14ac:dyDescent="0.25">
      <c r="D240" s="3"/>
      <c r="E240" s="3"/>
      <c r="F240" s="3"/>
    </row>
    <row r="241" spans="4:6" ht="12.75" customHeight="1" x14ac:dyDescent="0.25">
      <c r="D241" s="3"/>
      <c r="E241" s="3"/>
      <c r="F241" s="3"/>
    </row>
    <row r="242" spans="4:6" ht="12.75" customHeight="1" x14ac:dyDescent="0.25">
      <c r="D242" s="3"/>
      <c r="E242" s="3"/>
      <c r="F242" s="3"/>
    </row>
    <row r="243" spans="4:6" ht="12.75" customHeight="1" x14ac:dyDescent="0.25">
      <c r="D243" s="3"/>
      <c r="E243" s="3"/>
      <c r="F243" s="3"/>
    </row>
    <row r="244" spans="4:6" ht="12.75" customHeight="1" x14ac:dyDescent="0.25">
      <c r="D244" s="3"/>
      <c r="E244" s="3"/>
      <c r="F244" s="3"/>
    </row>
    <row r="245" spans="4:6" ht="12.75" customHeight="1" x14ac:dyDescent="0.25">
      <c r="D245" s="3"/>
      <c r="E245" s="3"/>
      <c r="F245" s="3"/>
    </row>
    <row r="246" spans="4:6" ht="12.75" customHeight="1" x14ac:dyDescent="0.25">
      <c r="D246" s="3"/>
      <c r="E246" s="3"/>
      <c r="F246" s="3"/>
    </row>
    <row r="247" spans="4:6" ht="12.75" customHeight="1" x14ac:dyDescent="0.25">
      <c r="D247" s="3"/>
      <c r="E247" s="3"/>
      <c r="F247" s="3"/>
    </row>
    <row r="248" spans="4:6" ht="12.75" customHeight="1" x14ac:dyDescent="0.25">
      <c r="D248" s="3"/>
      <c r="E248" s="3"/>
      <c r="F248" s="3"/>
    </row>
    <row r="249" spans="4:6" ht="12.75" customHeight="1" x14ac:dyDescent="0.25">
      <c r="D249" s="3"/>
      <c r="E249" s="3"/>
      <c r="F249" s="3"/>
    </row>
    <row r="250" spans="4:6" ht="12.75" customHeight="1" x14ac:dyDescent="0.25">
      <c r="D250" s="3"/>
      <c r="E250" s="3"/>
      <c r="F250" s="3"/>
    </row>
    <row r="251" spans="4:6" ht="12.75" customHeight="1" x14ac:dyDescent="0.25">
      <c r="D251" s="3"/>
      <c r="E251" s="3"/>
      <c r="F251" s="3"/>
    </row>
    <row r="252" spans="4:6" ht="12.75" customHeight="1" x14ac:dyDescent="0.25">
      <c r="D252" s="3"/>
      <c r="E252" s="3"/>
      <c r="F252" s="3"/>
    </row>
    <row r="253" spans="4:6" ht="12.75" customHeight="1" x14ac:dyDescent="0.25">
      <c r="D253" s="3"/>
      <c r="E253" s="3"/>
      <c r="F253" s="3"/>
    </row>
    <row r="254" spans="4:6" ht="12.75" customHeight="1" x14ac:dyDescent="0.25">
      <c r="D254" s="3"/>
      <c r="E254" s="3"/>
      <c r="F254" s="3"/>
    </row>
    <row r="255" spans="4:6" ht="12.75" customHeight="1" x14ac:dyDescent="0.25">
      <c r="D255" s="3"/>
      <c r="E255" s="3"/>
      <c r="F255" s="3"/>
    </row>
    <row r="256" spans="4:6" ht="12.75" customHeight="1" x14ac:dyDescent="0.25">
      <c r="D256" s="3"/>
      <c r="E256" s="3"/>
      <c r="F256" s="3"/>
    </row>
    <row r="257" spans="4:6" ht="12.75" customHeight="1" x14ac:dyDescent="0.25">
      <c r="D257" s="3"/>
      <c r="E257" s="3"/>
      <c r="F257" s="3"/>
    </row>
    <row r="258" spans="4:6" ht="12.75" customHeight="1" x14ac:dyDescent="0.25">
      <c r="D258" s="3"/>
      <c r="E258" s="3"/>
      <c r="F258" s="3"/>
    </row>
    <row r="259" spans="4:6" ht="12.75" customHeight="1" x14ac:dyDescent="0.25">
      <c r="D259" s="3"/>
      <c r="E259" s="3"/>
      <c r="F259" s="3"/>
    </row>
    <row r="260" spans="4:6" ht="12.75" customHeight="1" x14ac:dyDescent="0.25">
      <c r="D260" s="3"/>
      <c r="E260" s="3"/>
      <c r="F260" s="3"/>
    </row>
    <row r="261" spans="4:6" ht="12.75" customHeight="1" x14ac:dyDescent="0.25">
      <c r="D261" s="3"/>
      <c r="E261" s="3"/>
      <c r="F261" s="3"/>
    </row>
    <row r="262" spans="4:6" ht="12.75" customHeight="1" x14ac:dyDescent="0.25">
      <c r="D262" s="3"/>
      <c r="E262" s="3"/>
      <c r="F262" s="3"/>
    </row>
    <row r="263" spans="4:6" ht="12.75" customHeight="1" x14ac:dyDescent="0.25">
      <c r="D263" s="3"/>
      <c r="E263" s="3"/>
      <c r="F263" s="3"/>
    </row>
    <row r="264" spans="4:6" ht="12.75" customHeight="1" x14ac:dyDescent="0.25">
      <c r="D264" s="3"/>
      <c r="E264" s="3"/>
      <c r="F264" s="3"/>
    </row>
    <row r="265" spans="4:6" ht="12.75" customHeight="1" x14ac:dyDescent="0.25">
      <c r="D265" s="3"/>
      <c r="E265" s="3"/>
      <c r="F265" s="3"/>
    </row>
    <row r="266" spans="4:6" ht="12.75" customHeight="1" x14ac:dyDescent="0.25">
      <c r="D266" s="3"/>
      <c r="E266" s="3"/>
      <c r="F266" s="3"/>
    </row>
    <row r="267" spans="4:6" ht="12.75" customHeight="1" x14ac:dyDescent="0.25">
      <c r="D267" s="3"/>
      <c r="E267" s="3"/>
      <c r="F267" s="3"/>
    </row>
    <row r="268" spans="4:6" ht="12.75" customHeight="1" x14ac:dyDescent="0.25">
      <c r="D268" s="3"/>
      <c r="E268" s="3"/>
      <c r="F268" s="3"/>
    </row>
    <row r="269" spans="4:6" ht="12.75" customHeight="1" x14ac:dyDescent="0.25">
      <c r="D269" s="3"/>
      <c r="E269" s="3"/>
      <c r="F269" s="3"/>
    </row>
    <row r="270" spans="4:6" ht="12.75" customHeight="1" x14ac:dyDescent="0.25">
      <c r="D270" s="3"/>
      <c r="E270" s="3"/>
      <c r="F270" s="3"/>
    </row>
    <row r="271" spans="4:6" ht="12.75" customHeight="1" x14ac:dyDescent="0.25">
      <c r="D271" s="3"/>
      <c r="E271" s="3"/>
      <c r="F271" s="3"/>
    </row>
    <row r="272" spans="4:6" ht="12.75" customHeight="1" x14ac:dyDescent="0.25">
      <c r="D272" s="3"/>
      <c r="E272" s="3"/>
      <c r="F272" s="3"/>
    </row>
    <row r="273" spans="4:6" ht="12.75" customHeight="1" x14ac:dyDescent="0.25">
      <c r="D273" s="3"/>
      <c r="E273" s="3"/>
      <c r="F273" s="3"/>
    </row>
    <row r="274" spans="4:6" ht="12.75" customHeight="1" x14ac:dyDescent="0.25">
      <c r="D274" s="3"/>
      <c r="E274" s="3"/>
      <c r="F274" s="3"/>
    </row>
    <row r="275" spans="4:6" ht="12.75" customHeight="1" x14ac:dyDescent="0.25">
      <c r="D275" s="3"/>
      <c r="E275" s="3"/>
      <c r="F275" s="3"/>
    </row>
    <row r="276" spans="4:6" ht="12.75" customHeight="1" x14ac:dyDescent="0.25">
      <c r="D276" s="3"/>
      <c r="E276" s="3"/>
      <c r="F276" s="3"/>
    </row>
    <row r="277" spans="4:6" ht="12.75" customHeight="1" x14ac:dyDescent="0.25">
      <c r="D277" s="3"/>
      <c r="E277" s="3"/>
      <c r="F277" s="3"/>
    </row>
    <row r="278" spans="4:6" ht="12.75" customHeight="1" x14ac:dyDescent="0.25">
      <c r="D278" s="3"/>
      <c r="E278" s="3"/>
      <c r="F278" s="3"/>
    </row>
    <row r="279" spans="4:6" ht="12.75" customHeight="1" x14ac:dyDescent="0.25">
      <c r="D279" s="3"/>
      <c r="E279" s="3"/>
      <c r="F279" s="3"/>
    </row>
    <row r="280" spans="4:6" ht="12.75" customHeight="1" x14ac:dyDescent="0.25">
      <c r="D280" s="3"/>
      <c r="E280" s="3"/>
      <c r="F280" s="3"/>
    </row>
    <row r="281" spans="4:6" ht="12.75" customHeight="1" x14ac:dyDescent="0.25">
      <c r="D281" s="3"/>
      <c r="E281" s="3"/>
      <c r="F281" s="3"/>
    </row>
    <row r="282" spans="4:6" ht="12.75" customHeight="1" x14ac:dyDescent="0.25">
      <c r="D282" s="3"/>
      <c r="E282" s="3"/>
      <c r="F282" s="3"/>
    </row>
    <row r="283" spans="4:6" ht="12.75" customHeight="1" x14ac:dyDescent="0.25">
      <c r="D283" s="3"/>
      <c r="E283" s="3"/>
      <c r="F283" s="3"/>
    </row>
    <row r="284" spans="4:6" ht="12.75" customHeight="1" x14ac:dyDescent="0.25">
      <c r="D284" s="3"/>
      <c r="E284" s="3"/>
      <c r="F284" s="3"/>
    </row>
    <row r="285" spans="4:6" ht="12.75" customHeight="1" x14ac:dyDescent="0.25">
      <c r="D285" s="3"/>
      <c r="E285" s="3"/>
      <c r="F285" s="3"/>
    </row>
    <row r="286" spans="4:6" ht="12.75" customHeight="1" x14ac:dyDescent="0.25">
      <c r="D286" s="3"/>
      <c r="E286" s="3"/>
      <c r="F286" s="3"/>
    </row>
    <row r="287" spans="4:6" ht="12.75" customHeight="1" x14ac:dyDescent="0.25">
      <c r="D287" s="3"/>
      <c r="E287" s="3"/>
      <c r="F287" s="3"/>
    </row>
    <row r="288" spans="4:6" ht="12.75" customHeight="1" x14ac:dyDescent="0.25">
      <c r="D288" s="3"/>
      <c r="E288" s="3"/>
      <c r="F288" s="3"/>
    </row>
    <row r="289" spans="4:6" ht="12.75" customHeight="1" x14ac:dyDescent="0.25">
      <c r="D289" s="3"/>
      <c r="E289" s="3"/>
      <c r="F289" s="3"/>
    </row>
    <row r="290" spans="4:6" ht="12.75" customHeight="1" x14ac:dyDescent="0.25">
      <c r="D290" s="3"/>
      <c r="E290" s="3"/>
      <c r="F290" s="3"/>
    </row>
    <row r="291" spans="4:6" ht="12.75" customHeight="1" x14ac:dyDescent="0.25">
      <c r="D291" s="3"/>
      <c r="E291" s="3"/>
      <c r="F291" s="3"/>
    </row>
    <row r="292" spans="4:6" ht="12.75" customHeight="1" x14ac:dyDescent="0.25">
      <c r="D292" s="3"/>
      <c r="E292" s="3"/>
      <c r="F292" s="3"/>
    </row>
    <row r="293" spans="4:6" ht="12.75" customHeight="1" x14ac:dyDescent="0.25">
      <c r="D293" s="3"/>
      <c r="E293" s="3"/>
      <c r="F293" s="3"/>
    </row>
    <row r="294" spans="4:6" ht="12.75" customHeight="1" x14ac:dyDescent="0.25">
      <c r="D294" s="3"/>
      <c r="E294" s="3"/>
      <c r="F294" s="3"/>
    </row>
    <row r="295" spans="4:6" ht="12.75" customHeight="1" x14ac:dyDescent="0.25">
      <c r="D295" s="3"/>
      <c r="E295" s="3"/>
      <c r="F295" s="3"/>
    </row>
    <row r="296" spans="4:6" ht="12.75" customHeight="1" x14ac:dyDescent="0.25">
      <c r="D296" s="3"/>
      <c r="E296" s="3"/>
      <c r="F296" s="3"/>
    </row>
    <row r="297" spans="4:6" ht="12.75" customHeight="1" x14ac:dyDescent="0.25">
      <c r="D297" s="3"/>
      <c r="E297" s="3"/>
      <c r="F297" s="3"/>
    </row>
    <row r="298" spans="4:6" ht="12.75" customHeight="1" x14ac:dyDescent="0.25">
      <c r="D298" s="3"/>
      <c r="E298" s="3"/>
      <c r="F298" s="3"/>
    </row>
    <row r="299" spans="4:6" ht="12.75" customHeight="1" x14ac:dyDescent="0.25">
      <c r="D299" s="3"/>
      <c r="E299" s="3"/>
      <c r="F299" s="3"/>
    </row>
    <row r="300" spans="4:6" ht="12.75" customHeight="1" x14ac:dyDescent="0.25">
      <c r="D300" s="3"/>
      <c r="E300" s="3"/>
      <c r="F300" s="3"/>
    </row>
    <row r="301" spans="4:6" ht="12.75" customHeight="1" x14ac:dyDescent="0.25">
      <c r="D301" s="3"/>
      <c r="E301" s="3"/>
      <c r="F301" s="3"/>
    </row>
    <row r="302" spans="4:6" ht="12.75" customHeight="1" x14ac:dyDescent="0.25">
      <c r="D302" s="3"/>
      <c r="E302" s="3"/>
      <c r="F302" s="3"/>
    </row>
    <row r="303" spans="4:6" ht="12.75" customHeight="1" x14ac:dyDescent="0.25">
      <c r="D303" s="3"/>
      <c r="E303" s="3"/>
      <c r="F303" s="3"/>
    </row>
    <row r="304" spans="4:6" ht="12.75" customHeight="1" x14ac:dyDescent="0.25">
      <c r="D304" s="3"/>
      <c r="E304" s="3"/>
      <c r="F304" s="3"/>
    </row>
    <row r="305" spans="4:6" ht="12.75" customHeight="1" x14ac:dyDescent="0.25">
      <c r="D305" s="3"/>
      <c r="E305" s="3"/>
      <c r="F305" s="3"/>
    </row>
    <row r="306" spans="4:6" ht="12.75" customHeight="1" x14ac:dyDescent="0.25">
      <c r="D306" s="3"/>
      <c r="E306" s="3"/>
      <c r="F306" s="3"/>
    </row>
    <row r="307" spans="4:6" ht="12.75" customHeight="1" x14ac:dyDescent="0.25">
      <c r="D307" s="3"/>
      <c r="E307" s="3"/>
      <c r="F307" s="3"/>
    </row>
    <row r="308" spans="4:6" ht="12.75" customHeight="1" x14ac:dyDescent="0.25">
      <c r="D308" s="3"/>
      <c r="E308" s="3"/>
      <c r="F308" s="3"/>
    </row>
    <row r="309" spans="4:6" ht="12.75" customHeight="1" x14ac:dyDescent="0.25">
      <c r="D309" s="3"/>
      <c r="E309" s="3"/>
      <c r="F309" s="3"/>
    </row>
    <row r="310" spans="4:6" ht="12.75" customHeight="1" x14ac:dyDescent="0.25">
      <c r="D310" s="3"/>
      <c r="E310" s="3"/>
      <c r="F310" s="3"/>
    </row>
    <row r="311" spans="4:6" ht="12.75" customHeight="1" x14ac:dyDescent="0.25">
      <c r="D311" s="3"/>
      <c r="E311" s="3"/>
      <c r="F311" s="3"/>
    </row>
    <row r="312" spans="4:6" ht="12.75" customHeight="1" x14ac:dyDescent="0.25">
      <c r="D312" s="3"/>
      <c r="E312" s="3"/>
      <c r="F312" s="3"/>
    </row>
    <row r="313" spans="4:6" ht="12.75" customHeight="1" x14ac:dyDescent="0.25">
      <c r="D313" s="3"/>
      <c r="E313" s="3"/>
      <c r="F313" s="3"/>
    </row>
    <row r="314" spans="4:6" ht="12.75" customHeight="1" x14ac:dyDescent="0.25">
      <c r="D314" s="3"/>
      <c r="E314" s="3"/>
      <c r="F314" s="3"/>
    </row>
    <row r="315" spans="4:6" ht="12.75" customHeight="1" x14ac:dyDescent="0.25">
      <c r="D315" s="3"/>
      <c r="E315" s="3"/>
      <c r="F315" s="3"/>
    </row>
    <row r="316" spans="4:6" ht="12.75" customHeight="1" x14ac:dyDescent="0.25">
      <c r="D316" s="3"/>
      <c r="E316" s="3"/>
      <c r="F316" s="3"/>
    </row>
    <row r="317" spans="4:6" ht="12.75" customHeight="1" x14ac:dyDescent="0.25">
      <c r="D317" s="3"/>
      <c r="E317" s="3"/>
      <c r="F317" s="3"/>
    </row>
    <row r="318" spans="4:6" ht="12.75" customHeight="1" x14ac:dyDescent="0.25">
      <c r="D318" s="3"/>
      <c r="E318" s="3"/>
      <c r="F318" s="3"/>
    </row>
    <row r="319" spans="4:6" ht="12.75" customHeight="1" x14ac:dyDescent="0.25">
      <c r="D319" s="3"/>
      <c r="E319" s="3"/>
      <c r="F319" s="3"/>
    </row>
    <row r="320" spans="4:6" ht="12.75" customHeight="1" x14ac:dyDescent="0.25">
      <c r="D320" s="3"/>
      <c r="E320" s="3"/>
      <c r="F320" s="3"/>
    </row>
    <row r="321" spans="4:6" ht="12.75" customHeight="1" x14ac:dyDescent="0.25">
      <c r="D321" s="3"/>
      <c r="E321" s="3"/>
      <c r="F321" s="3"/>
    </row>
    <row r="322" spans="4:6" ht="12.75" customHeight="1" x14ac:dyDescent="0.25">
      <c r="D322" s="3"/>
      <c r="E322" s="3"/>
      <c r="F322" s="3"/>
    </row>
    <row r="323" spans="4:6" ht="12.75" customHeight="1" x14ac:dyDescent="0.25">
      <c r="D323" s="3"/>
      <c r="E323" s="3"/>
      <c r="F323" s="3"/>
    </row>
    <row r="324" spans="4:6" ht="12.75" customHeight="1" x14ac:dyDescent="0.25">
      <c r="D324" s="3"/>
      <c r="E324" s="3"/>
      <c r="F324" s="3"/>
    </row>
    <row r="325" spans="4:6" ht="12.75" customHeight="1" x14ac:dyDescent="0.25">
      <c r="D325" s="3"/>
      <c r="E325" s="3"/>
      <c r="F325" s="3"/>
    </row>
    <row r="326" spans="4:6" ht="12.75" customHeight="1" x14ac:dyDescent="0.25">
      <c r="D326" s="3"/>
      <c r="E326" s="3"/>
      <c r="F326" s="3"/>
    </row>
    <row r="327" spans="4:6" ht="12.75" customHeight="1" x14ac:dyDescent="0.25">
      <c r="D327" s="3"/>
      <c r="E327" s="3"/>
      <c r="F327" s="3"/>
    </row>
    <row r="328" spans="4:6" ht="12.75" customHeight="1" x14ac:dyDescent="0.25">
      <c r="D328" s="3"/>
      <c r="E328" s="3"/>
      <c r="F328" s="3"/>
    </row>
    <row r="329" spans="4:6" ht="12.75" customHeight="1" x14ac:dyDescent="0.25">
      <c r="D329" s="3"/>
      <c r="E329" s="3"/>
      <c r="F329" s="3"/>
    </row>
    <row r="330" spans="4:6" ht="12.75" customHeight="1" x14ac:dyDescent="0.25">
      <c r="D330" s="3"/>
      <c r="E330" s="3"/>
      <c r="F330" s="3"/>
    </row>
    <row r="331" spans="4:6" ht="12.75" customHeight="1" x14ac:dyDescent="0.25">
      <c r="D331" s="3"/>
      <c r="E331" s="3"/>
      <c r="F331" s="3"/>
    </row>
    <row r="332" spans="4:6" ht="12.75" customHeight="1" x14ac:dyDescent="0.25">
      <c r="D332" s="3"/>
      <c r="E332" s="3"/>
      <c r="F332" s="3"/>
    </row>
    <row r="333" spans="4:6" ht="12.75" customHeight="1" x14ac:dyDescent="0.25">
      <c r="D333" s="3"/>
      <c r="E333" s="3"/>
      <c r="F333" s="3"/>
    </row>
    <row r="334" spans="4:6" ht="12.75" customHeight="1" x14ac:dyDescent="0.25">
      <c r="D334" s="3"/>
      <c r="E334" s="3"/>
      <c r="F334" s="3"/>
    </row>
    <row r="335" spans="4:6" ht="12.75" customHeight="1" x14ac:dyDescent="0.25">
      <c r="D335" s="3"/>
      <c r="E335" s="3"/>
      <c r="F335" s="3"/>
    </row>
    <row r="336" spans="4:6" ht="12.75" customHeight="1" x14ac:dyDescent="0.25">
      <c r="D336" s="3"/>
      <c r="E336" s="3"/>
      <c r="F336" s="3"/>
    </row>
    <row r="337" spans="4:6" ht="12.75" customHeight="1" x14ac:dyDescent="0.25">
      <c r="D337" s="3"/>
      <c r="E337" s="3"/>
      <c r="F337" s="3"/>
    </row>
    <row r="338" spans="4:6" ht="12.75" customHeight="1" x14ac:dyDescent="0.25">
      <c r="D338" s="3"/>
      <c r="E338" s="3"/>
      <c r="F338" s="3"/>
    </row>
    <row r="339" spans="4:6" ht="12.75" customHeight="1" x14ac:dyDescent="0.25">
      <c r="D339" s="3"/>
      <c r="E339" s="3"/>
      <c r="F339" s="3"/>
    </row>
    <row r="340" spans="4:6" ht="12.75" customHeight="1" x14ac:dyDescent="0.25">
      <c r="D340" s="3"/>
      <c r="E340" s="3"/>
      <c r="F340" s="3"/>
    </row>
    <row r="341" spans="4:6" ht="12.75" customHeight="1" x14ac:dyDescent="0.25">
      <c r="D341" s="3"/>
      <c r="E341" s="3"/>
      <c r="F341" s="3"/>
    </row>
    <row r="342" spans="4:6" ht="12.75" customHeight="1" x14ac:dyDescent="0.25">
      <c r="D342" s="3"/>
      <c r="E342" s="3"/>
      <c r="F342" s="3"/>
    </row>
    <row r="343" spans="4:6" ht="12.75" customHeight="1" x14ac:dyDescent="0.25">
      <c r="D343" s="3"/>
      <c r="E343" s="3"/>
      <c r="F343" s="3"/>
    </row>
    <row r="344" spans="4:6" ht="12.75" customHeight="1" x14ac:dyDescent="0.25">
      <c r="D344" s="3"/>
      <c r="E344" s="3"/>
      <c r="F344" s="3"/>
    </row>
    <row r="345" spans="4:6" ht="12.75" customHeight="1" x14ac:dyDescent="0.25">
      <c r="D345" s="3"/>
      <c r="E345" s="3"/>
      <c r="F345" s="3"/>
    </row>
    <row r="346" spans="4:6" ht="12.75" customHeight="1" x14ac:dyDescent="0.25">
      <c r="D346" s="3"/>
      <c r="E346" s="3"/>
      <c r="F346" s="3"/>
    </row>
    <row r="347" spans="4:6" ht="12.75" customHeight="1" x14ac:dyDescent="0.25">
      <c r="D347" s="3"/>
      <c r="E347" s="3"/>
      <c r="F347" s="3"/>
    </row>
    <row r="348" spans="4:6" ht="12.75" customHeight="1" x14ac:dyDescent="0.25">
      <c r="D348" s="3"/>
      <c r="E348" s="3"/>
      <c r="F348" s="3"/>
    </row>
    <row r="349" spans="4:6" ht="12.75" customHeight="1" x14ac:dyDescent="0.25">
      <c r="D349" s="3"/>
      <c r="E349" s="3"/>
      <c r="F349" s="3"/>
    </row>
    <row r="350" spans="4:6" ht="12.75" customHeight="1" x14ac:dyDescent="0.25">
      <c r="D350" s="3"/>
      <c r="E350" s="3"/>
      <c r="F350" s="3"/>
    </row>
    <row r="351" spans="4:6" ht="12.75" customHeight="1" x14ac:dyDescent="0.25">
      <c r="D351" s="3"/>
      <c r="E351" s="3"/>
      <c r="F351" s="3"/>
    </row>
    <row r="352" spans="4:6" ht="12.75" customHeight="1" x14ac:dyDescent="0.25">
      <c r="D352" s="3"/>
      <c r="E352" s="3"/>
      <c r="F352" s="3"/>
    </row>
    <row r="353" spans="4:6" ht="12.75" customHeight="1" x14ac:dyDescent="0.25">
      <c r="D353" s="3"/>
      <c r="E353" s="3"/>
      <c r="F353" s="3"/>
    </row>
    <row r="354" spans="4:6" ht="12.75" customHeight="1" x14ac:dyDescent="0.25">
      <c r="D354" s="3"/>
      <c r="E354" s="3"/>
      <c r="F354" s="3"/>
    </row>
    <row r="355" spans="4:6" ht="12.75" customHeight="1" x14ac:dyDescent="0.25">
      <c r="D355" s="3"/>
      <c r="E355" s="3"/>
      <c r="F355" s="3"/>
    </row>
    <row r="356" spans="4:6" ht="12.75" customHeight="1" x14ac:dyDescent="0.25">
      <c r="D356" s="3"/>
      <c r="E356" s="3"/>
      <c r="F356" s="3"/>
    </row>
    <row r="357" spans="4:6" ht="12.75" customHeight="1" x14ac:dyDescent="0.25">
      <c r="D357" s="3"/>
      <c r="E357" s="3"/>
      <c r="F357" s="3"/>
    </row>
    <row r="358" spans="4:6" ht="12.75" customHeight="1" x14ac:dyDescent="0.25">
      <c r="D358" s="3"/>
      <c r="E358" s="3"/>
      <c r="F358" s="3"/>
    </row>
    <row r="359" spans="4:6" ht="12.75" customHeight="1" x14ac:dyDescent="0.25">
      <c r="D359" s="3"/>
      <c r="E359" s="3"/>
      <c r="F359" s="3"/>
    </row>
    <row r="360" spans="4:6" ht="12.75" customHeight="1" x14ac:dyDescent="0.25">
      <c r="D360" s="3"/>
      <c r="E360" s="3"/>
      <c r="F360" s="3"/>
    </row>
    <row r="361" spans="4:6" ht="12.75" customHeight="1" x14ac:dyDescent="0.25">
      <c r="D361" s="3"/>
      <c r="E361" s="3"/>
      <c r="F361" s="3"/>
    </row>
    <row r="362" spans="4:6" ht="12.75" customHeight="1" x14ac:dyDescent="0.25">
      <c r="D362" s="3"/>
      <c r="E362" s="3"/>
      <c r="F362" s="3"/>
    </row>
    <row r="363" spans="4:6" ht="12.75" customHeight="1" x14ac:dyDescent="0.25">
      <c r="D363" s="3"/>
      <c r="E363" s="3"/>
      <c r="F363" s="3"/>
    </row>
    <row r="364" spans="4:6" ht="12.75" customHeight="1" x14ac:dyDescent="0.25">
      <c r="D364" s="3"/>
      <c r="E364" s="3"/>
      <c r="F364" s="3"/>
    </row>
    <row r="365" spans="4:6" ht="12.75" customHeight="1" x14ac:dyDescent="0.25">
      <c r="D365" s="3"/>
      <c r="E365" s="3"/>
      <c r="F365" s="3"/>
    </row>
    <row r="366" spans="4:6" ht="12.75" customHeight="1" x14ac:dyDescent="0.25">
      <c r="D366" s="3"/>
      <c r="E366" s="3"/>
      <c r="F366" s="3"/>
    </row>
    <row r="367" spans="4:6" ht="12.75" customHeight="1" x14ac:dyDescent="0.25">
      <c r="D367" s="3"/>
      <c r="E367" s="3"/>
      <c r="F367" s="3"/>
    </row>
    <row r="368" spans="4:6" ht="12.75" customHeight="1" x14ac:dyDescent="0.25">
      <c r="D368" s="3"/>
      <c r="E368" s="3"/>
      <c r="F368" s="3"/>
    </row>
    <row r="369" spans="4:6" ht="12.75" customHeight="1" x14ac:dyDescent="0.25">
      <c r="D369" s="3"/>
      <c r="E369" s="3"/>
      <c r="F369" s="3"/>
    </row>
    <row r="370" spans="4:6" ht="12.75" customHeight="1" x14ac:dyDescent="0.25">
      <c r="D370" s="3"/>
      <c r="E370" s="3"/>
      <c r="F370" s="3"/>
    </row>
    <row r="371" spans="4:6" ht="12.75" customHeight="1" x14ac:dyDescent="0.25">
      <c r="D371" s="3"/>
      <c r="E371" s="3"/>
      <c r="F371" s="3"/>
    </row>
    <row r="372" spans="4:6" ht="12.75" customHeight="1" x14ac:dyDescent="0.25">
      <c r="D372" s="3"/>
      <c r="E372" s="3"/>
      <c r="F372" s="3"/>
    </row>
    <row r="373" spans="4:6" ht="12.75" customHeight="1" x14ac:dyDescent="0.25">
      <c r="D373" s="3"/>
      <c r="E373" s="3"/>
      <c r="F373" s="3"/>
    </row>
    <row r="374" spans="4:6" ht="12.75" customHeight="1" x14ac:dyDescent="0.25">
      <c r="D374" s="3"/>
      <c r="E374" s="3"/>
      <c r="F374" s="3"/>
    </row>
    <row r="375" spans="4:6" ht="12.75" customHeight="1" x14ac:dyDescent="0.25">
      <c r="D375" s="3"/>
      <c r="E375" s="3"/>
      <c r="F375" s="3"/>
    </row>
    <row r="376" spans="4:6" ht="12.75" customHeight="1" x14ac:dyDescent="0.25">
      <c r="D376" s="3"/>
      <c r="E376" s="3"/>
      <c r="F376" s="3"/>
    </row>
    <row r="377" spans="4:6" ht="12.75" customHeight="1" x14ac:dyDescent="0.25">
      <c r="D377" s="3"/>
      <c r="E377" s="3"/>
      <c r="F377" s="3"/>
    </row>
    <row r="378" spans="4:6" ht="12.75" customHeight="1" x14ac:dyDescent="0.25">
      <c r="D378" s="3"/>
      <c r="E378" s="3"/>
      <c r="F378" s="3"/>
    </row>
    <row r="379" spans="4:6" ht="12.75" customHeight="1" x14ac:dyDescent="0.25">
      <c r="D379" s="3"/>
      <c r="E379" s="3"/>
      <c r="F379" s="3"/>
    </row>
    <row r="380" spans="4:6" ht="12.75" customHeight="1" x14ac:dyDescent="0.25">
      <c r="D380" s="3"/>
      <c r="E380" s="3"/>
      <c r="F380" s="3"/>
    </row>
    <row r="381" spans="4:6" ht="12.75" customHeight="1" x14ac:dyDescent="0.25">
      <c r="D381" s="3"/>
      <c r="E381" s="3"/>
      <c r="F381" s="3"/>
    </row>
    <row r="382" spans="4:6" ht="12.75" customHeight="1" x14ac:dyDescent="0.25">
      <c r="D382" s="3"/>
      <c r="E382" s="3"/>
      <c r="F382" s="3"/>
    </row>
    <row r="383" spans="4:6" ht="12.75" customHeight="1" x14ac:dyDescent="0.25">
      <c r="D383" s="3"/>
      <c r="E383" s="3"/>
      <c r="F383" s="3"/>
    </row>
    <row r="384" spans="4:6" ht="12.75" customHeight="1" x14ac:dyDescent="0.25">
      <c r="D384" s="3"/>
      <c r="E384" s="3"/>
      <c r="F384" s="3"/>
    </row>
    <row r="385" spans="4:6" ht="12.75" customHeight="1" x14ac:dyDescent="0.25">
      <c r="D385" s="3"/>
      <c r="E385" s="3"/>
      <c r="F385" s="3"/>
    </row>
    <row r="386" spans="4:6" ht="12.75" customHeight="1" x14ac:dyDescent="0.25">
      <c r="D386" s="3"/>
      <c r="E386" s="3"/>
      <c r="F386" s="3"/>
    </row>
    <row r="387" spans="4:6" ht="12.75" customHeight="1" x14ac:dyDescent="0.25">
      <c r="D387" s="3"/>
      <c r="E387" s="3"/>
      <c r="F387" s="3"/>
    </row>
    <row r="388" spans="4:6" ht="12.75" customHeight="1" x14ac:dyDescent="0.25">
      <c r="D388" s="3"/>
      <c r="E388" s="3"/>
      <c r="F388" s="3"/>
    </row>
    <row r="389" spans="4:6" ht="12.75" customHeight="1" x14ac:dyDescent="0.25">
      <c r="D389" s="3"/>
      <c r="E389" s="3"/>
      <c r="F389" s="3"/>
    </row>
    <row r="390" spans="4:6" ht="12.75" customHeight="1" x14ac:dyDescent="0.25">
      <c r="D390" s="3"/>
      <c r="E390" s="3"/>
      <c r="F390" s="3"/>
    </row>
    <row r="391" spans="4:6" ht="12.75" customHeight="1" x14ac:dyDescent="0.25">
      <c r="D391" s="3"/>
      <c r="E391" s="3"/>
      <c r="F391" s="3"/>
    </row>
    <row r="392" spans="4:6" ht="12.75" customHeight="1" x14ac:dyDescent="0.25">
      <c r="D392" s="3"/>
      <c r="E392" s="3"/>
      <c r="F392" s="3"/>
    </row>
    <row r="393" spans="4:6" ht="12.75" customHeight="1" x14ac:dyDescent="0.25">
      <c r="D393" s="3"/>
      <c r="E393" s="3"/>
      <c r="F393" s="3"/>
    </row>
    <row r="394" spans="4:6" ht="12.75" customHeight="1" x14ac:dyDescent="0.25">
      <c r="D394" s="3"/>
      <c r="E394" s="3"/>
      <c r="F394" s="3"/>
    </row>
    <row r="395" spans="4:6" ht="12.75" customHeight="1" x14ac:dyDescent="0.25">
      <c r="D395" s="3"/>
      <c r="E395" s="3"/>
      <c r="F395" s="3"/>
    </row>
    <row r="396" spans="4:6" ht="12.75" customHeight="1" x14ac:dyDescent="0.25">
      <c r="D396" s="3"/>
      <c r="E396" s="3"/>
      <c r="F396" s="3"/>
    </row>
    <row r="397" spans="4:6" ht="12.75" customHeight="1" x14ac:dyDescent="0.25">
      <c r="D397" s="3"/>
      <c r="E397" s="3"/>
      <c r="F397" s="3"/>
    </row>
    <row r="398" spans="4:6" ht="12.75" customHeight="1" x14ac:dyDescent="0.25">
      <c r="D398" s="3"/>
      <c r="E398" s="3"/>
      <c r="F398" s="3"/>
    </row>
    <row r="399" spans="4:6" ht="12.75" customHeight="1" x14ac:dyDescent="0.25">
      <c r="D399" s="3"/>
      <c r="E399" s="3"/>
      <c r="F399" s="3"/>
    </row>
    <row r="400" spans="4:6" ht="12.75" customHeight="1" x14ac:dyDescent="0.25">
      <c r="D400" s="3"/>
      <c r="E400" s="3"/>
      <c r="F400" s="3"/>
    </row>
    <row r="401" spans="4:6" ht="12.75" customHeight="1" x14ac:dyDescent="0.25">
      <c r="D401" s="3"/>
      <c r="E401" s="3"/>
      <c r="F401" s="3"/>
    </row>
    <row r="402" spans="4:6" ht="12.75" customHeight="1" x14ac:dyDescent="0.25">
      <c r="D402" s="3"/>
      <c r="E402" s="3"/>
      <c r="F402" s="3"/>
    </row>
    <row r="403" spans="4:6" ht="12.75" customHeight="1" x14ac:dyDescent="0.25">
      <c r="D403" s="3"/>
      <c r="E403" s="3"/>
      <c r="F403" s="3"/>
    </row>
    <row r="404" spans="4:6" ht="12.75" customHeight="1" x14ac:dyDescent="0.25">
      <c r="D404" s="3"/>
      <c r="E404" s="3"/>
      <c r="F404" s="3"/>
    </row>
    <row r="405" spans="4:6" ht="12.75" customHeight="1" x14ac:dyDescent="0.25">
      <c r="D405" s="3"/>
      <c r="E405" s="3"/>
      <c r="F405" s="3"/>
    </row>
    <row r="406" spans="4:6" ht="12.75" customHeight="1" x14ac:dyDescent="0.25">
      <c r="D406" s="3"/>
      <c r="E406" s="3"/>
      <c r="F406" s="3"/>
    </row>
    <row r="407" spans="4:6" ht="12.75" customHeight="1" x14ac:dyDescent="0.25">
      <c r="D407" s="3"/>
      <c r="E407" s="3"/>
      <c r="F407" s="3"/>
    </row>
    <row r="408" spans="4:6" ht="12.75" customHeight="1" x14ac:dyDescent="0.25">
      <c r="D408" s="3"/>
      <c r="E408" s="3"/>
      <c r="F408" s="3"/>
    </row>
    <row r="409" spans="4:6" ht="12.75" customHeight="1" x14ac:dyDescent="0.25">
      <c r="D409" s="3"/>
      <c r="E409" s="3"/>
      <c r="F409" s="3"/>
    </row>
    <row r="410" spans="4:6" ht="12.75" customHeight="1" x14ac:dyDescent="0.25">
      <c r="D410" s="3"/>
      <c r="E410" s="3"/>
      <c r="F410" s="3"/>
    </row>
    <row r="411" spans="4:6" ht="12.75" customHeight="1" x14ac:dyDescent="0.25">
      <c r="D411" s="3"/>
      <c r="E411" s="3"/>
      <c r="F411" s="3"/>
    </row>
    <row r="412" spans="4:6" ht="12.75" customHeight="1" x14ac:dyDescent="0.25">
      <c r="D412" s="3"/>
      <c r="E412" s="3"/>
      <c r="F412" s="3"/>
    </row>
    <row r="413" spans="4:6" ht="12.75" customHeight="1" x14ac:dyDescent="0.25">
      <c r="D413" s="3"/>
      <c r="E413" s="3"/>
      <c r="F413" s="3"/>
    </row>
    <row r="414" spans="4:6" ht="12.75" customHeight="1" x14ac:dyDescent="0.25">
      <c r="D414" s="3"/>
      <c r="E414" s="3"/>
      <c r="F414" s="3"/>
    </row>
    <row r="415" spans="4:6" ht="12.75" customHeight="1" x14ac:dyDescent="0.25">
      <c r="D415" s="3"/>
      <c r="E415" s="3"/>
      <c r="F415" s="3"/>
    </row>
    <row r="416" spans="4:6" ht="12.75" customHeight="1" x14ac:dyDescent="0.25">
      <c r="D416" s="3"/>
      <c r="E416" s="3"/>
      <c r="F416" s="3"/>
    </row>
    <row r="417" spans="4:6" ht="12.75" customHeight="1" x14ac:dyDescent="0.25">
      <c r="D417" s="3"/>
      <c r="E417" s="3"/>
      <c r="F417" s="3"/>
    </row>
    <row r="418" spans="4:6" ht="12.75" customHeight="1" x14ac:dyDescent="0.25">
      <c r="D418" s="3"/>
      <c r="E418" s="3"/>
      <c r="F418" s="3"/>
    </row>
    <row r="419" spans="4:6" ht="12.75" customHeight="1" x14ac:dyDescent="0.25">
      <c r="D419" s="3"/>
      <c r="E419" s="3"/>
      <c r="F419" s="3"/>
    </row>
    <row r="420" spans="4:6" ht="12.75" customHeight="1" x14ac:dyDescent="0.25">
      <c r="D420" s="3"/>
      <c r="E420" s="3"/>
      <c r="F420" s="3"/>
    </row>
    <row r="421" spans="4:6" ht="12.75" customHeight="1" x14ac:dyDescent="0.25">
      <c r="D421" s="3"/>
      <c r="E421" s="3"/>
      <c r="F421" s="3"/>
    </row>
    <row r="422" spans="4:6" ht="12.75" customHeight="1" x14ac:dyDescent="0.25">
      <c r="D422" s="3"/>
      <c r="E422" s="3"/>
      <c r="F422" s="3"/>
    </row>
    <row r="423" spans="4:6" ht="12.75" customHeight="1" x14ac:dyDescent="0.25">
      <c r="D423" s="3"/>
      <c r="E423" s="3"/>
      <c r="F423" s="3"/>
    </row>
    <row r="424" spans="4:6" ht="12.75" customHeight="1" x14ac:dyDescent="0.25">
      <c r="D424" s="3"/>
      <c r="E424" s="3"/>
      <c r="F424" s="3"/>
    </row>
    <row r="425" spans="4:6" ht="12.75" customHeight="1" x14ac:dyDescent="0.25">
      <c r="D425" s="3"/>
      <c r="E425" s="3"/>
      <c r="F425" s="3"/>
    </row>
    <row r="426" spans="4:6" ht="12.75" customHeight="1" x14ac:dyDescent="0.25">
      <c r="D426" s="3"/>
      <c r="E426" s="3"/>
      <c r="F426" s="3"/>
    </row>
    <row r="427" spans="4:6" ht="12.75" customHeight="1" x14ac:dyDescent="0.25">
      <c r="D427" s="3"/>
      <c r="E427" s="3"/>
      <c r="F427" s="3"/>
    </row>
    <row r="428" spans="4:6" ht="12.75" customHeight="1" x14ac:dyDescent="0.25">
      <c r="D428" s="3"/>
      <c r="E428" s="3"/>
      <c r="F428" s="3"/>
    </row>
    <row r="429" spans="4:6" ht="12.75" customHeight="1" x14ac:dyDescent="0.25">
      <c r="D429" s="3"/>
      <c r="E429" s="3"/>
      <c r="F429" s="3"/>
    </row>
    <row r="430" spans="4:6" ht="12.75" customHeight="1" x14ac:dyDescent="0.25">
      <c r="D430" s="3"/>
      <c r="E430" s="3"/>
      <c r="F430" s="3"/>
    </row>
    <row r="431" spans="4:6" ht="12.75" customHeight="1" x14ac:dyDescent="0.25">
      <c r="D431" s="3"/>
      <c r="E431" s="3"/>
      <c r="F431" s="3"/>
    </row>
    <row r="432" spans="4:6" ht="12.75" customHeight="1" x14ac:dyDescent="0.25">
      <c r="D432" s="3"/>
      <c r="E432" s="3"/>
      <c r="F432" s="3"/>
    </row>
    <row r="433" spans="4:6" ht="12.75" customHeight="1" x14ac:dyDescent="0.25">
      <c r="D433" s="3"/>
      <c r="E433" s="3"/>
      <c r="F433" s="3"/>
    </row>
    <row r="434" spans="4:6" ht="12.75" customHeight="1" x14ac:dyDescent="0.25">
      <c r="D434" s="3"/>
      <c r="E434" s="3"/>
      <c r="F434" s="3"/>
    </row>
    <row r="435" spans="4:6" ht="12.75" customHeight="1" x14ac:dyDescent="0.25">
      <c r="D435" s="3"/>
      <c r="E435" s="3"/>
      <c r="F435" s="3"/>
    </row>
    <row r="436" spans="4:6" ht="12.75" customHeight="1" x14ac:dyDescent="0.25">
      <c r="D436" s="3"/>
      <c r="E436" s="3"/>
      <c r="F436" s="3"/>
    </row>
    <row r="437" spans="4:6" ht="12.75" customHeight="1" x14ac:dyDescent="0.25">
      <c r="D437" s="3"/>
      <c r="E437" s="3"/>
      <c r="F437" s="3"/>
    </row>
    <row r="438" spans="4:6" ht="12.75" customHeight="1" x14ac:dyDescent="0.25">
      <c r="D438" s="3"/>
      <c r="E438" s="3"/>
      <c r="F438" s="3"/>
    </row>
    <row r="439" spans="4:6" ht="12.75" customHeight="1" x14ac:dyDescent="0.25">
      <c r="D439" s="3"/>
      <c r="E439" s="3"/>
      <c r="F439" s="3"/>
    </row>
    <row r="440" spans="4:6" ht="12.75" customHeight="1" x14ac:dyDescent="0.25">
      <c r="D440" s="3"/>
      <c r="E440" s="3"/>
      <c r="F440" s="3"/>
    </row>
    <row r="441" spans="4:6" ht="12.75" customHeight="1" x14ac:dyDescent="0.25">
      <c r="D441" s="3"/>
      <c r="E441" s="3"/>
      <c r="F441" s="3"/>
    </row>
    <row r="442" spans="4:6" ht="12.75" customHeight="1" x14ac:dyDescent="0.25">
      <c r="D442" s="3"/>
      <c r="E442" s="3"/>
      <c r="F442" s="3"/>
    </row>
    <row r="443" spans="4:6" ht="12.75" customHeight="1" x14ac:dyDescent="0.25">
      <c r="D443" s="3"/>
      <c r="E443" s="3"/>
      <c r="F443" s="3"/>
    </row>
    <row r="444" spans="4:6" ht="12.75" customHeight="1" x14ac:dyDescent="0.25">
      <c r="D444" s="3"/>
      <c r="E444" s="3"/>
      <c r="F444" s="3"/>
    </row>
    <row r="445" spans="4:6" ht="12.75" customHeight="1" x14ac:dyDescent="0.25">
      <c r="D445" s="3"/>
      <c r="E445" s="3"/>
      <c r="F445" s="3"/>
    </row>
    <row r="446" spans="4:6" ht="12.75" customHeight="1" x14ac:dyDescent="0.25">
      <c r="D446" s="3"/>
      <c r="E446" s="3"/>
      <c r="F446" s="3"/>
    </row>
    <row r="447" spans="4:6" ht="12.75" customHeight="1" x14ac:dyDescent="0.25">
      <c r="D447" s="3"/>
      <c r="E447" s="3"/>
      <c r="F447" s="3"/>
    </row>
    <row r="448" spans="4:6" ht="12.75" customHeight="1" x14ac:dyDescent="0.25">
      <c r="D448" s="3"/>
      <c r="E448" s="3"/>
      <c r="F448" s="3"/>
    </row>
    <row r="449" spans="4:6" ht="12.75" customHeight="1" x14ac:dyDescent="0.25">
      <c r="D449" s="3"/>
      <c r="E449" s="3"/>
      <c r="F449" s="3"/>
    </row>
    <row r="450" spans="4:6" ht="12.75" customHeight="1" x14ac:dyDescent="0.25">
      <c r="D450" s="3"/>
      <c r="E450" s="3"/>
      <c r="F450" s="3"/>
    </row>
    <row r="451" spans="4:6" ht="12.75" customHeight="1" x14ac:dyDescent="0.25">
      <c r="D451" s="3"/>
      <c r="E451" s="3"/>
      <c r="F451" s="3"/>
    </row>
    <row r="452" spans="4:6" ht="12.75" customHeight="1" x14ac:dyDescent="0.25">
      <c r="D452" s="3"/>
      <c r="E452" s="3"/>
      <c r="F452" s="3"/>
    </row>
    <row r="453" spans="4:6" ht="12.75" customHeight="1" x14ac:dyDescent="0.25">
      <c r="D453" s="3"/>
      <c r="E453" s="3"/>
      <c r="F453" s="3"/>
    </row>
    <row r="454" spans="4:6" ht="12.75" customHeight="1" x14ac:dyDescent="0.25">
      <c r="D454" s="3"/>
      <c r="E454" s="3"/>
      <c r="F454" s="3"/>
    </row>
    <row r="455" spans="4:6" ht="12.75" customHeight="1" x14ac:dyDescent="0.25">
      <c r="D455" s="3"/>
      <c r="E455" s="3"/>
      <c r="F455" s="3"/>
    </row>
    <row r="456" spans="4:6" ht="12.75" customHeight="1" x14ac:dyDescent="0.25">
      <c r="D456" s="3"/>
      <c r="E456" s="3"/>
      <c r="F456" s="3"/>
    </row>
    <row r="457" spans="4:6" ht="12.75" customHeight="1" x14ac:dyDescent="0.25">
      <c r="D457" s="3"/>
      <c r="E457" s="3"/>
      <c r="F457" s="3"/>
    </row>
    <row r="458" spans="4:6" ht="12.75" customHeight="1" x14ac:dyDescent="0.25">
      <c r="D458" s="3"/>
      <c r="E458" s="3"/>
      <c r="F458" s="3"/>
    </row>
    <row r="459" spans="4:6" ht="12.75" customHeight="1" x14ac:dyDescent="0.25">
      <c r="D459" s="3"/>
      <c r="E459" s="3"/>
      <c r="F459" s="3"/>
    </row>
    <row r="460" spans="4:6" ht="12.75" customHeight="1" x14ac:dyDescent="0.25">
      <c r="D460" s="3"/>
      <c r="E460" s="3"/>
      <c r="F460" s="3"/>
    </row>
    <row r="461" spans="4:6" ht="12.75" customHeight="1" x14ac:dyDescent="0.25">
      <c r="D461" s="3"/>
      <c r="E461" s="3"/>
      <c r="F461" s="3"/>
    </row>
    <row r="462" spans="4:6" ht="12.75" customHeight="1" x14ac:dyDescent="0.25">
      <c r="D462" s="3"/>
      <c r="E462" s="3"/>
      <c r="F462" s="3"/>
    </row>
    <row r="463" spans="4:6" ht="12.75" customHeight="1" x14ac:dyDescent="0.25">
      <c r="D463" s="3"/>
      <c r="E463" s="3"/>
      <c r="F463" s="3"/>
    </row>
    <row r="464" spans="4:6" ht="12.75" customHeight="1" x14ac:dyDescent="0.25">
      <c r="D464" s="3"/>
      <c r="E464" s="3"/>
      <c r="F464" s="3"/>
    </row>
    <row r="465" spans="4:6" ht="12.75" customHeight="1" x14ac:dyDescent="0.25">
      <c r="D465" s="3"/>
      <c r="E465" s="3"/>
      <c r="F465" s="3"/>
    </row>
    <row r="466" spans="4:6" ht="12.75" customHeight="1" x14ac:dyDescent="0.25">
      <c r="D466" s="3"/>
      <c r="E466" s="3"/>
      <c r="F466" s="3"/>
    </row>
    <row r="467" spans="4:6" ht="12.75" customHeight="1" x14ac:dyDescent="0.25">
      <c r="D467" s="3"/>
      <c r="E467" s="3"/>
      <c r="F467" s="3"/>
    </row>
    <row r="468" spans="4:6" ht="12.75" customHeight="1" x14ac:dyDescent="0.25">
      <c r="D468" s="3"/>
      <c r="E468" s="3"/>
      <c r="F468" s="3"/>
    </row>
    <row r="469" spans="4:6" ht="12.75" customHeight="1" x14ac:dyDescent="0.25">
      <c r="D469" s="3"/>
      <c r="E469" s="3"/>
      <c r="F469" s="3"/>
    </row>
    <row r="470" spans="4:6" ht="12.75" customHeight="1" x14ac:dyDescent="0.25">
      <c r="D470" s="3"/>
      <c r="E470" s="3"/>
      <c r="F470" s="3"/>
    </row>
    <row r="471" spans="4:6" ht="12.75" customHeight="1" x14ac:dyDescent="0.25">
      <c r="D471" s="3"/>
      <c r="E471" s="3"/>
      <c r="F471" s="3"/>
    </row>
    <row r="472" spans="4:6" ht="12.75" customHeight="1" x14ac:dyDescent="0.25">
      <c r="D472" s="3"/>
      <c r="E472" s="3"/>
      <c r="F472" s="3"/>
    </row>
    <row r="473" spans="4:6" ht="12.75" customHeight="1" x14ac:dyDescent="0.25">
      <c r="D473" s="3"/>
      <c r="E473" s="3"/>
      <c r="F473" s="3"/>
    </row>
    <row r="474" spans="4:6" ht="12.75" customHeight="1" x14ac:dyDescent="0.25">
      <c r="D474" s="3"/>
      <c r="E474" s="3"/>
      <c r="F474" s="3"/>
    </row>
    <row r="475" spans="4:6" ht="12.75" customHeight="1" x14ac:dyDescent="0.25">
      <c r="D475" s="3"/>
      <c r="E475" s="3"/>
      <c r="F475" s="3"/>
    </row>
    <row r="476" spans="4:6" ht="12.75" customHeight="1" x14ac:dyDescent="0.25">
      <c r="D476" s="3"/>
      <c r="E476" s="3"/>
      <c r="F476" s="3"/>
    </row>
    <row r="477" spans="4:6" ht="12.75" customHeight="1" x14ac:dyDescent="0.25">
      <c r="D477" s="3"/>
      <c r="E477" s="3"/>
      <c r="F477" s="3"/>
    </row>
    <row r="478" spans="4:6" ht="12.75" customHeight="1" x14ac:dyDescent="0.25">
      <c r="D478" s="3"/>
      <c r="E478" s="3"/>
      <c r="F478" s="3"/>
    </row>
    <row r="479" spans="4:6" ht="12.75" customHeight="1" x14ac:dyDescent="0.25">
      <c r="D479" s="3"/>
      <c r="E479" s="3"/>
      <c r="F479" s="3"/>
    </row>
    <row r="480" spans="4:6" ht="12.75" customHeight="1" x14ac:dyDescent="0.25">
      <c r="D480" s="3"/>
      <c r="E480" s="3"/>
      <c r="F480" s="3"/>
    </row>
    <row r="481" spans="4:6" ht="12.75" customHeight="1" x14ac:dyDescent="0.25">
      <c r="D481" s="3"/>
      <c r="E481" s="3"/>
      <c r="F481" s="3"/>
    </row>
    <row r="482" spans="4:6" ht="12.75" customHeight="1" x14ac:dyDescent="0.25">
      <c r="D482" s="3"/>
      <c r="E482" s="3"/>
      <c r="F482" s="3"/>
    </row>
    <row r="483" spans="4:6" ht="12.75" customHeight="1" x14ac:dyDescent="0.25">
      <c r="D483" s="3"/>
      <c r="E483" s="3"/>
      <c r="F483" s="3"/>
    </row>
    <row r="484" spans="4:6" ht="12.75" customHeight="1" x14ac:dyDescent="0.25">
      <c r="D484" s="3"/>
      <c r="E484" s="3"/>
      <c r="F484" s="3"/>
    </row>
    <row r="485" spans="4:6" ht="12.75" customHeight="1" x14ac:dyDescent="0.25">
      <c r="D485" s="3"/>
      <c r="E485" s="3"/>
      <c r="F485" s="3"/>
    </row>
    <row r="486" spans="4:6" ht="12.75" customHeight="1" x14ac:dyDescent="0.25">
      <c r="D486" s="3"/>
      <c r="E486" s="3"/>
      <c r="F486" s="3"/>
    </row>
    <row r="487" spans="4:6" ht="12.75" customHeight="1" x14ac:dyDescent="0.25">
      <c r="D487" s="3"/>
      <c r="E487" s="3"/>
      <c r="F487" s="3"/>
    </row>
    <row r="488" spans="4:6" ht="12.75" customHeight="1" x14ac:dyDescent="0.25">
      <c r="D488" s="3"/>
      <c r="E488" s="3"/>
      <c r="F488" s="3"/>
    </row>
    <row r="489" spans="4:6" ht="12.75" customHeight="1" x14ac:dyDescent="0.25">
      <c r="D489" s="3"/>
      <c r="E489" s="3"/>
      <c r="F489" s="3"/>
    </row>
    <row r="490" spans="4:6" ht="12.75" customHeight="1" x14ac:dyDescent="0.25">
      <c r="D490" s="3"/>
      <c r="E490" s="3"/>
      <c r="F490" s="3"/>
    </row>
    <row r="491" spans="4:6" ht="12.75" customHeight="1" x14ac:dyDescent="0.25">
      <c r="D491" s="3"/>
      <c r="E491" s="3"/>
      <c r="F491" s="3"/>
    </row>
    <row r="492" spans="4:6" ht="12.75" customHeight="1" x14ac:dyDescent="0.25">
      <c r="D492" s="3"/>
      <c r="E492" s="3"/>
      <c r="F492" s="3"/>
    </row>
    <row r="493" spans="4:6" ht="12.75" customHeight="1" x14ac:dyDescent="0.25">
      <c r="D493" s="3"/>
      <c r="E493" s="3"/>
      <c r="F493" s="3"/>
    </row>
    <row r="494" spans="4:6" ht="12.75" customHeight="1" x14ac:dyDescent="0.25">
      <c r="D494" s="3"/>
      <c r="E494" s="3"/>
      <c r="F494" s="3"/>
    </row>
    <row r="495" spans="4:6" ht="12.75" customHeight="1" x14ac:dyDescent="0.25">
      <c r="D495" s="3"/>
      <c r="E495" s="3"/>
      <c r="F495" s="3"/>
    </row>
    <row r="496" spans="4:6" ht="12.75" customHeight="1" x14ac:dyDescent="0.25">
      <c r="D496" s="3"/>
      <c r="E496" s="3"/>
      <c r="F496" s="3"/>
    </row>
    <row r="497" spans="4:6" ht="12.75" customHeight="1" x14ac:dyDescent="0.25">
      <c r="D497" s="3"/>
      <c r="E497" s="3"/>
      <c r="F497" s="3"/>
    </row>
    <row r="498" spans="4:6" ht="12.75" customHeight="1" x14ac:dyDescent="0.25">
      <c r="D498" s="3"/>
      <c r="E498" s="3"/>
      <c r="F498" s="3"/>
    </row>
    <row r="499" spans="4:6" ht="12.75" customHeight="1" x14ac:dyDescent="0.25">
      <c r="D499" s="3"/>
      <c r="E499" s="3"/>
      <c r="F499" s="3"/>
    </row>
    <row r="500" spans="4:6" ht="12.75" customHeight="1" x14ac:dyDescent="0.25">
      <c r="D500" s="3"/>
      <c r="E500" s="3"/>
      <c r="F500" s="3"/>
    </row>
    <row r="501" spans="4:6" ht="12.75" customHeight="1" x14ac:dyDescent="0.25">
      <c r="D501" s="3"/>
      <c r="E501" s="3"/>
      <c r="F501" s="3"/>
    </row>
    <row r="502" spans="4:6" ht="12.75" customHeight="1" x14ac:dyDescent="0.25">
      <c r="D502" s="3"/>
      <c r="E502" s="3"/>
      <c r="F502" s="3"/>
    </row>
    <row r="503" spans="4:6" ht="12.75" customHeight="1" x14ac:dyDescent="0.25">
      <c r="D503" s="3"/>
      <c r="E503" s="3"/>
      <c r="F503" s="3"/>
    </row>
    <row r="504" spans="4:6" ht="12.75" customHeight="1" x14ac:dyDescent="0.25">
      <c r="D504" s="3"/>
      <c r="E504" s="3"/>
      <c r="F504" s="3"/>
    </row>
    <row r="505" spans="4:6" ht="12.75" customHeight="1" x14ac:dyDescent="0.25">
      <c r="D505" s="3"/>
      <c r="E505" s="3"/>
      <c r="F505" s="3"/>
    </row>
    <row r="506" spans="4:6" ht="12.75" customHeight="1" x14ac:dyDescent="0.25">
      <c r="D506" s="3"/>
      <c r="E506" s="3"/>
      <c r="F506" s="3"/>
    </row>
    <row r="507" spans="4:6" ht="12.75" customHeight="1" x14ac:dyDescent="0.25">
      <c r="D507" s="3"/>
      <c r="E507" s="3"/>
      <c r="F507" s="3"/>
    </row>
    <row r="508" spans="4:6" ht="12.75" customHeight="1" x14ac:dyDescent="0.25">
      <c r="D508" s="3"/>
      <c r="E508" s="3"/>
      <c r="F508" s="3"/>
    </row>
    <row r="509" spans="4:6" ht="12.75" customHeight="1" x14ac:dyDescent="0.25">
      <c r="D509" s="3"/>
      <c r="E509" s="3"/>
      <c r="F509" s="3"/>
    </row>
    <row r="510" spans="4:6" ht="12.75" customHeight="1" x14ac:dyDescent="0.25">
      <c r="D510" s="3"/>
      <c r="E510" s="3"/>
      <c r="F510" s="3"/>
    </row>
    <row r="511" spans="4:6" ht="12.75" customHeight="1" x14ac:dyDescent="0.25">
      <c r="D511" s="3"/>
      <c r="E511" s="3"/>
      <c r="F511" s="3"/>
    </row>
    <row r="512" spans="4:6" ht="12.75" customHeight="1" x14ac:dyDescent="0.25">
      <c r="D512" s="3"/>
      <c r="E512" s="3"/>
      <c r="F512" s="3"/>
    </row>
    <row r="513" spans="4:6" ht="12.75" customHeight="1" x14ac:dyDescent="0.25">
      <c r="D513" s="3"/>
      <c r="E513" s="3"/>
      <c r="F513" s="3"/>
    </row>
    <row r="514" spans="4:6" ht="12.75" customHeight="1" x14ac:dyDescent="0.25">
      <c r="D514" s="3"/>
      <c r="E514" s="3"/>
      <c r="F514" s="3"/>
    </row>
    <row r="515" spans="4:6" ht="12.75" customHeight="1" x14ac:dyDescent="0.25">
      <c r="D515" s="3"/>
      <c r="E515" s="3"/>
      <c r="F515" s="3"/>
    </row>
    <row r="516" spans="4:6" ht="12.75" customHeight="1" x14ac:dyDescent="0.25">
      <c r="D516" s="3"/>
      <c r="E516" s="3"/>
      <c r="F516" s="3"/>
    </row>
    <row r="517" spans="4:6" ht="12.75" customHeight="1" x14ac:dyDescent="0.25">
      <c r="D517" s="3"/>
      <c r="E517" s="3"/>
      <c r="F517" s="3"/>
    </row>
    <row r="518" spans="4:6" ht="12.75" customHeight="1" x14ac:dyDescent="0.25">
      <c r="D518" s="3"/>
      <c r="E518" s="3"/>
      <c r="F518" s="3"/>
    </row>
    <row r="519" spans="4:6" ht="12.75" customHeight="1" x14ac:dyDescent="0.25">
      <c r="D519" s="3"/>
      <c r="E519" s="3"/>
      <c r="F519" s="3"/>
    </row>
    <row r="520" spans="4:6" ht="12.75" customHeight="1" x14ac:dyDescent="0.25">
      <c r="D520" s="3"/>
      <c r="E520" s="3"/>
      <c r="F520" s="3"/>
    </row>
    <row r="521" spans="4:6" ht="12.75" customHeight="1" x14ac:dyDescent="0.25">
      <c r="D521" s="3"/>
      <c r="E521" s="3"/>
      <c r="F521" s="3"/>
    </row>
    <row r="522" spans="4:6" ht="12.75" customHeight="1" x14ac:dyDescent="0.25">
      <c r="D522" s="3"/>
      <c r="E522" s="3"/>
      <c r="F522" s="3"/>
    </row>
    <row r="523" spans="4:6" ht="12.75" customHeight="1" x14ac:dyDescent="0.25">
      <c r="D523" s="3"/>
      <c r="E523" s="3"/>
      <c r="F523" s="3"/>
    </row>
    <row r="524" spans="4:6" ht="12.75" customHeight="1" x14ac:dyDescent="0.25">
      <c r="D524" s="3"/>
      <c r="E524" s="3"/>
      <c r="F524" s="3"/>
    </row>
    <row r="525" spans="4:6" ht="12.75" customHeight="1" x14ac:dyDescent="0.25">
      <c r="D525" s="3"/>
      <c r="E525" s="3"/>
      <c r="F525" s="3"/>
    </row>
    <row r="526" spans="4:6" ht="12.75" customHeight="1" x14ac:dyDescent="0.25">
      <c r="D526" s="3"/>
      <c r="E526" s="3"/>
      <c r="F526" s="3"/>
    </row>
    <row r="527" spans="4:6" ht="12.75" customHeight="1" x14ac:dyDescent="0.25">
      <c r="D527" s="3"/>
      <c r="E527" s="3"/>
      <c r="F527" s="3"/>
    </row>
    <row r="528" spans="4:6" ht="12.75" customHeight="1" x14ac:dyDescent="0.25">
      <c r="D528" s="3"/>
      <c r="E528" s="3"/>
      <c r="F528" s="3"/>
    </row>
    <row r="529" spans="4:6" ht="12.75" customHeight="1" x14ac:dyDescent="0.25">
      <c r="D529" s="3"/>
      <c r="E529" s="3"/>
      <c r="F529" s="3"/>
    </row>
    <row r="530" spans="4:6" ht="12.75" customHeight="1" x14ac:dyDescent="0.25">
      <c r="D530" s="3"/>
      <c r="E530" s="3"/>
      <c r="F530" s="3"/>
    </row>
    <row r="531" spans="4:6" ht="12.75" customHeight="1" x14ac:dyDescent="0.25">
      <c r="D531" s="3"/>
      <c r="E531" s="3"/>
      <c r="F531" s="3"/>
    </row>
    <row r="532" spans="4:6" ht="12.75" customHeight="1" x14ac:dyDescent="0.25">
      <c r="D532" s="3"/>
      <c r="E532" s="3"/>
      <c r="F532" s="3"/>
    </row>
    <row r="533" spans="4:6" ht="12.75" customHeight="1" x14ac:dyDescent="0.25">
      <c r="D533" s="3"/>
      <c r="E533" s="3"/>
      <c r="F533" s="3"/>
    </row>
    <row r="534" spans="4:6" ht="12.75" customHeight="1" x14ac:dyDescent="0.25">
      <c r="D534" s="3"/>
      <c r="E534" s="3"/>
      <c r="F534" s="3"/>
    </row>
    <row r="535" spans="4:6" ht="12.75" customHeight="1" x14ac:dyDescent="0.25">
      <c r="D535" s="3"/>
      <c r="E535" s="3"/>
      <c r="F535" s="3"/>
    </row>
    <row r="536" spans="4:6" ht="12.75" customHeight="1" x14ac:dyDescent="0.25">
      <c r="D536" s="3"/>
      <c r="E536" s="3"/>
      <c r="F536" s="3"/>
    </row>
    <row r="537" spans="4:6" ht="12.75" customHeight="1" x14ac:dyDescent="0.25">
      <c r="D537" s="3"/>
      <c r="E537" s="3"/>
      <c r="F537" s="3"/>
    </row>
    <row r="538" spans="4:6" ht="12.75" customHeight="1" x14ac:dyDescent="0.25">
      <c r="D538" s="3"/>
      <c r="E538" s="3"/>
      <c r="F538" s="3"/>
    </row>
    <row r="539" spans="4:6" ht="12.75" customHeight="1" x14ac:dyDescent="0.25">
      <c r="D539" s="3"/>
      <c r="E539" s="3"/>
      <c r="F539" s="3"/>
    </row>
    <row r="540" spans="4:6" ht="12.75" customHeight="1" x14ac:dyDescent="0.25">
      <c r="D540" s="3"/>
      <c r="E540" s="3"/>
      <c r="F540" s="3"/>
    </row>
    <row r="541" spans="4:6" ht="12.75" customHeight="1" x14ac:dyDescent="0.25">
      <c r="D541" s="3"/>
      <c r="E541" s="3"/>
      <c r="F541" s="3"/>
    </row>
    <row r="542" spans="4:6" ht="12.75" customHeight="1" x14ac:dyDescent="0.25">
      <c r="D542" s="3"/>
      <c r="E542" s="3"/>
      <c r="F542" s="3"/>
    </row>
    <row r="543" spans="4:6" ht="12.75" customHeight="1" x14ac:dyDescent="0.25">
      <c r="D543" s="3"/>
      <c r="E543" s="3"/>
      <c r="F543" s="3"/>
    </row>
    <row r="544" spans="4:6" ht="12.75" customHeight="1" x14ac:dyDescent="0.25">
      <c r="D544" s="3"/>
      <c r="E544" s="3"/>
      <c r="F544" s="3"/>
    </row>
    <row r="545" spans="4:6" ht="12.75" customHeight="1" x14ac:dyDescent="0.25">
      <c r="D545" s="3"/>
      <c r="E545" s="3"/>
      <c r="F545" s="3"/>
    </row>
    <row r="546" spans="4:6" ht="12.75" customHeight="1" x14ac:dyDescent="0.25">
      <c r="D546" s="3"/>
      <c r="E546" s="3"/>
      <c r="F546" s="3"/>
    </row>
    <row r="547" spans="4:6" ht="12.75" customHeight="1" x14ac:dyDescent="0.25">
      <c r="D547" s="3"/>
      <c r="E547" s="3"/>
      <c r="F547" s="3"/>
    </row>
    <row r="548" spans="4:6" ht="12.75" customHeight="1" x14ac:dyDescent="0.25">
      <c r="D548" s="3"/>
      <c r="E548" s="3"/>
      <c r="F548" s="3"/>
    </row>
    <row r="549" spans="4:6" ht="12.75" customHeight="1" x14ac:dyDescent="0.25">
      <c r="D549" s="3"/>
      <c r="E549" s="3"/>
      <c r="F549" s="3"/>
    </row>
    <row r="550" spans="4:6" ht="12.75" customHeight="1" x14ac:dyDescent="0.25">
      <c r="D550" s="3"/>
      <c r="E550" s="3"/>
      <c r="F550" s="3"/>
    </row>
    <row r="551" spans="4:6" ht="12.75" customHeight="1" x14ac:dyDescent="0.25">
      <c r="D551" s="3"/>
      <c r="E551" s="3"/>
      <c r="F551" s="3"/>
    </row>
    <row r="552" spans="4:6" ht="12.75" customHeight="1" x14ac:dyDescent="0.25">
      <c r="D552" s="3"/>
      <c r="E552" s="3"/>
      <c r="F552" s="3"/>
    </row>
    <row r="553" spans="4:6" ht="12.75" customHeight="1" x14ac:dyDescent="0.25">
      <c r="D553" s="3"/>
      <c r="E553" s="3"/>
      <c r="F553" s="3"/>
    </row>
    <row r="554" spans="4:6" ht="12.75" customHeight="1" x14ac:dyDescent="0.25">
      <c r="D554" s="3"/>
      <c r="E554" s="3"/>
      <c r="F554" s="3"/>
    </row>
    <row r="555" spans="4:6" ht="12.75" customHeight="1" x14ac:dyDescent="0.25">
      <c r="D555" s="3"/>
      <c r="E555" s="3"/>
      <c r="F555" s="3"/>
    </row>
    <row r="556" spans="4:6" ht="12.75" customHeight="1" x14ac:dyDescent="0.25">
      <c r="D556" s="3"/>
      <c r="E556" s="3"/>
      <c r="F556" s="3"/>
    </row>
    <row r="557" spans="4:6" ht="12.75" customHeight="1" x14ac:dyDescent="0.25">
      <c r="D557" s="3"/>
      <c r="E557" s="3"/>
      <c r="F557" s="3"/>
    </row>
    <row r="558" spans="4:6" ht="12.75" customHeight="1" x14ac:dyDescent="0.25">
      <c r="D558" s="3"/>
      <c r="E558" s="3"/>
      <c r="F558" s="3"/>
    </row>
    <row r="559" spans="4:6" ht="12.75" customHeight="1" x14ac:dyDescent="0.25">
      <c r="D559" s="3"/>
      <c r="E559" s="3"/>
      <c r="F559" s="3"/>
    </row>
    <row r="560" spans="4:6" ht="12.75" customHeight="1" x14ac:dyDescent="0.25">
      <c r="D560" s="3"/>
      <c r="E560" s="3"/>
      <c r="F560" s="3"/>
    </row>
    <row r="561" spans="4:6" ht="12.75" customHeight="1" x14ac:dyDescent="0.25">
      <c r="D561" s="3"/>
      <c r="E561" s="3"/>
      <c r="F561" s="3"/>
    </row>
    <row r="562" spans="4:6" ht="12.75" customHeight="1" x14ac:dyDescent="0.25">
      <c r="D562" s="3"/>
      <c r="E562" s="3"/>
      <c r="F562" s="3"/>
    </row>
    <row r="563" spans="4:6" ht="12.75" customHeight="1" x14ac:dyDescent="0.25">
      <c r="D563" s="3"/>
      <c r="E563" s="3"/>
      <c r="F563" s="3"/>
    </row>
    <row r="564" spans="4:6" ht="12.75" customHeight="1" x14ac:dyDescent="0.25">
      <c r="D564" s="3"/>
      <c r="E564" s="3"/>
      <c r="F564" s="3"/>
    </row>
    <row r="565" spans="4:6" ht="12.75" customHeight="1" x14ac:dyDescent="0.25">
      <c r="D565" s="3"/>
      <c r="E565" s="3"/>
      <c r="F565" s="3"/>
    </row>
    <row r="566" spans="4:6" ht="12.75" customHeight="1" x14ac:dyDescent="0.25">
      <c r="D566" s="3"/>
      <c r="E566" s="3"/>
      <c r="F566" s="3"/>
    </row>
    <row r="567" spans="4:6" ht="12.75" customHeight="1" x14ac:dyDescent="0.25">
      <c r="D567" s="3"/>
      <c r="E567" s="3"/>
      <c r="F567" s="3"/>
    </row>
    <row r="568" spans="4:6" ht="12.75" customHeight="1" x14ac:dyDescent="0.25">
      <c r="D568" s="3"/>
      <c r="E568" s="3"/>
      <c r="F568" s="3"/>
    </row>
    <row r="569" spans="4:6" ht="12.75" customHeight="1" x14ac:dyDescent="0.25">
      <c r="D569" s="3"/>
      <c r="E569" s="3"/>
      <c r="F569" s="3"/>
    </row>
    <row r="570" spans="4:6" ht="12.75" customHeight="1" x14ac:dyDescent="0.25">
      <c r="D570" s="3"/>
      <c r="E570" s="3"/>
      <c r="F570" s="3"/>
    </row>
    <row r="571" spans="4:6" ht="12.75" customHeight="1" x14ac:dyDescent="0.25">
      <c r="D571" s="3"/>
      <c r="E571" s="3"/>
      <c r="F571" s="3"/>
    </row>
    <row r="572" spans="4:6" ht="12.75" customHeight="1" x14ac:dyDescent="0.25">
      <c r="D572" s="3"/>
      <c r="E572" s="3"/>
      <c r="F572" s="3"/>
    </row>
    <row r="573" spans="4:6" ht="12.75" customHeight="1" x14ac:dyDescent="0.25">
      <c r="D573" s="3"/>
      <c r="E573" s="3"/>
      <c r="F573" s="3"/>
    </row>
    <row r="574" spans="4:6" ht="12.75" customHeight="1" x14ac:dyDescent="0.25">
      <c r="D574" s="3"/>
      <c r="E574" s="3"/>
      <c r="F574" s="3"/>
    </row>
    <row r="575" spans="4:6" ht="12.75" customHeight="1" x14ac:dyDescent="0.25">
      <c r="D575" s="3"/>
      <c r="E575" s="3"/>
      <c r="F575" s="3"/>
    </row>
    <row r="576" spans="4:6" ht="12.75" customHeight="1" x14ac:dyDescent="0.25">
      <c r="D576" s="3"/>
      <c r="E576" s="3"/>
      <c r="F576" s="3"/>
    </row>
    <row r="577" spans="4:6" ht="12.75" customHeight="1" x14ac:dyDescent="0.25">
      <c r="D577" s="3"/>
      <c r="E577" s="3"/>
      <c r="F577" s="3"/>
    </row>
    <row r="578" spans="4:6" ht="12.75" customHeight="1" x14ac:dyDescent="0.25">
      <c r="D578" s="3"/>
      <c r="E578" s="3"/>
      <c r="F578" s="3"/>
    </row>
    <row r="579" spans="4:6" ht="12.75" customHeight="1" x14ac:dyDescent="0.25">
      <c r="D579" s="3"/>
      <c r="E579" s="3"/>
      <c r="F579" s="3"/>
    </row>
    <row r="580" spans="4:6" ht="12.75" customHeight="1" x14ac:dyDescent="0.25">
      <c r="D580" s="3"/>
      <c r="E580" s="3"/>
      <c r="F580" s="3"/>
    </row>
    <row r="581" spans="4:6" ht="12.75" customHeight="1" x14ac:dyDescent="0.25">
      <c r="D581" s="3"/>
      <c r="E581" s="3"/>
      <c r="F581" s="3"/>
    </row>
    <row r="582" spans="4:6" ht="12.75" customHeight="1" x14ac:dyDescent="0.25">
      <c r="D582" s="3"/>
      <c r="E582" s="3"/>
      <c r="F582" s="3"/>
    </row>
    <row r="583" spans="4:6" ht="12.75" customHeight="1" x14ac:dyDescent="0.25">
      <c r="D583" s="3"/>
      <c r="E583" s="3"/>
      <c r="F583" s="3"/>
    </row>
    <row r="584" spans="4:6" ht="12.75" customHeight="1" x14ac:dyDescent="0.25">
      <c r="D584" s="3"/>
      <c r="E584" s="3"/>
      <c r="F584" s="3"/>
    </row>
    <row r="585" spans="4:6" ht="12.75" customHeight="1" x14ac:dyDescent="0.25">
      <c r="D585" s="3"/>
      <c r="E585" s="3"/>
      <c r="F585" s="3"/>
    </row>
    <row r="586" spans="4:6" ht="12.75" customHeight="1" x14ac:dyDescent="0.25">
      <c r="D586" s="3"/>
      <c r="E586" s="3"/>
      <c r="F586" s="3"/>
    </row>
    <row r="587" spans="4:6" ht="12.75" customHeight="1" x14ac:dyDescent="0.25">
      <c r="D587" s="3"/>
      <c r="E587" s="3"/>
      <c r="F587" s="3"/>
    </row>
    <row r="588" spans="4:6" ht="12.75" customHeight="1" x14ac:dyDescent="0.25">
      <c r="D588" s="3"/>
      <c r="E588" s="3"/>
      <c r="F588" s="3"/>
    </row>
    <row r="589" spans="4:6" ht="12.75" customHeight="1" x14ac:dyDescent="0.25">
      <c r="D589" s="3"/>
      <c r="E589" s="3"/>
      <c r="F589" s="3"/>
    </row>
    <row r="590" spans="4:6" ht="12.75" customHeight="1" x14ac:dyDescent="0.25">
      <c r="D590" s="3"/>
      <c r="E590" s="3"/>
      <c r="F590" s="3"/>
    </row>
    <row r="591" spans="4:6" ht="12.75" customHeight="1" x14ac:dyDescent="0.25">
      <c r="D591" s="3"/>
      <c r="E591" s="3"/>
      <c r="F591" s="3"/>
    </row>
    <row r="592" spans="4:6" ht="12.75" customHeight="1" x14ac:dyDescent="0.25">
      <c r="D592" s="3"/>
      <c r="E592" s="3"/>
      <c r="F592" s="3"/>
    </row>
    <row r="593" spans="4:6" ht="12.75" customHeight="1" x14ac:dyDescent="0.25">
      <c r="D593" s="3"/>
      <c r="E593" s="3"/>
      <c r="F593" s="3"/>
    </row>
    <row r="594" spans="4:6" ht="12.75" customHeight="1" x14ac:dyDescent="0.25">
      <c r="D594" s="3"/>
      <c r="E594" s="3"/>
      <c r="F594" s="3"/>
    </row>
    <row r="595" spans="4:6" ht="12.75" customHeight="1" x14ac:dyDescent="0.25">
      <c r="D595" s="3"/>
      <c r="E595" s="3"/>
      <c r="F595" s="3"/>
    </row>
    <row r="596" spans="4:6" ht="12.75" customHeight="1" x14ac:dyDescent="0.25">
      <c r="D596" s="3"/>
      <c r="E596" s="3"/>
      <c r="F596" s="3"/>
    </row>
    <row r="597" spans="4:6" ht="12.75" customHeight="1" x14ac:dyDescent="0.25">
      <c r="D597" s="3"/>
      <c r="E597" s="3"/>
      <c r="F597" s="3"/>
    </row>
    <row r="598" spans="4:6" ht="12.75" customHeight="1" x14ac:dyDescent="0.25">
      <c r="D598" s="3"/>
      <c r="E598" s="3"/>
      <c r="F598" s="3"/>
    </row>
    <row r="599" spans="4:6" ht="12.75" customHeight="1" x14ac:dyDescent="0.25">
      <c r="D599" s="3"/>
      <c r="E599" s="3"/>
      <c r="F599" s="3"/>
    </row>
    <row r="600" spans="4:6" ht="12.75" customHeight="1" x14ac:dyDescent="0.25">
      <c r="D600" s="3"/>
      <c r="E600" s="3"/>
      <c r="F600" s="3"/>
    </row>
    <row r="601" spans="4:6" ht="12.75" customHeight="1" x14ac:dyDescent="0.25">
      <c r="D601" s="3"/>
      <c r="E601" s="3"/>
      <c r="F601" s="3"/>
    </row>
    <row r="602" spans="4:6" ht="12.75" customHeight="1" x14ac:dyDescent="0.25">
      <c r="D602" s="3"/>
      <c r="E602" s="3"/>
      <c r="F602" s="3"/>
    </row>
    <row r="603" spans="4:6" ht="12.75" customHeight="1" x14ac:dyDescent="0.25">
      <c r="D603" s="3"/>
      <c r="E603" s="3"/>
      <c r="F603" s="3"/>
    </row>
    <row r="604" spans="4:6" ht="12.75" customHeight="1" x14ac:dyDescent="0.25">
      <c r="D604" s="3"/>
      <c r="E604" s="3"/>
      <c r="F604" s="3"/>
    </row>
    <row r="605" spans="4:6" ht="12.75" customHeight="1" x14ac:dyDescent="0.25">
      <c r="D605" s="3"/>
      <c r="E605" s="3"/>
      <c r="F605" s="3"/>
    </row>
    <row r="606" spans="4:6" ht="12.75" customHeight="1" x14ac:dyDescent="0.25">
      <c r="D606" s="3"/>
      <c r="E606" s="3"/>
      <c r="F606" s="3"/>
    </row>
    <row r="607" spans="4:6" ht="12.75" customHeight="1" x14ac:dyDescent="0.25">
      <c r="D607" s="3"/>
      <c r="E607" s="3"/>
      <c r="F607" s="3"/>
    </row>
    <row r="608" spans="4:6" ht="12.75" customHeight="1" x14ac:dyDescent="0.25">
      <c r="D608" s="3"/>
      <c r="E608" s="3"/>
      <c r="F608" s="3"/>
    </row>
    <row r="609" spans="4:6" ht="12.75" customHeight="1" x14ac:dyDescent="0.25">
      <c r="D609" s="3"/>
      <c r="E609" s="3"/>
      <c r="F609" s="3"/>
    </row>
    <row r="610" spans="4:6" ht="12.75" customHeight="1" x14ac:dyDescent="0.25">
      <c r="D610" s="3"/>
      <c r="E610" s="3"/>
      <c r="F610" s="3"/>
    </row>
    <row r="611" spans="4:6" ht="12.75" customHeight="1" x14ac:dyDescent="0.25">
      <c r="D611" s="3"/>
      <c r="E611" s="3"/>
      <c r="F611" s="3"/>
    </row>
    <row r="612" spans="4:6" ht="12.75" customHeight="1" x14ac:dyDescent="0.25">
      <c r="D612" s="3"/>
      <c r="E612" s="3"/>
      <c r="F612" s="3"/>
    </row>
    <row r="613" spans="4:6" ht="12.75" customHeight="1" x14ac:dyDescent="0.25">
      <c r="D613" s="3"/>
      <c r="E613" s="3"/>
      <c r="F613" s="3"/>
    </row>
    <row r="614" spans="4:6" ht="12.75" customHeight="1" x14ac:dyDescent="0.25">
      <c r="D614" s="3"/>
      <c r="E614" s="3"/>
      <c r="F614" s="3"/>
    </row>
    <row r="615" spans="4:6" ht="12.75" customHeight="1" x14ac:dyDescent="0.25">
      <c r="D615" s="3"/>
      <c r="E615" s="3"/>
      <c r="F615" s="3"/>
    </row>
    <row r="616" spans="4:6" ht="12.75" customHeight="1" x14ac:dyDescent="0.25">
      <c r="D616" s="3"/>
      <c r="E616" s="3"/>
      <c r="F616" s="3"/>
    </row>
    <row r="617" spans="4:6" ht="12.75" customHeight="1" x14ac:dyDescent="0.25">
      <c r="D617" s="3"/>
      <c r="E617" s="3"/>
      <c r="F617" s="3"/>
    </row>
    <row r="618" spans="4:6" ht="12.75" customHeight="1" x14ac:dyDescent="0.25">
      <c r="D618" s="3"/>
      <c r="E618" s="3"/>
      <c r="F618" s="3"/>
    </row>
    <row r="619" spans="4:6" ht="12.75" customHeight="1" x14ac:dyDescent="0.25">
      <c r="D619" s="3"/>
      <c r="E619" s="3"/>
      <c r="F619" s="3"/>
    </row>
    <row r="620" spans="4:6" ht="12.75" customHeight="1" x14ac:dyDescent="0.25">
      <c r="D620" s="3"/>
      <c r="E620" s="3"/>
      <c r="F620" s="3"/>
    </row>
    <row r="621" spans="4:6" ht="12.75" customHeight="1" x14ac:dyDescent="0.25">
      <c r="D621" s="3"/>
      <c r="E621" s="3"/>
      <c r="F621" s="3"/>
    </row>
    <row r="622" spans="4:6" ht="12.75" customHeight="1" x14ac:dyDescent="0.25">
      <c r="D622" s="3"/>
      <c r="E622" s="3"/>
      <c r="F622" s="3"/>
    </row>
    <row r="623" spans="4:6" ht="12.75" customHeight="1" x14ac:dyDescent="0.25">
      <c r="D623" s="3"/>
      <c r="E623" s="3"/>
      <c r="F623" s="3"/>
    </row>
    <row r="624" spans="4:6" ht="12.75" customHeight="1" x14ac:dyDescent="0.25">
      <c r="D624" s="3"/>
      <c r="E624" s="3"/>
      <c r="F624" s="3"/>
    </row>
    <row r="625" spans="4:6" ht="12.75" customHeight="1" x14ac:dyDescent="0.25">
      <c r="D625" s="3"/>
      <c r="E625" s="3"/>
      <c r="F625" s="3"/>
    </row>
    <row r="626" spans="4:6" ht="12.75" customHeight="1" x14ac:dyDescent="0.25">
      <c r="D626" s="3"/>
      <c r="E626" s="3"/>
      <c r="F626" s="3"/>
    </row>
    <row r="627" spans="4:6" ht="12.75" customHeight="1" x14ac:dyDescent="0.25">
      <c r="D627" s="3"/>
      <c r="E627" s="3"/>
      <c r="F627" s="3"/>
    </row>
    <row r="628" spans="4:6" ht="12.75" customHeight="1" x14ac:dyDescent="0.25">
      <c r="D628" s="3"/>
      <c r="E628" s="3"/>
      <c r="F628" s="3"/>
    </row>
    <row r="629" spans="4:6" ht="12.75" customHeight="1" x14ac:dyDescent="0.25">
      <c r="D629" s="3"/>
      <c r="E629" s="3"/>
      <c r="F629" s="3"/>
    </row>
    <row r="630" spans="4:6" ht="12.75" customHeight="1" x14ac:dyDescent="0.25">
      <c r="D630" s="3"/>
      <c r="E630" s="3"/>
      <c r="F630" s="3"/>
    </row>
    <row r="631" spans="4:6" ht="12.75" customHeight="1" x14ac:dyDescent="0.25">
      <c r="D631" s="3"/>
      <c r="E631" s="3"/>
      <c r="F631" s="3"/>
    </row>
    <row r="632" spans="4:6" ht="12.75" customHeight="1" x14ac:dyDescent="0.25">
      <c r="D632" s="3"/>
      <c r="E632" s="3"/>
      <c r="F632" s="3"/>
    </row>
    <row r="633" spans="4:6" ht="12.75" customHeight="1" x14ac:dyDescent="0.25">
      <c r="D633" s="3"/>
      <c r="E633" s="3"/>
      <c r="F633" s="3"/>
    </row>
    <row r="634" spans="4:6" ht="12.75" customHeight="1" x14ac:dyDescent="0.25">
      <c r="D634" s="3"/>
      <c r="E634" s="3"/>
      <c r="F634" s="3"/>
    </row>
    <row r="635" spans="4:6" ht="12.75" customHeight="1" x14ac:dyDescent="0.25">
      <c r="D635" s="3"/>
      <c r="E635" s="3"/>
      <c r="F635" s="3"/>
    </row>
    <row r="636" spans="4:6" ht="12.75" customHeight="1" x14ac:dyDescent="0.25">
      <c r="D636" s="3"/>
      <c r="E636" s="3"/>
      <c r="F636" s="3"/>
    </row>
    <row r="637" spans="4:6" ht="12.75" customHeight="1" x14ac:dyDescent="0.25">
      <c r="D637" s="3"/>
      <c r="E637" s="3"/>
      <c r="F637" s="3"/>
    </row>
    <row r="638" spans="4:6" ht="12.75" customHeight="1" x14ac:dyDescent="0.25">
      <c r="D638" s="3"/>
      <c r="E638" s="3"/>
      <c r="F638" s="3"/>
    </row>
    <row r="639" spans="4:6" ht="12.75" customHeight="1" x14ac:dyDescent="0.25">
      <c r="D639" s="3"/>
      <c r="E639" s="3"/>
      <c r="F639" s="3"/>
    </row>
    <row r="640" spans="4:6" ht="12.75" customHeight="1" x14ac:dyDescent="0.25">
      <c r="D640" s="3"/>
      <c r="E640" s="3"/>
      <c r="F640" s="3"/>
    </row>
    <row r="641" spans="4:6" ht="12.75" customHeight="1" x14ac:dyDescent="0.25">
      <c r="D641" s="3"/>
      <c r="E641" s="3"/>
      <c r="F641" s="3"/>
    </row>
    <row r="642" spans="4:6" ht="12.75" customHeight="1" x14ac:dyDescent="0.25">
      <c r="D642" s="3"/>
      <c r="E642" s="3"/>
      <c r="F642" s="3"/>
    </row>
    <row r="643" spans="4:6" ht="12.75" customHeight="1" x14ac:dyDescent="0.25">
      <c r="D643" s="3"/>
      <c r="E643" s="3"/>
      <c r="F643" s="3"/>
    </row>
    <row r="644" spans="4:6" ht="12.75" customHeight="1" x14ac:dyDescent="0.25">
      <c r="D644" s="3"/>
      <c r="E644" s="3"/>
      <c r="F644" s="3"/>
    </row>
    <row r="645" spans="4:6" ht="12.75" customHeight="1" x14ac:dyDescent="0.25">
      <c r="D645" s="3"/>
      <c r="E645" s="3"/>
      <c r="F645" s="3"/>
    </row>
    <row r="646" spans="4:6" ht="12.75" customHeight="1" x14ac:dyDescent="0.25">
      <c r="D646" s="3"/>
      <c r="E646" s="3"/>
      <c r="F646" s="3"/>
    </row>
    <row r="647" spans="4:6" ht="12.75" customHeight="1" x14ac:dyDescent="0.25">
      <c r="D647" s="3"/>
      <c r="E647" s="3"/>
      <c r="F647" s="3"/>
    </row>
    <row r="648" spans="4:6" ht="12.75" customHeight="1" x14ac:dyDescent="0.25">
      <c r="D648" s="3"/>
      <c r="E648" s="3"/>
      <c r="F648" s="3"/>
    </row>
    <row r="649" spans="4:6" ht="12.75" customHeight="1" x14ac:dyDescent="0.25">
      <c r="D649" s="3"/>
      <c r="E649" s="3"/>
      <c r="F649" s="3"/>
    </row>
    <row r="650" spans="4:6" ht="12.75" customHeight="1" x14ac:dyDescent="0.25">
      <c r="D650" s="3"/>
      <c r="E650" s="3"/>
      <c r="F650" s="3"/>
    </row>
    <row r="651" spans="4:6" ht="12.75" customHeight="1" x14ac:dyDescent="0.25">
      <c r="D651" s="3"/>
      <c r="E651" s="3"/>
      <c r="F651" s="3"/>
    </row>
    <row r="652" spans="4:6" ht="12.75" customHeight="1" x14ac:dyDescent="0.25">
      <c r="D652" s="3"/>
      <c r="E652" s="3"/>
      <c r="F652" s="3"/>
    </row>
    <row r="653" spans="4:6" ht="12.75" customHeight="1" x14ac:dyDescent="0.25">
      <c r="D653" s="3"/>
      <c r="E653" s="3"/>
      <c r="F653" s="3"/>
    </row>
    <row r="654" spans="4:6" ht="12.75" customHeight="1" x14ac:dyDescent="0.25">
      <c r="D654" s="3"/>
      <c r="E654" s="3"/>
      <c r="F654" s="3"/>
    </row>
    <row r="655" spans="4:6" ht="12.75" customHeight="1" x14ac:dyDescent="0.25">
      <c r="D655" s="3"/>
      <c r="E655" s="3"/>
      <c r="F655" s="3"/>
    </row>
    <row r="656" spans="4:6" ht="12.75" customHeight="1" x14ac:dyDescent="0.25">
      <c r="D656" s="3"/>
      <c r="E656" s="3"/>
      <c r="F656" s="3"/>
    </row>
    <row r="657" spans="4:6" ht="12.75" customHeight="1" x14ac:dyDescent="0.25">
      <c r="D657" s="3"/>
      <c r="E657" s="3"/>
      <c r="F657" s="3"/>
    </row>
    <row r="658" spans="4:6" ht="12.75" customHeight="1" x14ac:dyDescent="0.25">
      <c r="D658" s="3"/>
      <c r="E658" s="3"/>
      <c r="F658" s="3"/>
    </row>
    <row r="659" spans="4:6" ht="12.75" customHeight="1" x14ac:dyDescent="0.25">
      <c r="D659" s="3"/>
      <c r="E659" s="3"/>
      <c r="F659" s="3"/>
    </row>
    <row r="660" spans="4:6" ht="12.75" customHeight="1" x14ac:dyDescent="0.25">
      <c r="D660" s="3"/>
      <c r="E660" s="3"/>
      <c r="F660" s="3"/>
    </row>
    <row r="661" spans="4:6" ht="12.75" customHeight="1" x14ac:dyDescent="0.25">
      <c r="D661" s="3"/>
      <c r="E661" s="3"/>
      <c r="F661" s="3"/>
    </row>
    <row r="662" spans="4:6" ht="12.75" customHeight="1" x14ac:dyDescent="0.25">
      <c r="D662" s="3"/>
      <c r="E662" s="3"/>
      <c r="F662" s="3"/>
    </row>
    <row r="663" spans="4:6" ht="12.75" customHeight="1" x14ac:dyDescent="0.25">
      <c r="D663" s="3"/>
      <c r="E663" s="3"/>
      <c r="F663" s="3"/>
    </row>
    <row r="664" spans="4:6" ht="12.75" customHeight="1" x14ac:dyDescent="0.25">
      <c r="D664" s="3"/>
      <c r="E664" s="3"/>
      <c r="F664" s="3"/>
    </row>
    <row r="665" spans="4:6" ht="12.75" customHeight="1" x14ac:dyDescent="0.25">
      <c r="D665" s="3"/>
      <c r="E665" s="3"/>
      <c r="F665" s="3"/>
    </row>
    <row r="666" spans="4:6" ht="12.75" customHeight="1" x14ac:dyDescent="0.25">
      <c r="D666" s="3"/>
      <c r="E666" s="3"/>
      <c r="F666" s="3"/>
    </row>
    <row r="667" spans="4:6" ht="12.75" customHeight="1" x14ac:dyDescent="0.25">
      <c r="D667" s="3"/>
      <c r="E667" s="3"/>
      <c r="F667" s="3"/>
    </row>
    <row r="668" spans="4:6" ht="12.75" customHeight="1" x14ac:dyDescent="0.25">
      <c r="D668" s="3"/>
      <c r="E668" s="3"/>
      <c r="F668" s="3"/>
    </row>
    <row r="669" spans="4:6" ht="12.75" customHeight="1" x14ac:dyDescent="0.25">
      <c r="D669" s="3"/>
      <c r="E669" s="3"/>
      <c r="F669" s="3"/>
    </row>
    <row r="670" spans="4:6" ht="12.75" customHeight="1" x14ac:dyDescent="0.25">
      <c r="D670" s="3"/>
      <c r="E670" s="3"/>
      <c r="F670" s="3"/>
    </row>
    <row r="671" spans="4:6" ht="12.75" customHeight="1" x14ac:dyDescent="0.25">
      <c r="D671" s="3"/>
      <c r="E671" s="3"/>
      <c r="F671" s="3"/>
    </row>
    <row r="672" spans="4:6" ht="12.75" customHeight="1" x14ac:dyDescent="0.25">
      <c r="D672" s="3"/>
      <c r="E672" s="3"/>
      <c r="F672" s="3"/>
    </row>
    <row r="673" spans="4:6" ht="12.75" customHeight="1" x14ac:dyDescent="0.25">
      <c r="D673" s="3"/>
      <c r="E673" s="3"/>
      <c r="F673" s="3"/>
    </row>
    <row r="674" spans="4:6" ht="12.75" customHeight="1" x14ac:dyDescent="0.25">
      <c r="D674" s="3"/>
      <c r="E674" s="3"/>
      <c r="F674" s="3"/>
    </row>
    <row r="675" spans="4:6" ht="12.75" customHeight="1" x14ac:dyDescent="0.25">
      <c r="D675" s="3"/>
      <c r="E675" s="3"/>
      <c r="F675" s="3"/>
    </row>
    <row r="676" spans="4:6" ht="12.75" customHeight="1" x14ac:dyDescent="0.25">
      <c r="D676" s="3"/>
      <c r="E676" s="3"/>
      <c r="F676" s="3"/>
    </row>
    <row r="677" spans="4:6" ht="12.75" customHeight="1" x14ac:dyDescent="0.25">
      <c r="D677" s="3"/>
      <c r="E677" s="3"/>
      <c r="F677" s="3"/>
    </row>
    <row r="678" spans="4:6" ht="12.75" customHeight="1" x14ac:dyDescent="0.25">
      <c r="D678" s="3"/>
      <c r="E678" s="3"/>
      <c r="F678" s="3"/>
    </row>
    <row r="679" spans="4:6" ht="12.75" customHeight="1" x14ac:dyDescent="0.25">
      <c r="D679" s="3"/>
      <c r="E679" s="3"/>
      <c r="F679" s="3"/>
    </row>
    <row r="680" spans="4:6" ht="12.75" customHeight="1" x14ac:dyDescent="0.25">
      <c r="D680" s="3"/>
      <c r="E680" s="3"/>
      <c r="F680" s="3"/>
    </row>
    <row r="681" spans="4:6" ht="12.75" customHeight="1" x14ac:dyDescent="0.25">
      <c r="D681" s="3"/>
      <c r="E681" s="3"/>
      <c r="F681" s="3"/>
    </row>
    <row r="682" spans="4:6" ht="12.75" customHeight="1" x14ac:dyDescent="0.25">
      <c r="D682" s="3"/>
      <c r="E682" s="3"/>
      <c r="F682" s="3"/>
    </row>
    <row r="683" spans="4:6" ht="12.75" customHeight="1" x14ac:dyDescent="0.25">
      <c r="D683" s="3"/>
      <c r="E683" s="3"/>
      <c r="F683" s="3"/>
    </row>
    <row r="684" spans="4:6" ht="12.75" customHeight="1" x14ac:dyDescent="0.25">
      <c r="D684" s="3"/>
      <c r="E684" s="3"/>
      <c r="F684" s="3"/>
    </row>
    <row r="685" spans="4:6" ht="12.75" customHeight="1" x14ac:dyDescent="0.25">
      <c r="D685" s="3"/>
      <c r="E685" s="3"/>
      <c r="F685" s="3"/>
    </row>
    <row r="686" spans="4:6" ht="12.75" customHeight="1" x14ac:dyDescent="0.25">
      <c r="D686" s="3"/>
      <c r="E686" s="3"/>
      <c r="F686" s="3"/>
    </row>
    <row r="687" spans="4:6" ht="12.75" customHeight="1" x14ac:dyDescent="0.25">
      <c r="D687" s="3"/>
      <c r="E687" s="3"/>
      <c r="F687" s="3"/>
    </row>
    <row r="688" spans="4:6" ht="12.75" customHeight="1" x14ac:dyDescent="0.25">
      <c r="D688" s="3"/>
      <c r="E688" s="3"/>
      <c r="F688" s="3"/>
    </row>
    <row r="689" spans="4:6" ht="12.75" customHeight="1" x14ac:dyDescent="0.25">
      <c r="D689" s="3"/>
      <c r="E689" s="3"/>
      <c r="F689" s="3"/>
    </row>
    <row r="690" spans="4:6" ht="12.75" customHeight="1" x14ac:dyDescent="0.25">
      <c r="D690" s="3"/>
      <c r="E690" s="3"/>
      <c r="F690" s="3"/>
    </row>
    <row r="691" spans="4:6" ht="12.75" customHeight="1" x14ac:dyDescent="0.25">
      <c r="D691" s="3"/>
      <c r="E691" s="3"/>
      <c r="F691" s="3"/>
    </row>
    <row r="692" spans="4:6" ht="12.75" customHeight="1" x14ac:dyDescent="0.25">
      <c r="D692" s="3"/>
      <c r="E692" s="3"/>
      <c r="F692" s="3"/>
    </row>
    <row r="693" spans="4:6" ht="12.75" customHeight="1" x14ac:dyDescent="0.25">
      <c r="D693" s="3"/>
      <c r="E693" s="3"/>
      <c r="F693" s="3"/>
    </row>
    <row r="694" spans="4:6" ht="12.75" customHeight="1" x14ac:dyDescent="0.25">
      <c r="D694" s="3"/>
      <c r="E694" s="3"/>
      <c r="F694" s="3"/>
    </row>
    <row r="695" spans="4:6" ht="12.75" customHeight="1" x14ac:dyDescent="0.25">
      <c r="D695" s="3"/>
      <c r="E695" s="3"/>
      <c r="F695" s="3"/>
    </row>
    <row r="696" spans="4:6" ht="12.75" customHeight="1" x14ac:dyDescent="0.25">
      <c r="D696" s="3"/>
      <c r="E696" s="3"/>
      <c r="F696" s="3"/>
    </row>
    <row r="697" spans="4:6" ht="12.75" customHeight="1" x14ac:dyDescent="0.25">
      <c r="D697" s="3"/>
      <c r="E697" s="3"/>
      <c r="F697" s="3"/>
    </row>
    <row r="698" spans="4:6" ht="12.75" customHeight="1" x14ac:dyDescent="0.25">
      <c r="D698" s="3"/>
      <c r="E698" s="3"/>
      <c r="F698" s="3"/>
    </row>
    <row r="699" spans="4:6" ht="12.75" customHeight="1" x14ac:dyDescent="0.25">
      <c r="D699" s="3"/>
      <c r="E699" s="3"/>
      <c r="F699" s="3"/>
    </row>
    <row r="700" spans="4:6" ht="12.75" customHeight="1" x14ac:dyDescent="0.25">
      <c r="D700" s="3"/>
      <c r="E700" s="3"/>
      <c r="F700" s="3"/>
    </row>
    <row r="701" spans="4:6" ht="12.75" customHeight="1" x14ac:dyDescent="0.25">
      <c r="D701" s="3"/>
      <c r="E701" s="3"/>
      <c r="F701" s="3"/>
    </row>
    <row r="702" spans="4:6" ht="12.75" customHeight="1" x14ac:dyDescent="0.25">
      <c r="D702" s="3"/>
      <c r="E702" s="3"/>
      <c r="F702" s="3"/>
    </row>
    <row r="703" spans="4:6" ht="12.75" customHeight="1" x14ac:dyDescent="0.25">
      <c r="D703" s="3"/>
      <c r="E703" s="3"/>
      <c r="F703" s="3"/>
    </row>
    <row r="704" spans="4:6" ht="12.75" customHeight="1" x14ac:dyDescent="0.25">
      <c r="D704" s="3"/>
      <c r="E704" s="3"/>
      <c r="F704" s="3"/>
    </row>
    <row r="705" spans="4:6" ht="12.75" customHeight="1" x14ac:dyDescent="0.25">
      <c r="D705" s="3"/>
      <c r="E705" s="3"/>
      <c r="F705" s="3"/>
    </row>
    <row r="706" spans="4:6" ht="12.75" customHeight="1" x14ac:dyDescent="0.25">
      <c r="D706" s="3"/>
      <c r="E706" s="3"/>
      <c r="F706" s="3"/>
    </row>
    <row r="707" spans="4:6" ht="12.75" customHeight="1" x14ac:dyDescent="0.25">
      <c r="D707" s="3"/>
      <c r="E707" s="3"/>
      <c r="F707" s="3"/>
    </row>
    <row r="708" spans="4:6" ht="12.75" customHeight="1" x14ac:dyDescent="0.25">
      <c r="D708" s="3"/>
      <c r="E708" s="3"/>
      <c r="F708" s="3"/>
    </row>
    <row r="709" spans="4:6" ht="12.75" customHeight="1" x14ac:dyDescent="0.25">
      <c r="D709" s="3"/>
      <c r="E709" s="3"/>
      <c r="F709" s="3"/>
    </row>
    <row r="710" spans="4:6" ht="12.75" customHeight="1" x14ac:dyDescent="0.25">
      <c r="D710" s="3"/>
      <c r="E710" s="3"/>
      <c r="F710" s="3"/>
    </row>
    <row r="711" spans="4:6" ht="12.75" customHeight="1" x14ac:dyDescent="0.25">
      <c r="D711" s="3"/>
      <c r="E711" s="3"/>
      <c r="F711" s="3"/>
    </row>
    <row r="712" spans="4:6" ht="12.75" customHeight="1" x14ac:dyDescent="0.25">
      <c r="D712" s="3"/>
      <c r="E712" s="3"/>
      <c r="F712" s="3"/>
    </row>
    <row r="713" spans="4:6" ht="12.75" customHeight="1" x14ac:dyDescent="0.25">
      <c r="D713" s="3"/>
      <c r="E713" s="3"/>
      <c r="F713" s="3"/>
    </row>
    <row r="714" spans="4:6" ht="12.75" customHeight="1" x14ac:dyDescent="0.25">
      <c r="D714" s="3"/>
      <c r="E714" s="3"/>
      <c r="F714" s="3"/>
    </row>
    <row r="715" spans="4:6" ht="12.75" customHeight="1" x14ac:dyDescent="0.25">
      <c r="D715" s="3"/>
      <c r="E715" s="3"/>
      <c r="F715" s="3"/>
    </row>
    <row r="716" spans="4:6" ht="12.75" customHeight="1" x14ac:dyDescent="0.25">
      <c r="D716" s="3"/>
      <c r="E716" s="3"/>
      <c r="F716" s="3"/>
    </row>
    <row r="717" spans="4:6" ht="12.75" customHeight="1" x14ac:dyDescent="0.25">
      <c r="D717" s="3"/>
      <c r="E717" s="3"/>
      <c r="F717" s="3"/>
    </row>
    <row r="718" spans="4:6" ht="12.75" customHeight="1" x14ac:dyDescent="0.25">
      <c r="D718" s="3"/>
      <c r="E718" s="3"/>
      <c r="F718" s="3"/>
    </row>
    <row r="719" spans="4:6" ht="12.75" customHeight="1" x14ac:dyDescent="0.25">
      <c r="D719" s="3"/>
      <c r="E719" s="3"/>
      <c r="F719" s="3"/>
    </row>
    <row r="720" spans="4:6" ht="12.75" customHeight="1" x14ac:dyDescent="0.25">
      <c r="D720" s="3"/>
      <c r="E720" s="3"/>
      <c r="F720" s="3"/>
    </row>
    <row r="721" spans="4:6" ht="12.75" customHeight="1" x14ac:dyDescent="0.25">
      <c r="D721" s="3"/>
      <c r="E721" s="3"/>
      <c r="F721" s="3"/>
    </row>
    <row r="722" spans="4:6" ht="12.75" customHeight="1" x14ac:dyDescent="0.25">
      <c r="D722" s="3"/>
      <c r="E722" s="3"/>
      <c r="F722" s="3"/>
    </row>
    <row r="723" spans="4:6" ht="12.75" customHeight="1" x14ac:dyDescent="0.25">
      <c r="D723" s="3"/>
      <c r="E723" s="3"/>
      <c r="F723" s="3"/>
    </row>
    <row r="724" spans="4:6" ht="12.75" customHeight="1" x14ac:dyDescent="0.25">
      <c r="D724" s="3"/>
      <c r="E724" s="3"/>
      <c r="F724" s="3"/>
    </row>
    <row r="725" spans="4:6" ht="12.75" customHeight="1" x14ac:dyDescent="0.25">
      <c r="D725" s="3"/>
      <c r="E725" s="3"/>
      <c r="F725" s="3"/>
    </row>
    <row r="726" spans="4:6" ht="12.75" customHeight="1" x14ac:dyDescent="0.25">
      <c r="D726" s="3"/>
      <c r="E726" s="3"/>
      <c r="F726" s="3"/>
    </row>
    <row r="727" spans="4:6" ht="12.75" customHeight="1" x14ac:dyDescent="0.25">
      <c r="D727" s="3"/>
      <c r="E727" s="3"/>
      <c r="F727" s="3"/>
    </row>
    <row r="728" spans="4:6" ht="12.75" customHeight="1" x14ac:dyDescent="0.25">
      <c r="D728" s="3"/>
      <c r="E728" s="3"/>
      <c r="F728" s="3"/>
    </row>
    <row r="729" spans="4:6" ht="12.75" customHeight="1" x14ac:dyDescent="0.25">
      <c r="D729" s="3"/>
      <c r="E729" s="3"/>
      <c r="F729" s="3"/>
    </row>
    <row r="730" spans="4:6" ht="12.75" customHeight="1" x14ac:dyDescent="0.25">
      <c r="D730" s="3"/>
      <c r="E730" s="3"/>
      <c r="F730" s="3"/>
    </row>
    <row r="731" spans="4:6" ht="12.75" customHeight="1" x14ac:dyDescent="0.25">
      <c r="D731" s="3"/>
      <c r="E731" s="3"/>
      <c r="F731" s="3"/>
    </row>
    <row r="732" spans="4:6" ht="12.75" customHeight="1" x14ac:dyDescent="0.25">
      <c r="D732" s="3"/>
      <c r="E732" s="3"/>
      <c r="F732" s="3"/>
    </row>
    <row r="733" spans="4:6" ht="12.75" customHeight="1" x14ac:dyDescent="0.25">
      <c r="D733" s="3"/>
      <c r="E733" s="3"/>
      <c r="F733" s="3"/>
    </row>
    <row r="734" spans="4:6" ht="12.75" customHeight="1" x14ac:dyDescent="0.25">
      <c r="D734" s="3"/>
      <c r="E734" s="3"/>
      <c r="F734" s="3"/>
    </row>
    <row r="735" spans="4:6" ht="12.75" customHeight="1" x14ac:dyDescent="0.25">
      <c r="D735" s="3"/>
      <c r="E735" s="3"/>
      <c r="F735" s="3"/>
    </row>
    <row r="736" spans="4:6" ht="12.75" customHeight="1" x14ac:dyDescent="0.25">
      <c r="D736" s="3"/>
      <c r="E736" s="3"/>
      <c r="F736" s="3"/>
    </row>
    <row r="737" spans="4:6" ht="12.75" customHeight="1" x14ac:dyDescent="0.25">
      <c r="D737" s="3"/>
      <c r="E737" s="3"/>
      <c r="F737" s="3"/>
    </row>
    <row r="738" spans="4:6" ht="12.75" customHeight="1" x14ac:dyDescent="0.25">
      <c r="D738" s="3"/>
      <c r="E738" s="3"/>
      <c r="F738" s="3"/>
    </row>
    <row r="739" spans="4:6" ht="12.75" customHeight="1" x14ac:dyDescent="0.25">
      <c r="D739" s="3"/>
      <c r="E739" s="3"/>
      <c r="F739" s="3"/>
    </row>
    <row r="740" spans="4:6" ht="12.75" customHeight="1" x14ac:dyDescent="0.25">
      <c r="D740" s="3"/>
      <c r="E740" s="3"/>
      <c r="F740" s="3"/>
    </row>
    <row r="741" spans="4:6" ht="12.75" customHeight="1" x14ac:dyDescent="0.25">
      <c r="D741" s="3"/>
      <c r="E741" s="3"/>
      <c r="F741" s="3"/>
    </row>
    <row r="742" spans="4:6" ht="12.75" customHeight="1" x14ac:dyDescent="0.25">
      <c r="D742" s="3"/>
      <c r="E742" s="3"/>
      <c r="F742" s="3"/>
    </row>
    <row r="743" spans="4:6" ht="12.75" customHeight="1" x14ac:dyDescent="0.25">
      <c r="D743" s="3"/>
      <c r="E743" s="3"/>
      <c r="F743" s="3"/>
    </row>
    <row r="744" spans="4:6" ht="12.75" customHeight="1" x14ac:dyDescent="0.25">
      <c r="D744" s="3"/>
      <c r="E744" s="3"/>
      <c r="F744" s="3"/>
    </row>
    <row r="745" spans="4:6" ht="12.75" customHeight="1" x14ac:dyDescent="0.25">
      <c r="D745" s="3"/>
      <c r="E745" s="3"/>
      <c r="F745" s="3"/>
    </row>
    <row r="746" spans="4:6" ht="12.75" customHeight="1" x14ac:dyDescent="0.25">
      <c r="D746" s="3"/>
      <c r="E746" s="3"/>
      <c r="F746" s="3"/>
    </row>
    <row r="747" spans="4:6" ht="12.75" customHeight="1" x14ac:dyDescent="0.25">
      <c r="D747" s="3"/>
      <c r="E747" s="3"/>
      <c r="F747" s="3"/>
    </row>
    <row r="748" spans="4:6" ht="12.75" customHeight="1" x14ac:dyDescent="0.25">
      <c r="D748" s="3"/>
      <c r="E748" s="3"/>
      <c r="F748" s="3"/>
    </row>
    <row r="749" spans="4:6" ht="12.75" customHeight="1" x14ac:dyDescent="0.25">
      <c r="D749" s="3"/>
      <c r="E749" s="3"/>
      <c r="F749" s="3"/>
    </row>
    <row r="750" spans="4:6" ht="12.75" customHeight="1" x14ac:dyDescent="0.25">
      <c r="D750" s="3"/>
      <c r="E750" s="3"/>
      <c r="F750" s="3"/>
    </row>
    <row r="751" spans="4:6" ht="12.75" customHeight="1" x14ac:dyDescent="0.25">
      <c r="D751" s="3"/>
      <c r="E751" s="3"/>
      <c r="F751" s="3"/>
    </row>
    <row r="752" spans="4:6" ht="12.75" customHeight="1" x14ac:dyDescent="0.25">
      <c r="D752" s="3"/>
      <c r="E752" s="3"/>
      <c r="F752" s="3"/>
    </row>
    <row r="753" spans="4:6" ht="12.75" customHeight="1" x14ac:dyDescent="0.25">
      <c r="D753" s="3"/>
      <c r="E753" s="3"/>
      <c r="F753" s="3"/>
    </row>
    <row r="754" spans="4:6" ht="12.75" customHeight="1" x14ac:dyDescent="0.25">
      <c r="D754" s="3"/>
      <c r="E754" s="3"/>
      <c r="F754" s="3"/>
    </row>
    <row r="755" spans="4:6" ht="12.75" customHeight="1" x14ac:dyDescent="0.25">
      <c r="D755" s="3"/>
      <c r="E755" s="3"/>
      <c r="F755" s="3"/>
    </row>
    <row r="756" spans="4:6" ht="12.75" customHeight="1" x14ac:dyDescent="0.25">
      <c r="D756" s="3"/>
      <c r="E756" s="3"/>
      <c r="F756" s="3"/>
    </row>
    <row r="757" spans="4:6" ht="12.75" customHeight="1" x14ac:dyDescent="0.25">
      <c r="D757" s="3"/>
      <c r="E757" s="3"/>
      <c r="F757" s="3"/>
    </row>
    <row r="758" spans="4:6" ht="12.75" customHeight="1" x14ac:dyDescent="0.25">
      <c r="D758" s="3"/>
      <c r="E758" s="3"/>
      <c r="F758" s="3"/>
    </row>
    <row r="759" spans="4:6" ht="12.75" customHeight="1" x14ac:dyDescent="0.25">
      <c r="D759" s="3"/>
      <c r="E759" s="3"/>
      <c r="F759" s="3"/>
    </row>
    <row r="760" spans="4:6" ht="12.75" customHeight="1" x14ac:dyDescent="0.25">
      <c r="D760" s="3"/>
      <c r="E760" s="3"/>
      <c r="F760" s="3"/>
    </row>
    <row r="761" spans="4:6" ht="12.75" customHeight="1" x14ac:dyDescent="0.25">
      <c r="D761" s="3"/>
      <c r="E761" s="3"/>
      <c r="F761" s="3"/>
    </row>
    <row r="762" spans="4:6" ht="12.75" customHeight="1" x14ac:dyDescent="0.25">
      <c r="D762" s="3"/>
      <c r="E762" s="3"/>
      <c r="F762" s="3"/>
    </row>
    <row r="763" spans="4:6" ht="12.75" customHeight="1" x14ac:dyDescent="0.25">
      <c r="D763" s="3"/>
      <c r="E763" s="3"/>
      <c r="F763" s="3"/>
    </row>
    <row r="764" spans="4:6" ht="12.75" customHeight="1" x14ac:dyDescent="0.25">
      <c r="D764" s="3"/>
      <c r="E764" s="3"/>
      <c r="F764" s="3"/>
    </row>
    <row r="765" spans="4:6" ht="12.75" customHeight="1" x14ac:dyDescent="0.25">
      <c r="D765" s="3"/>
      <c r="E765" s="3"/>
      <c r="F765" s="3"/>
    </row>
    <row r="766" spans="4:6" ht="12.75" customHeight="1" x14ac:dyDescent="0.25">
      <c r="D766" s="3"/>
      <c r="E766" s="3"/>
      <c r="F766" s="3"/>
    </row>
    <row r="767" spans="4:6" ht="12.75" customHeight="1" x14ac:dyDescent="0.25">
      <c r="D767" s="3"/>
      <c r="E767" s="3"/>
      <c r="F767" s="3"/>
    </row>
    <row r="768" spans="4:6" ht="12.75" customHeight="1" x14ac:dyDescent="0.25">
      <c r="D768" s="3"/>
      <c r="E768" s="3"/>
      <c r="F768" s="3"/>
    </row>
    <row r="769" spans="4:6" ht="12.75" customHeight="1" x14ac:dyDescent="0.25">
      <c r="D769" s="3"/>
      <c r="E769" s="3"/>
      <c r="F769" s="3"/>
    </row>
    <row r="770" spans="4:6" ht="12.75" customHeight="1" x14ac:dyDescent="0.25">
      <c r="D770" s="3"/>
      <c r="E770" s="3"/>
      <c r="F770" s="3"/>
    </row>
    <row r="771" spans="4:6" ht="12.75" customHeight="1" x14ac:dyDescent="0.25">
      <c r="D771" s="3"/>
      <c r="E771" s="3"/>
      <c r="F771" s="3"/>
    </row>
    <row r="772" spans="4:6" ht="12.75" customHeight="1" x14ac:dyDescent="0.25">
      <c r="D772" s="3"/>
      <c r="E772" s="3"/>
      <c r="F772" s="3"/>
    </row>
    <row r="773" spans="4:6" ht="12.75" customHeight="1" x14ac:dyDescent="0.25">
      <c r="D773" s="3"/>
      <c r="E773" s="3"/>
      <c r="F773" s="3"/>
    </row>
    <row r="774" spans="4:6" ht="12.75" customHeight="1" x14ac:dyDescent="0.25">
      <c r="D774" s="3"/>
      <c r="E774" s="3"/>
      <c r="F774" s="3"/>
    </row>
    <row r="775" spans="4:6" ht="12.75" customHeight="1" x14ac:dyDescent="0.25">
      <c r="D775" s="3"/>
      <c r="E775" s="3"/>
      <c r="F775" s="3"/>
    </row>
    <row r="776" spans="4:6" ht="12.75" customHeight="1" x14ac:dyDescent="0.25">
      <c r="D776" s="3"/>
      <c r="E776" s="3"/>
      <c r="F776" s="3"/>
    </row>
    <row r="777" spans="4:6" ht="12.75" customHeight="1" x14ac:dyDescent="0.25">
      <c r="D777" s="3"/>
      <c r="E777" s="3"/>
      <c r="F777" s="3"/>
    </row>
    <row r="778" spans="4:6" ht="12.75" customHeight="1" x14ac:dyDescent="0.25">
      <c r="D778" s="3"/>
      <c r="E778" s="3"/>
      <c r="F778" s="3"/>
    </row>
    <row r="779" spans="4:6" ht="12.75" customHeight="1" x14ac:dyDescent="0.25">
      <c r="D779" s="3"/>
      <c r="E779" s="3"/>
      <c r="F779" s="3"/>
    </row>
    <row r="780" spans="4:6" ht="12.75" customHeight="1" x14ac:dyDescent="0.25">
      <c r="D780" s="3"/>
      <c r="E780" s="3"/>
      <c r="F780" s="3"/>
    </row>
    <row r="781" spans="4:6" ht="12.75" customHeight="1" x14ac:dyDescent="0.25">
      <c r="D781" s="3"/>
      <c r="E781" s="3"/>
      <c r="F781" s="3"/>
    </row>
    <row r="782" spans="4:6" ht="12.75" customHeight="1" x14ac:dyDescent="0.25">
      <c r="D782" s="3"/>
      <c r="E782" s="3"/>
      <c r="F782" s="3"/>
    </row>
    <row r="783" spans="4:6" ht="12.75" customHeight="1" x14ac:dyDescent="0.25">
      <c r="D783" s="3"/>
      <c r="E783" s="3"/>
      <c r="F783" s="3"/>
    </row>
    <row r="784" spans="4:6" ht="12.75" customHeight="1" x14ac:dyDescent="0.25">
      <c r="D784" s="3"/>
      <c r="E784" s="3"/>
      <c r="F784" s="3"/>
    </row>
    <row r="785" spans="4:6" ht="12.75" customHeight="1" x14ac:dyDescent="0.25">
      <c r="D785" s="3"/>
      <c r="E785" s="3"/>
      <c r="F785" s="3"/>
    </row>
    <row r="786" spans="4:6" ht="12.75" customHeight="1" x14ac:dyDescent="0.25">
      <c r="D786" s="3"/>
      <c r="E786" s="3"/>
      <c r="F786" s="3"/>
    </row>
    <row r="787" spans="4:6" ht="12.75" customHeight="1" x14ac:dyDescent="0.25">
      <c r="D787" s="3"/>
      <c r="E787" s="3"/>
      <c r="F787" s="3"/>
    </row>
    <row r="788" spans="4:6" ht="12.75" customHeight="1" x14ac:dyDescent="0.25">
      <c r="D788" s="3"/>
      <c r="E788" s="3"/>
      <c r="F788" s="3"/>
    </row>
    <row r="789" spans="4:6" ht="12.75" customHeight="1" x14ac:dyDescent="0.25">
      <c r="D789" s="3"/>
      <c r="E789" s="3"/>
      <c r="F789" s="3"/>
    </row>
    <row r="790" spans="4:6" ht="12.75" customHeight="1" x14ac:dyDescent="0.25">
      <c r="D790" s="3"/>
      <c r="E790" s="3"/>
      <c r="F790" s="3"/>
    </row>
    <row r="791" spans="4:6" ht="12.75" customHeight="1" x14ac:dyDescent="0.25">
      <c r="D791" s="3"/>
      <c r="E791" s="3"/>
      <c r="F791" s="3"/>
    </row>
    <row r="792" spans="4:6" ht="12.75" customHeight="1" x14ac:dyDescent="0.25">
      <c r="D792" s="3"/>
      <c r="E792" s="3"/>
      <c r="F792" s="3"/>
    </row>
    <row r="793" spans="4:6" ht="12.75" customHeight="1" x14ac:dyDescent="0.25">
      <c r="D793" s="3"/>
      <c r="E793" s="3"/>
      <c r="F793" s="3"/>
    </row>
    <row r="794" spans="4:6" ht="12.75" customHeight="1" x14ac:dyDescent="0.25">
      <c r="D794" s="3"/>
      <c r="E794" s="3"/>
      <c r="F794" s="3"/>
    </row>
    <row r="795" spans="4:6" ht="12.75" customHeight="1" x14ac:dyDescent="0.25">
      <c r="D795" s="3"/>
      <c r="E795" s="3"/>
      <c r="F795" s="3"/>
    </row>
    <row r="796" spans="4:6" ht="12.75" customHeight="1" x14ac:dyDescent="0.25">
      <c r="D796" s="3"/>
      <c r="E796" s="3"/>
      <c r="F796" s="3"/>
    </row>
    <row r="797" spans="4:6" ht="12.75" customHeight="1" x14ac:dyDescent="0.25">
      <c r="D797" s="3"/>
      <c r="E797" s="3"/>
      <c r="F797" s="3"/>
    </row>
    <row r="798" spans="4:6" ht="12.75" customHeight="1" x14ac:dyDescent="0.25">
      <c r="D798" s="3"/>
      <c r="E798" s="3"/>
      <c r="F798" s="3"/>
    </row>
    <row r="799" spans="4:6" ht="12.75" customHeight="1" x14ac:dyDescent="0.25">
      <c r="D799" s="3"/>
      <c r="E799" s="3"/>
      <c r="F799" s="3"/>
    </row>
    <row r="800" spans="4:6" ht="12.75" customHeight="1" x14ac:dyDescent="0.25">
      <c r="D800" s="3"/>
      <c r="E800" s="3"/>
      <c r="F800" s="3"/>
    </row>
    <row r="801" spans="4:6" ht="12.75" customHeight="1" x14ac:dyDescent="0.25">
      <c r="D801" s="3"/>
      <c r="E801" s="3"/>
      <c r="F801" s="3"/>
    </row>
    <row r="802" spans="4:6" ht="12.75" customHeight="1" x14ac:dyDescent="0.25">
      <c r="D802" s="3"/>
      <c r="E802" s="3"/>
      <c r="F802" s="3"/>
    </row>
    <row r="803" spans="4:6" ht="12.75" customHeight="1" x14ac:dyDescent="0.25">
      <c r="D803" s="3"/>
      <c r="E803" s="3"/>
      <c r="F803" s="3"/>
    </row>
    <row r="804" spans="4:6" ht="12.75" customHeight="1" x14ac:dyDescent="0.25">
      <c r="D804" s="3"/>
      <c r="E804" s="3"/>
      <c r="F804" s="3"/>
    </row>
    <row r="805" spans="4:6" ht="12.75" customHeight="1" x14ac:dyDescent="0.25">
      <c r="D805" s="3"/>
      <c r="E805" s="3"/>
      <c r="F805" s="3"/>
    </row>
    <row r="806" spans="4:6" ht="12.75" customHeight="1" x14ac:dyDescent="0.25">
      <c r="D806" s="3"/>
      <c r="E806" s="3"/>
      <c r="F806" s="3"/>
    </row>
    <row r="807" spans="4:6" ht="12.75" customHeight="1" x14ac:dyDescent="0.25">
      <c r="D807" s="3"/>
      <c r="E807" s="3"/>
      <c r="F807" s="3"/>
    </row>
    <row r="808" spans="4:6" ht="12.75" customHeight="1" x14ac:dyDescent="0.25">
      <c r="D808" s="3"/>
      <c r="E808" s="3"/>
      <c r="F808" s="3"/>
    </row>
    <row r="809" spans="4:6" ht="12.75" customHeight="1" x14ac:dyDescent="0.25">
      <c r="D809" s="3"/>
      <c r="E809" s="3"/>
      <c r="F809" s="3"/>
    </row>
    <row r="810" spans="4:6" ht="12.75" customHeight="1" x14ac:dyDescent="0.25">
      <c r="D810" s="3"/>
      <c r="E810" s="3"/>
      <c r="F810" s="3"/>
    </row>
    <row r="811" spans="4:6" ht="12.75" customHeight="1" x14ac:dyDescent="0.25">
      <c r="D811" s="3"/>
      <c r="E811" s="3"/>
      <c r="F811" s="3"/>
    </row>
    <row r="812" spans="4:6" ht="12.75" customHeight="1" x14ac:dyDescent="0.25">
      <c r="D812" s="3"/>
      <c r="E812" s="3"/>
      <c r="F812" s="3"/>
    </row>
    <row r="813" spans="4:6" ht="12.75" customHeight="1" x14ac:dyDescent="0.25">
      <c r="D813" s="3"/>
      <c r="E813" s="3"/>
      <c r="F813" s="3"/>
    </row>
    <row r="814" spans="4:6" ht="12.75" customHeight="1" x14ac:dyDescent="0.25">
      <c r="D814" s="3"/>
      <c r="E814" s="3"/>
      <c r="F814" s="3"/>
    </row>
    <row r="815" spans="4:6" ht="12.75" customHeight="1" x14ac:dyDescent="0.25">
      <c r="D815" s="3"/>
      <c r="E815" s="3"/>
      <c r="F815" s="3"/>
    </row>
    <row r="816" spans="4:6" ht="12.75" customHeight="1" x14ac:dyDescent="0.25">
      <c r="D816" s="3"/>
      <c r="E816" s="3"/>
      <c r="F816" s="3"/>
    </row>
    <row r="817" spans="4:6" ht="12.75" customHeight="1" x14ac:dyDescent="0.25">
      <c r="D817" s="3"/>
      <c r="E817" s="3"/>
      <c r="F817" s="3"/>
    </row>
    <row r="818" spans="4:6" ht="12.75" customHeight="1" x14ac:dyDescent="0.25">
      <c r="D818" s="3"/>
      <c r="E818" s="3"/>
      <c r="F818" s="3"/>
    </row>
    <row r="819" spans="4:6" ht="12.75" customHeight="1" x14ac:dyDescent="0.25">
      <c r="D819" s="3"/>
      <c r="E819" s="3"/>
      <c r="F819" s="3"/>
    </row>
    <row r="820" spans="4:6" ht="12.75" customHeight="1" x14ac:dyDescent="0.25">
      <c r="D820" s="3"/>
      <c r="E820" s="3"/>
      <c r="F820" s="3"/>
    </row>
    <row r="821" spans="4:6" ht="12.75" customHeight="1" x14ac:dyDescent="0.25">
      <c r="D821" s="3"/>
      <c r="E821" s="3"/>
      <c r="F821" s="3"/>
    </row>
    <row r="822" spans="4:6" ht="12.75" customHeight="1" x14ac:dyDescent="0.25">
      <c r="D822" s="3"/>
      <c r="E822" s="3"/>
      <c r="F822" s="3"/>
    </row>
    <row r="823" spans="4:6" ht="12.75" customHeight="1" x14ac:dyDescent="0.25">
      <c r="D823" s="3"/>
      <c r="E823" s="3"/>
      <c r="F823" s="3"/>
    </row>
    <row r="824" spans="4:6" ht="12.75" customHeight="1" x14ac:dyDescent="0.25">
      <c r="D824" s="3"/>
      <c r="E824" s="3"/>
      <c r="F824" s="3"/>
    </row>
    <row r="825" spans="4:6" ht="12.75" customHeight="1" x14ac:dyDescent="0.25">
      <c r="D825" s="3"/>
      <c r="E825" s="3"/>
      <c r="F825" s="3"/>
    </row>
    <row r="826" spans="4:6" ht="12.75" customHeight="1" x14ac:dyDescent="0.25">
      <c r="D826" s="3"/>
      <c r="E826" s="3"/>
      <c r="F826" s="3"/>
    </row>
    <row r="827" spans="4:6" ht="12.75" customHeight="1" x14ac:dyDescent="0.25">
      <c r="D827" s="3"/>
      <c r="E827" s="3"/>
      <c r="F827" s="3"/>
    </row>
    <row r="828" spans="4:6" ht="12.75" customHeight="1" x14ac:dyDescent="0.25">
      <c r="D828" s="3"/>
      <c r="E828" s="3"/>
      <c r="F828" s="3"/>
    </row>
    <row r="829" spans="4:6" ht="12.75" customHeight="1" x14ac:dyDescent="0.25">
      <c r="D829" s="3"/>
      <c r="E829" s="3"/>
      <c r="F829" s="3"/>
    </row>
    <row r="830" spans="4:6" ht="12.75" customHeight="1" x14ac:dyDescent="0.25">
      <c r="D830" s="3"/>
      <c r="E830" s="3"/>
      <c r="F830" s="3"/>
    </row>
    <row r="831" spans="4:6" ht="12.75" customHeight="1" x14ac:dyDescent="0.25">
      <c r="D831" s="3"/>
      <c r="E831" s="3"/>
      <c r="F831" s="3"/>
    </row>
    <row r="832" spans="4:6" ht="12.75" customHeight="1" x14ac:dyDescent="0.25">
      <c r="D832" s="3"/>
      <c r="E832" s="3"/>
      <c r="F832" s="3"/>
    </row>
    <row r="833" spans="4:6" ht="12.75" customHeight="1" x14ac:dyDescent="0.25">
      <c r="D833" s="3"/>
      <c r="E833" s="3"/>
      <c r="F833" s="3"/>
    </row>
    <row r="834" spans="4:6" ht="12.75" customHeight="1" x14ac:dyDescent="0.25">
      <c r="D834" s="3"/>
      <c r="E834" s="3"/>
      <c r="F834" s="3"/>
    </row>
    <row r="835" spans="4:6" ht="12.75" customHeight="1" x14ac:dyDescent="0.25">
      <c r="D835" s="3"/>
      <c r="E835" s="3"/>
      <c r="F835" s="3"/>
    </row>
    <row r="836" spans="4:6" ht="12.75" customHeight="1" x14ac:dyDescent="0.25">
      <c r="D836" s="3"/>
      <c r="E836" s="3"/>
      <c r="F836" s="3"/>
    </row>
    <row r="837" spans="4:6" ht="12.75" customHeight="1" x14ac:dyDescent="0.25">
      <c r="D837" s="3"/>
      <c r="E837" s="3"/>
      <c r="F837" s="3"/>
    </row>
    <row r="838" spans="4:6" ht="12.75" customHeight="1" x14ac:dyDescent="0.25">
      <c r="D838" s="3"/>
      <c r="E838" s="3"/>
      <c r="F838" s="3"/>
    </row>
    <row r="839" spans="4:6" ht="12.75" customHeight="1" x14ac:dyDescent="0.25">
      <c r="D839" s="3"/>
      <c r="E839" s="3"/>
      <c r="F839" s="3"/>
    </row>
    <row r="840" spans="4:6" ht="12.75" customHeight="1" x14ac:dyDescent="0.25">
      <c r="D840" s="3"/>
      <c r="E840" s="3"/>
      <c r="F840" s="3"/>
    </row>
    <row r="841" spans="4:6" ht="12.75" customHeight="1" x14ac:dyDescent="0.25">
      <c r="D841" s="3"/>
      <c r="E841" s="3"/>
      <c r="F841" s="3"/>
    </row>
    <row r="842" spans="4:6" ht="12.75" customHeight="1" x14ac:dyDescent="0.25">
      <c r="D842" s="3"/>
      <c r="E842" s="3"/>
      <c r="F842" s="3"/>
    </row>
    <row r="843" spans="4:6" ht="12.75" customHeight="1" x14ac:dyDescent="0.25">
      <c r="D843" s="3"/>
      <c r="E843" s="3"/>
      <c r="F843" s="3"/>
    </row>
    <row r="844" spans="4:6" ht="12.75" customHeight="1" x14ac:dyDescent="0.25">
      <c r="D844" s="3"/>
      <c r="E844" s="3"/>
      <c r="F844" s="3"/>
    </row>
    <row r="845" spans="4:6" ht="12.75" customHeight="1" x14ac:dyDescent="0.25">
      <c r="D845" s="3"/>
      <c r="E845" s="3"/>
      <c r="F845" s="3"/>
    </row>
    <row r="846" spans="4:6" ht="12.75" customHeight="1" x14ac:dyDescent="0.25">
      <c r="D846" s="3"/>
      <c r="E846" s="3"/>
      <c r="F846" s="3"/>
    </row>
    <row r="847" spans="4:6" ht="12.75" customHeight="1" x14ac:dyDescent="0.25">
      <c r="D847" s="3"/>
      <c r="E847" s="3"/>
      <c r="F847" s="3"/>
    </row>
    <row r="848" spans="4:6" ht="12.75" customHeight="1" x14ac:dyDescent="0.25">
      <c r="D848" s="3"/>
      <c r="E848" s="3"/>
      <c r="F848" s="3"/>
    </row>
    <row r="849" spans="4:6" ht="12.75" customHeight="1" x14ac:dyDescent="0.25">
      <c r="D849" s="3"/>
      <c r="E849" s="3"/>
      <c r="F849" s="3"/>
    </row>
    <row r="850" spans="4:6" ht="12.75" customHeight="1" x14ac:dyDescent="0.25">
      <c r="D850" s="3"/>
      <c r="E850" s="3"/>
      <c r="F850" s="3"/>
    </row>
    <row r="851" spans="4:6" ht="12.75" customHeight="1" x14ac:dyDescent="0.25">
      <c r="D851" s="3"/>
      <c r="E851" s="3"/>
      <c r="F851" s="3"/>
    </row>
    <row r="852" spans="4:6" ht="12.75" customHeight="1" x14ac:dyDescent="0.25">
      <c r="D852" s="3"/>
      <c r="E852" s="3"/>
      <c r="F852" s="3"/>
    </row>
    <row r="853" spans="4:6" ht="12.75" customHeight="1" x14ac:dyDescent="0.25">
      <c r="D853" s="3"/>
      <c r="E853" s="3"/>
      <c r="F853" s="3"/>
    </row>
    <row r="854" spans="4:6" ht="12.75" customHeight="1" x14ac:dyDescent="0.25">
      <c r="D854" s="3"/>
      <c r="E854" s="3"/>
      <c r="F854" s="3"/>
    </row>
    <row r="855" spans="4:6" ht="12.75" customHeight="1" x14ac:dyDescent="0.25">
      <c r="D855" s="3"/>
      <c r="E855" s="3"/>
      <c r="F855" s="3"/>
    </row>
    <row r="856" spans="4:6" ht="12.75" customHeight="1" x14ac:dyDescent="0.25">
      <c r="D856" s="3"/>
      <c r="E856" s="3"/>
      <c r="F856" s="3"/>
    </row>
    <row r="857" spans="4:6" ht="12.75" customHeight="1" x14ac:dyDescent="0.25">
      <c r="D857" s="3"/>
      <c r="E857" s="3"/>
      <c r="F857" s="3"/>
    </row>
    <row r="858" spans="4:6" ht="12.75" customHeight="1" x14ac:dyDescent="0.25">
      <c r="D858" s="3"/>
      <c r="E858" s="3"/>
      <c r="F858" s="3"/>
    </row>
    <row r="859" spans="4:6" ht="12.75" customHeight="1" x14ac:dyDescent="0.25">
      <c r="D859" s="3"/>
      <c r="E859" s="3"/>
      <c r="F859" s="3"/>
    </row>
    <row r="860" spans="4:6" ht="12.75" customHeight="1" x14ac:dyDescent="0.25">
      <c r="D860" s="3"/>
      <c r="E860" s="3"/>
      <c r="F860" s="3"/>
    </row>
    <row r="861" spans="4:6" ht="12.75" customHeight="1" x14ac:dyDescent="0.25">
      <c r="D861" s="3"/>
      <c r="E861" s="3"/>
      <c r="F861" s="3"/>
    </row>
    <row r="862" spans="4:6" ht="12.75" customHeight="1" x14ac:dyDescent="0.25">
      <c r="D862" s="3"/>
      <c r="E862" s="3"/>
      <c r="F862" s="3"/>
    </row>
    <row r="863" spans="4:6" ht="12.75" customHeight="1" x14ac:dyDescent="0.25">
      <c r="D863" s="3"/>
      <c r="E863" s="3"/>
      <c r="F863" s="3"/>
    </row>
    <row r="864" spans="4:6" ht="12.75" customHeight="1" x14ac:dyDescent="0.25">
      <c r="D864" s="3"/>
      <c r="E864" s="3"/>
      <c r="F864" s="3"/>
    </row>
    <row r="865" spans="4:6" ht="12.75" customHeight="1" x14ac:dyDescent="0.25">
      <c r="D865" s="3"/>
      <c r="E865" s="3"/>
      <c r="F865" s="3"/>
    </row>
    <row r="866" spans="4:6" ht="12.75" customHeight="1" x14ac:dyDescent="0.25">
      <c r="D866" s="3"/>
      <c r="E866" s="3"/>
      <c r="F866" s="3"/>
    </row>
    <row r="867" spans="4:6" ht="12.75" customHeight="1" x14ac:dyDescent="0.25">
      <c r="D867" s="3"/>
      <c r="E867" s="3"/>
      <c r="F867" s="3"/>
    </row>
    <row r="868" spans="4:6" ht="12.75" customHeight="1" x14ac:dyDescent="0.25">
      <c r="D868" s="3"/>
      <c r="E868" s="3"/>
      <c r="F868" s="3"/>
    </row>
    <row r="869" spans="4:6" ht="12.75" customHeight="1" x14ac:dyDescent="0.25">
      <c r="D869" s="3"/>
      <c r="E869" s="3"/>
      <c r="F869" s="3"/>
    </row>
    <row r="870" spans="4:6" ht="12.75" customHeight="1" x14ac:dyDescent="0.25">
      <c r="D870" s="3"/>
      <c r="E870" s="3"/>
      <c r="F870" s="3"/>
    </row>
    <row r="871" spans="4:6" ht="12.75" customHeight="1" x14ac:dyDescent="0.25">
      <c r="D871" s="3"/>
      <c r="E871" s="3"/>
      <c r="F871" s="3"/>
    </row>
    <row r="872" spans="4:6" ht="12.75" customHeight="1" x14ac:dyDescent="0.25">
      <c r="D872" s="3"/>
      <c r="E872" s="3"/>
      <c r="F872" s="3"/>
    </row>
    <row r="873" spans="4:6" ht="12.75" customHeight="1" x14ac:dyDescent="0.25">
      <c r="D873" s="3"/>
      <c r="E873" s="3"/>
      <c r="F873" s="3"/>
    </row>
    <row r="874" spans="4:6" ht="12.75" customHeight="1" x14ac:dyDescent="0.25">
      <c r="D874" s="3"/>
      <c r="E874" s="3"/>
      <c r="F874" s="3"/>
    </row>
    <row r="875" spans="4:6" ht="12.75" customHeight="1" x14ac:dyDescent="0.25">
      <c r="D875" s="3"/>
      <c r="E875" s="3"/>
      <c r="F875" s="3"/>
    </row>
    <row r="876" spans="4:6" ht="12.75" customHeight="1" x14ac:dyDescent="0.25">
      <c r="D876" s="3"/>
      <c r="E876" s="3"/>
      <c r="F876" s="3"/>
    </row>
    <row r="877" spans="4:6" ht="12.75" customHeight="1" x14ac:dyDescent="0.25">
      <c r="D877" s="3"/>
      <c r="E877" s="3"/>
      <c r="F877" s="3"/>
    </row>
    <row r="878" spans="4:6" ht="12.75" customHeight="1" x14ac:dyDescent="0.25">
      <c r="D878" s="3"/>
      <c r="E878" s="3"/>
      <c r="F878" s="3"/>
    </row>
    <row r="879" spans="4:6" ht="12.75" customHeight="1" x14ac:dyDescent="0.25">
      <c r="D879" s="3"/>
      <c r="E879" s="3"/>
      <c r="F879" s="3"/>
    </row>
    <row r="880" spans="4:6" ht="12.75" customHeight="1" x14ac:dyDescent="0.25">
      <c r="D880" s="3"/>
      <c r="E880" s="3"/>
      <c r="F880" s="3"/>
    </row>
    <row r="881" spans="4:6" ht="12.75" customHeight="1" x14ac:dyDescent="0.25">
      <c r="D881" s="3"/>
      <c r="E881" s="3"/>
      <c r="F881" s="3"/>
    </row>
    <row r="882" spans="4:6" ht="12.75" customHeight="1" x14ac:dyDescent="0.25">
      <c r="D882" s="3"/>
      <c r="E882" s="3"/>
      <c r="F882" s="3"/>
    </row>
    <row r="883" spans="4:6" ht="12.75" customHeight="1" x14ac:dyDescent="0.25">
      <c r="D883" s="3"/>
      <c r="E883" s="3"/>
      <c r="F883" s="3"/>
    </row>
    <row r="884" spans="4:6" ht="12.75" customHeight="1" x14ac:dyDescent="0.25">
      <c r="D884" s="3"/>
      <c r="E884" s="3"/>
      <c r="F884" s="3"/>
    </row>
    <row r="885" spans="4:6" ht="12.75" customHeight="1" x14ac:dyDescent="0.25">
      <c r="D885" s="3"/>
      <c r="E885" s="3"/>
      <c r="F885" s="3"/>
    </row>
    <row r="886" spans="4:6" ht="12.75" customHeight="1" x14ac:dyDescent="0.25">
      <c r="D886" s="3"/>
      <c r="E886" s="3"/>
      <c r="F886" s="3"/>
    </row>
    <row r="887" spans="4:6" ht="12.75" customHeight="1" x14ac:dyDescent="0.25">
      <c r="D887" s="3"/>
      <c r="E887" s="3"/>
      <c r="F887" s="3"/>
    </row>
    <row r="888" spans="4:6" ht="12.75" customHeight="1" x14ac:dyDescent="0.25">
      <c r="D888" s="3"/>
      <c r="E888" s="3"/>
      <c r="F888" s="3"/>
    </row>
    <row r="889" spans="4:6" ht="12.75" customHeight="1" x14ac:dyDescent="0.25">
      <c r="D889" s="3"/>
      <c r="E889" s="3"/>
      <c r="F889" s="3"/>
    </row>
    <row r="890" spans="4:6" ht="12.75" customHeight="1" x14ac:dyDescent="0.25">
      <c r="D890" s="3"/>
      <c r="E890" s="3"/>
      <c r="F890" s="3"/>
    </row>
    <row r="891" spans="4:6" ht="12.75" customHeight="1" x14ac:dyDescent="0.25">
      <c r="D891" s="3"/>
      <c r="E891" s="3"/>
      <c r="F891" s="3"/>
    </row>
    <row r="892" spans="4:6" ht="12.75" customHeight="1" x14ac:dyDescent="0.25">
      <c r="D892" s="3"/>
      <c r="E892" s="3"/>
      <c r="F892" s="3"/>
    </row>
    <row r="893" spans="4:6" ht="12.75" customHeight="1" x14ac:dyDescent="0.25">
      <c r="D893" s="3"/>
      <c r="E893" s="3"/>
      <c r="F893" s="3"/>
    </row>
    <row r="894" spans="4:6" ht="12.75" customHeight="1" x14ac:dyDescent="0.25">
      <c r="D894" s="3"/>
      <c r="E894" s="3"/>
      <c r="F894" s="3"/>
    </row>
    <row r="895" spans="4:6" ht="12.75" customHeight="1" x14ac:dyDescent="0.25">
      <c r="D895" s="3"/>
      <c r="E895" s="3"/>
      <c r="F895" s="3"/>
    </row>
    <row r="896" spans="4:6" ht="12.75" customHeight="1" x14ac:dyDescent="0.25">
      <c r="D896" s="3"/>
      <c r="E896" s="3"/>
      <c r="F896" s="3"/>
    </row>
    <row r="897" spans="4:6" ht="12.75" customHeight="1" x14ac:dyDescent="0.25">
      <c r="D897" s="3"/>
      <c r="E897" s="3"/>
      <c r="F897" s="3"/>
    </row>
    <row r="898" spans="4:6" ht="12.75" customHeight="1" x14ac:dyDescent="0.25">
      <c r="D898" s="3"/>
      <c r="E898" s="3"/>
      <c r="F898" s="3"/>
    </row>
    <row r="899" spans="4:6" ht="12.75" customHeight="1" x14ac:dyDescent="0.25">
      <c r="D899" s="3"/>
      <c r="E899" s="3"/>
      <c r="F899" s="3"/>
    </row>
    <row r="900" spans="4:6" ht="12.75" customHeight="1" x14ac:dyDescent="0.25">
      <c r="D900" s="3"/>
      <c r="E900" s="3"/>
      <c r="F900" s="3"/>
    </row>
    <row r="901" spans="4:6" ht="12.75" customHeight="1" x14ac:dyDescent="0.25">
      <c r="D901" s="3"/>
      <c r="E901" s="3"/>
      <c r="F901" s="3"/>
    </row>
    <row r="902" spans="4:6" ht="12.75" customHeight="1" x14ac:dyDescent="0.25">
      <c r="D902" s="3"/>
      <c r="E902" s="3"/>
      <c r="F902" s="3"/>
    </row>
    <row r="903" spans="4:6" ht="12.75" customHeight="1" x14ac:dyDescent="0.25">
      <c r="D903" s="3"/>
      <c r="E903" s="3"/>
      <c r="F903" s="3"/>
    </row>
    <row r="904" spans="4:6" ht="12.75" customHeight="1" x14ac:dyDescent="0.25">
      <c r="D904" s="3"/>
      <c r="E904" s="3"/>
      <c r="F904" s="3"/>
    </row>
    <row r="905" spans="4:6" ht="12.75" customHeight="1" x14ac:dyDescent="0.25">
      <c r="D905" s="3"/>
      <c r="E905" s="3"/>
      <c r="F905" s="3"/>
    </row>
    <row r="906" spans="4:6" ht="12.75" customHeight="1" x14ac:dyDescent="0.25">
      <c r="D906" s="3"/>
      <c r="E906" s="3"/>
      <c r="F906" s="3"/>
    </row>
    <row r="907" spans="4:6" ht="12.75" customHeight="1" x14ac:dyDescent="0.25">
      <c r="D907" s="3"/>
      <c r="E907" s="3"/>
      <c r="F907" s="3"/>
    </row>
    <row r="908" spans="4:6" ht="12.75" customHeight="1" x14ac:dyDescent="0.25">
      <c r="D908" s="3"/>
      <c r="E908" s="3"/>
      <c r="F908" s="3"/>
    </row>
    <row r="909" spans="4:6" ht="12.75" customHeight="1" x14ac:dyDescent="0.25">
      <c r="D909" s="3"/>
      <c r="E909" s="3"/>
      <c r="F909" s="3"/>
    </row>
    <row r="910" spans="4:6" ht="12.75" customHeight="1" x14ac:dyDescent="0.25">
      <c r="D910" s="3"/>
      <c r="E910" s="3"/>
      <c r="F910" s="3"/>
    </row>
    <row r="911" spans="4:6" ht="12.75" customHeight="1" x14ac:dyDescent="0.25">
      <c r="D911" s="3"/>
      <c r="E911" s="3"/>
      <c r="F911" s="3"/>
    </row>
    <row r="912" spans="4:6" ht="12.75" customHeight="1" x14ac:dyDescent="0.25">
      <c r="D912" s="3"/>
      <c r="E912" s="3"/>
      <c r="F912" s="3"/>
    </row>
    <row r="913" spans="4:6" ht="12.75" customHeight="1" x14ac:dyDescent="0.25">
      <c r="D913" s="3"/>
      <c r="E913" s="3"/>
      <c r="F913" s="3"/>
    </row>
    <row r="914" spans="4:6" ht="12.75" customHeight="1" x14ac:dyDescent="0.25">
      <c r="D914" s="3"/>
      <c r="E914" s="3"/>
      <c r="F914" s="3"/>
    </row>
    <row r="915" spans="4:6" ht="12.75" customHeight="1" x14ac:dyDescent="0.25">
      <c r="D915" s="3"/>
      <c r="E915" s="3"/>
      <c r="F915" s="3"/>
    </row>
    <row r="916" spans="4:6" ht="12.75" customHeight="1" x14ac:dyDescent="0.25">
      <c r="D916" s="3"/>
      <c r="E916" s="3"/>
      <c r="F916" s="3"/>
    </row>
    <row r="917" spans="4:6" ht="12.75" customHeight="1" x14ac:dyDescent="0.25">
      <c r="D917" s="3"/>
      <c r="E917" s="3"/>
      <c r="F917" s="3"/>
    </row>
    <row r="918" spans="4:6" ht="12.75" customHeight="1" x14ac:dyDescent="0.25">
      <c r="D918" s="3"/>
      <c r="E918" s="3"/>
      <c r="F918" s="3"/>
    </row>
    <row r="919" spans="4:6" ht="12.75" customHeight="1" x14ac:dyDescent="0.25">
      <c r="D919" s="3"/>
      <c r="E919" s="3"/>
      <c r="F919" s="3"/>
    </row>
    <row r="920" spans="4:6" ht="12.75" customHeight="1" x14ac:dyDescent="0.25">
      <c r="D920" s="3"/>
      <c r="E920" s="3"/>
      <c r="F920" s="3"/>
    </row>
    <row r="921" spans="4:6" ht="12.75" customHeight="1" x14ac:dyDescent="0.25">
      <c r="D921" s="3"/>
      <c r="E921" s="3"/>
      <c r="F921" s="3"/>
    </row>
    <row r="922" spans="4:6" ht="12.75" customHeight="1" x14ac:dyDescent="0.25">
      <c r="D922" s="3"/>
      <c r="E922" s="3"/>
      <c r="F922" s="3"/>
    </row>
    <row r="923" spans="4:6" ht="12.75" customHeight="1" x14ac:dyDescent="0.25">
      <c r="D923" s="3"/>
      <c r="E923" s="3"/>
      <c r="F923" s="3"/>
    </row>
    <row r="924" spans="4:6" ht="12.75" customHeight="1" x14ac:dyDescent="0.25">
      <c r="D924" s="3"/>
      <c r="E924" s="3"/>
      <c r="F924" s="3"/>
    </row>
    <row r="925" spans="4:6" ht="12.75" customHeight="1" x14ac:dyDescent="0.25">
      <c r="D925" s="3"/>
      <c r="E925" s="3"/>
      <c r="F925" s="3"/>
    </row>
    <row r="926" spans="4:6" ht="12.75" customHeight="1" x14ac:dyDescent="0.25">
      <c r="D926" s="3"/>
      <c r="E926" s="3"/>
      <c r="F926" s="3"/>
    </row>
    <row r="927" spans="4:6" ht="12.75" customHeight="1" x14ac:dyDescent="0.25">
      <c r="D927" s="3"/>
      <c r="E927" s="3"/>
      <c r="F927" s="3"/>
    </row>
    <row r="928" spans="4:6" ht="12.75" customHeight="1" x14ac:dyDescent="0.25">
      <c r="D928" s="3"/>
      <c r="E928" s="3"/>
      <c r="F928" s="3"/>
    </row>
    <row r="929" spans="4:6" ht="12.75" customHeight="1" x14ac:dyDescent="0.25">
      <c r="D929" s="3"/>
      <c r="E929" s="3"/>
      <c r="F929" s="3"/>
    </row>
    <row r="930" spans="4:6" ht="12.75" customHeight="1" x14ac:dyDescent="0.25">
      <c r="D930" s="3"/>
      <c r="E930" s="3"/>
      <c r="F930" s="3"/>
    </row>
    <row r="931" spans="4:6" ht="12.75" customHeight="1" x14ac:dyDescent="0.25">
      <c r="D931" s="3"/>
      <c r="E931" s="3"/>
      <c r="F931" s="3"/>
    </row>
    <row r="932" spans="4:6" ht="12.75" customHeight="1" x14ac:dyDescent="0.25">
      <c r="D932" s="3"/>
      <c r="E932" s="3"/>
      <c r="F932" s="3"/>
    </row>
    <row r="933" spans="4:6" ht="12.75" customHeight="1" x14ac:dyDescent="0.25">
      <c r="D933" s="3"/>
      <c r="E933" s="3"/>
      <c r="F933" s="3"/>
    </row>
    <row r="934" spans="4:6" ht="12.75" customHeight="1" x14ac:dyDescent="0.25">
      <c r="D934" s="3"/>
      <c r="E934" s="3"/>
      <c r="F934" s="3"/>
    </row>
    <row r="935" spans="4:6" ht="12.75" customHeight="1" x14ac:dyDescent="0.25">
      <c r="D935" s="3"/>
      <c r="E935" s="3"/>
      <c r="F935" s="3"/>
    </row>
    <row r="936" spans="4:6" ht="12.75" customHeight="1" x14ac:dyDescent="0.25">
      <c r="D936" s="3"/>
      <c r="E936" s="3"/>
      <c r="F936" s="3"/>
    </row>
    <row r="937" spans="4:6" ht="12.75" customHeight="1" x14ac:dyDescent="0.25">
      <c r="D937" s="3"/>
      <c r="E937" s="3"/>
      <c r="F937" s="3"/>
    </row>
    <row r="938" spans="4:6" ht="12.75" customHeight="1" x14ac:dyDescent="0.25">
      <c r="D938" s="3"/>
      <c r="E938" s="3"/>
      <c r="F938" s="3"/>
    </row>
    <row r="939" spans="4:6" ht="12.75" customHeight="1" x14ac:dyDescent="0.25">
      <c r="D939" s="3"/>
      <c r="E939" s="3"/>
      <c r="F939" s="3"/>
    </row>
    <row r="940" spans="4:6" ht="12.75" customHeight="1" x14ac:dyDescent="0.25">
      <c r="D940" s="3"/>
      <c r="E940" s="3"/>
      <c r="F940" s="3"/>
    </row>
    <row r="941" spans="4:6" ht="12.75" customHeight="1" x14ac:dyDescent="0.25">
      <c r="D941" s="3"/>
      <c r="E941" s="3"/>
      <c r="F941" s="3"/>
    </row>
    <row r="942" spans="4:6" ht="12.75" customHeight="1" x14ac:dyDescent="0.25">
      <c r="D942" s="3"/>
      <c r="E942" s="3"/>
      <c r="F942" s="3"/>
    </row>
    <row r="943" spans="4:6" ht="12.75" customHeight="1" x14ac:dyDescent="0.25">
      <c r="D943" s="3"/>
      <c r="E943" s="3"/>
      <c r="F943" s="3"/>
    </row>
    <row r="944" spans="4:6" ht="12.75" customHeight="1" x14ac:dyDescent="0.25">
      <c r="D944" s="3"/>
      <c r="E944" s="3"/>
      <c r="F944" s="3"/>
    </row>
    <row r="945" spans="4:6" ht="12.75" customHeight="1" x14ac:dyDescent="0.25">
      <c r="D945" s="3"/>
      <c r="E945" s="3"/>
      <c r="F945" s="3"/>
    </row>
    <row r="946" spans="4:6" ht="12.75" customHeight="1" x14ac:dyDescent="0.25">
      <c r="D946" s="3"/>
      <c r="E946" s="3"/>
      <c r="F946" s="3"/>
    </row>
    <row r="947" spans="4:6" ht="12.75" customHeight="1" x14ac:dyDescent="0.25">
      <c r="D947" s="3"/>
      <c r="E947" s="3"/>
      <c r="F947" s="3"/>
    </row>
    <row r="948" spans="4:6" ht="12.75" customHeight="1" x14ac:dyDescent="0.25">
      <c r="D948" s="3"/>
      <c r="E948" s="3"/>
      <c r="F948" s="3"/>
    </row>
    <row r="949" spans="4:6" ht="12.75" customHeight="1" x14ac:dyDescent="0.25">
      <c r="D949" s="3"/>
      <c r="E949" s="3"/>
      <c r="F949" s="3"/>
    </row>
    <row r="950" spans="4:6" ht="12.75" customHeight="1" x14ac:dyDescent="0.25">
      <c r="D950" s="3"/>
      <c r="E950" s="3"/>
      <c r="F950" s="3"/>
    </row>
    <row r="951" spans="4:6" ht="12.75" customHeight="1" x14ac:dyDescent="0.25">
      <c r="D951" s="3"/>
      <c r="E951" s="3"/>
      <c r="F951" s="3"/>
    </row>
    <row r="952" spans="4:6" ht="12.75" customHeight="1" x14ac:dyDescent="0.25">
      <c r="D952" s="3"/>
      <c r="E952" s="3"/>
      <c r="F952" s="3"/>
    </row>
    <row r="953" spans="4:6" ht="12.75" customHeight="1" x14ac:dyDescent="0.25">
      <c r="D953" s="3"/>
      <c r="E953" s="3"/>
      <c r="F953" s="3"/>
    </row>
    <row r="954" spans="4:6" ht="12.75" customHeight="1" x14ac:dyDescent="0.25">
      <c r="D954" s="3"/>
      <c r="E954" s="3"/>
      <c r="F954" s="3"/>
    </row>
    <row r="955" spans="4:6" ht="12.75" customHeight="1" x14ac:dyDescent="0.25">
      <c r="D955" s="3"/>
      <c r="E955" s="3"/>
      <c r="F955" s="3"/>
    </row>
    <row r="956" spans="4:6" ht="12.75" customHeight="1" x14ac:dyDescent="0.25">
      <c r="D956" s="3"/>
      <c r="E956" s="3"/>
      <c r="F956" s="3"/>
    </row>
    <row r="957" spans="4:6" ht="12.75" customHeight="1" x14ac:dyDescent="0.25">
      <c r="D957" s="3"/>
      <c r="E957" s="3"/>
      <c r="F957" s="3"/>
    </row>
    <row r="958" spans="4:6" ht="12.75" customHeight="1" x14ac:dyDescent="0.25">
      <c r="D958" s="3"/>
      <c r="E958" s="3"/>
      <c r="F958" s="3"/>
    </row>
    <row r="959" spans="4:6" ht="12.75" customHeight="1" x14ac:dyDescent="0.25">
      <c r="D959" s="3"/>
      <c r="E959" s="3"/>
      <c r="F959" s="3"/>
    </row>
    <row r="960" spans="4:6" ht="12.75" customHeight="1" x14ac:dyDescent="0.25">
      <c r="D960" s="3"/>
      <c r="E960" s="3"/>
      <c r="F960" s="3"/>
    </row>
    <row r="961" spans="4:6" ht="12.75" customHeight="1" x14ac:dyDescent="0.25">
      <c r="D961" s="3"/>
      <c r="E961" s="3"/>
      <c r="F961" s="3"/>
    </row>
    <row r="962" spans="4:6" ht="12.75" customHeight="1" x14ac:dyDescent="0.25">
      <c r="D962" s="3"/>
      <c r="E962" s="3"/>
      <c r="F962" s="3"/>
    </row>
    <row r="963" spans="4:6" ht="12.75" customHeight="1" x14ac:dyDescent="0.25">
      <c r="D963" s="3"/>
      <c r="E963" s="3"/>
      <c r="F963" s="3"/>
    </row>
    <row r="964" spans="4:6" ht="12.75" customHeight="1" x14ac:dyDescent="0.25">
      <c r="D964" s="3"/>
      <c r="E964" s="3"/>
      <c r="F964" s="3"/>
    </row>
    <row r="965" spans="4:6" ht="12.75" customHeight="1" x14ac:dyDescent="0.25">
      <c r="D965" s="3"/>
      <c r="E965" s="3"/>
      <c r="F965" s="3"/>
    </row>
    <row r="966" spans="4:6" ht="12.75" customHeight="1" x14ac:dyDescent="0.25">
      <c r="D966" s="3"/>
      <c r="E966" s="3"/>
      <c r="F966" s="3"/>
    </row>
    <row r="967" spans="4:6" ht="12.75" customHeight="1" x14ac:dyDescent="0.25">
      <c r="D967" s="3"/>
      <c r="E967" s="3"/>
      <c r="F967" s="3"/>
    </row>
    <row r="968" spans="4:6" ht="12.75" customHeight="1" x14ac:dyDescent="0.25">
      <c r="D968" s="3"/>
      <c r="E968" s="3"/>
      <c r="F968" s="3"/>
    </row>
    <row r="969" spans="4:6" ht="12.75" customHeight="1" x14ac:dyDescent="0.25">
      <c r="D969" s="3"/>
      <c r="E969" s="3"/>
      <c r="F969" s="3"/>
    </row>
    <row r="970" spans="4:6" ht="12.75" customHeight="1" x14ac:dyDescent="0.25">
      <c r="D970" s="3"/>
      <c r="E970" s="3"/>
      <c r="F970" s="3"/>
    </row>
    <row r="971" spans="4:6" ht="12.75" customHeight="1" x14ac:dyDescent="0.25">
      <c r="D971" s="3"/>
      <c r="E971" s="3"/>
      <c r="F971" s="3"/>
    </row>
    <row r="972" spans="4:6" ht="12.75" customHeight="1" x14ac:dyDescent="0.25">
      <c r="D972" s="3"/>
      <c r="E972" s="3"/>
      <c r="F972" s="3"/>
    </row>
    <row r="973" spans="4:6" ht="12.75" customHeight="1" x14ac:dyDescent="0.25">
      <c r="D973" s="3"/>
      <c r="E973" s="3"/>
      <c r="F973" s="3"/>
    </row>
    <row r="974" spans="4:6" ht="12.75" customHeight="1" x14ac:dyDescent="0.25">
      <c r="D974" s="3"/>
      <c r="E974" s="3"/>
      <c r="F974" s="3"/>
    </row>
    <row r="975" spans="4:6" ht="12.75" customHeight="1" x14ac:dyDescent="0.25">
      <c r="D975" s="3"/>
      <c r="E975" s="3"/>
      <c r="F975" s="3"/>
    </row>
    <row r="976" spans="4:6" ht="12.75" customHeight="1" x14ac:dyDescent="0.25">
      <c r="D976" s="3"/>
      <c r="E976" s="3"/>
      <c r="F976" s="3"/>
    </row>
    <row r="977" spans="4:6" ht="12.75" customHeight="1" x14ac:dyDescent="0.25">
      <c r="D977" s="3"/>
      <c r="E977" s="3"/>
      <c r="F977" s="3"/>
    </row>
    <row r="978" spans="4:6" ht="12.75" customHeight="1" x14ac:dyDescent="0.25">
      <c r="D978" s="3"/>
      <c r="E978" s="3"/>
      <c r="F978" s="3"/>
    </row>
    <row r="979" spans="4:6" ht="12.75" customHeight="1" x14ac:dyDescent="0.25">
      <c r="D979" s="3"/>
      <c r="E979" s="3"/>
      <c r="F979" s="3"/>
    </row>
    <row r="980" spans="4:6" ht="12.75" customHeight="1" x14ac:dyDescent="0.25">
      <c r="D980" s="3"/>
      <c r="E980" s="3"/>
      <c r="F980" s="3"/>
    </row>
    <row r="981" spans="4:6" ht="12.75" customHeight="1" x14ac:dyDescent="0.25">
      <c r="D981" s="3"/>
      <c r="E981" s="3"/>
      <c r="F981" s="3"/>
    </row>
    <row r="982" spans="4:6" ht="12.75" customHeight="1" x14ac:dyDescent="0.25">
      <c r="D982" s="3"/>
      <c r="E982" s="3"/>
      <c r="F982" s="3"/>
    </row>
    <row r="983" spans="4:6" ht="12.75" customHeight="1" x14ac:dyDescent="0.25">
      <c r="D983" s="3"/>
      <c r="E983" s="3"/>
      <c r="F983" s="3"/>
    </row>
    <row r="984" spans="4:6" ht="12.75" customHeight="1" x14ac:dyDescent="0.25">
      <c r="D984" s="3"/>
      <c r="E984" s="3"/>
      <c r="F984" s="3"/>
    </row>
    <row r="985" spans="4:6" ht="12.75" customHeight="1" x14ac:dyDescent="0.25">
      <c r="D985" s="3"/>
      <c r="E985" s="3"/>
      <c r="F985" s="3"/>
    </row>
    <row r="986" spans="4:6" ht="12.75" customHeight="1" x14ac:dyDescent="0.25">
      <c r="D986" s="3"/>
      <c r="E986" s="3"/>
      <c r="F986" s="3"/>
    </row>
    <row r="987" spans="4:6" ht="12.75" customHeight="1" x14ac:dyDescent="0.25">
      <c r="D987" s="3"/>
      <c r="E987" s="3"/>
      <c r="F987" s="3"/>
    </row>
    <row r="988" spans="4:6" ht="12.75" customHeight="1" x14ac:dyDescent="0.25">
      <c r="D988" s="3"/>
      <c r="E988" s="3"/>
      <c r="F988" s="3"/>
    </row>
    <row r="989" spans="4:6" ht="12.75" customHeight="1" x14ac:dyDescent="0.25">
      <c r="D989" s="3"/>
      <c r="E989" s="3"/>
      <c r="F989" s="3"/>
    </row>
    <row r="990" spans="4:6" ht="12.75" customHeight="1" x14ac:dyDescent="0.25">
      <c r="D990" s="3"/>
      <c r="E990" s="3"/>
      <c r="F990" s="3"/>
    </row>
    <row r="991" spans="4:6" ht="12.75" customHeight="1" x14ac:dyDescent="0.25">
      <c r="D991" s="3"/>
      <c r="E991" s="3"/>
      <c r="F991" s="3"/>
    </row>
    <row r="992" spans="4:6" ht="12.75" customHeight="1" x14ac:dyDescent="0.25">
      <c r="D992" s="3"/>
      <c r="E992" s="3"/>
      <c r="F992" s="3"/>
    </row>
    <row r="993" spans="4:6" ht="12.75" customHeight="1" x14ac:dyDescent="0.25">
      <c r="D993" s="3"/>
      <c r="E993" s="3"/>
      <c r="F993" s="3"/>
    </row>
    <row r="994" spans="4:6" ht="12.75" customHeight="1" x14ac:dyDescent="0.25">
      <c r="D994" s="3"/>
      <c r="E994" s="3"/>
      <c r="F994" s="3"/>
    </row>
    <row r="995" spans="4:6" ht="12.75" customHeight="1" x14ac:dyDescent="0.25">
      <c r="D995" s="3"/>
      <c r="E995" s="3"/>
      <c r="F995" s="3"/>
    </row>
    <row r="996" spans="4:6" ht="12.75" customHeight="1" x14ac:dyDescent="0.25">
      <c r="D996" s="3"/>
      <c r="E996" s="3"/>
      <c r="F996" s="3"/>
    </row>
    <row r="997" spans="4:6" ht="12.75" customHeight="1" x14ac:dyDescent="0.25">
      <c r="D997" s="3"/>
      <c r="E997" s="3"/>
      <c r="F997" s="3"/>
    </row>
    <row r="998" spans="4:6" ht="12.75" customHeight="1" x14ac:dyDescent="0.25">
      <c r="D998" s="3"/>
      <c r="E998" s="3"/>
      <c r="F998" s="3"/>
    </row>
    <row r="999" spans="4:6" ht="12.75" customHeight="1" x14ac:dyDescent="0.25">
      <c r="D999" s="3"/>
      <c r="E999" s="3"/>
      <c r="F999" s="3"/>
    </row>
    <row r="1000" spans="4:6" ht="12.75" customHeight="1" x14ac:dyDescent="0.25">
      <c r="D1000" s="3"/>
      <c r="E1000" s="3"/>
      <c r="F1000" s="3"/>
    </row>
  </sheetData>
  <mergeCells count="4">
    <mergeCell ref="I3:M5"/>
    <mergeCell ref="I6:M8"/>
    <mergeCell ref="I10:M12"/>
    <mergeCell ref="I13:M15"/>
  </mergeCells>
  <conditionalFormatting sqref="G3:G15 G17:G1000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G3:G15 G17:G1000">
    <cfRule type="cellIs" dxfId="13" priority="2" stopIfTrue="1" operator="equal">
      <formula>"error"</formula>
    </cfRule>
  </conditionalFormatting>
  <conditionalFormatting sqref="G3:G15 G17:G1000">
    <cfRule type="cellIs" dxfId="12" priority="3" stopIfTrue="1" operator="equal">
      <formula>"OK"</formula>
    </cfRule>
  </conditionalFormatting>
  <conditionalFormatting sqref="I13">
    <cfRule type="colorScale" priority="4">
      <colorScale>
        <cfvo type="formula" val="0.19"/>
        <cfvo type="formula" val="0.2"/>
        <cfvo type="formula" val="0.5"/>
        <color rgb="FF92D050"/>
        <color rgb="FFFFEB84"/>
        <color rgb="FFD99594"/>
      </colorScale>
    </cfRule>
  </conditionalFormatting>
  <conditionalFormatting sqref="I6:M8">
    <cfRule type="colorScale" priority="5">
      <colorScale>
        <cfvo type="formula" val="0.19"/>
        <cfvo type="formula" val="0.2"/>
        <cfvo type="formula" val="0.5"/>
        <color rgb="FF92D050"/>
        <color rgb="FFFFEB84"/>
        <color rgb="FFD99594"/>
      </colorScale>
    </cfRule>
  </conditionalFormatting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00"/>
  <sheetViews>
    <sheetView tabSelected="1" workbookViewId="0">
      <selection activeCell="G17" sqref="G17"/>
    </sheetView>
  </sheetViews>
  <sheetFormatPr baseColWidth="10" defaultColWidth="12.6328125" defaultRowHeight="15" customHeight="1" x14ac:dyDescent="0.25"/>
  <cols>
    <col min="1" max="1" width="10.6328125" customWidth="1"/>
    <col min="2" max="2" width="13.7265625" customWidth="1"/>
    <col min="3" max="3" width="12.26953125" customWidth="1"/>
    <col min="4" max="4" width="18" customWidth="1"/>
    <col min="5" max="5" width="3.7265625" hidden="1" customWidth="1"/>
    <col min="6" max="6" width="3.90625" hidden="1" customWidth="1"/>
    <col min="7" max="7" width="20.08984375" customWidth="1"/>
    <col min="8" max="8" width="4" customWidth="1"/>
    <col min="9" max="26" width="10.6328125" customWidth="1"/>
  </cols>
  <sheetData>
    <row r="1" spans="2:13" ht="12.75" customHeight="1" x14ac:dyDescent="0.25">
      <c r="D1" s="3"/>
      <c r="E1" s="3"/>
      <c r="F1" s="3"/>
    </row>
    <row r="2" spans="2:13" ht="12.75" customHeight="1" x14ac:dyDescent="0.25">
      <c r="D2" s="3"/>
      <c r="E2" s="3"/>
      <c r="F2" s="3"/>
    </row>
    <row r="3" spans="2:13" ht="19.5" customHeight="1" x14ac:dyDescent="0.4">
      <c r="B3" s="28" t="s">
        <v>33</v>
      </c>
      <c r="C3" s="21" t="s">
        <v>23</v>
      </c>
      <c r="D3" s="21" t="s">
        <v>24</v>
      </c>
      <c r="E3" s="21"/>
      <c r="F3" s="21"/>
      <c r="G3" s="21"/>
      <c r="H3" s="3"/>
      <c r="I3" s="48" t="s">
        <v>25</v>
      </c>
      <c r="J3" s="49"/>
      <c r="K3" s="49"/>
      <c r="L3" s="49"/>
      <c r="M3" s="50"/>
    </row>
    <row r="4" spans="2:13" ht="19.5" customHeight="1" x14ac:dyDescent="0.4">
      <c r="B4" s="21">
        <v>1</v>
      </c>
      <c r="C4" s="21">
        <v>10</v>
      </c>
      <c r="D4" s="21">
        <v>9</v>
      </c>
      <c r="E4" s="21">
        <f>C4-TOTAL!G4</f>
        <v>0</v>
      </c>
      <c r="F4" s="21">
        <f>D4-TOTAL!H4</f>
        <v>0</v>
      </c>
      <c r="G4" s="21" t="str">
        <f t="shared" ref="G4:G14" si="0">IF(AND(E4=0,F4=0),IF(B4="T","OKPELEA","OK"),IF(B4="T","ERRORPELEA","ERROR"))</f>
        <v>OK</v>
      </c>
      <c r="H4" s="3"/>
      <c r="I4" s="51"/>
      <c r="J4" s="52"/>
      <c r="K4" s="52"/>
      <c r="L4" s="52"/>
      <c r="M4" s="53"/>
    </row>
    <row r="5" spans="2:13" ht="19.5" customHeight="1" x14ac:dyDescent="0.4">
      <c r="B5" s="21">
        <v>2</v>
      </c>
      <c r="C5" s="21">
        <v>10</v>
      </c>
      <c r="D5" s="21">
        <v>9</v>
      </c>
      <c r="E5" s="21">
        <f>C5-TOTAL!G5</f>
        <v>0</v>
      </c>
      <c r="F5" s="21">
        <f>D5-TOTAL!H5</f>
        <v>0</v>
      </c>
      <c r="G5" s="21" t="str">
        <f t="shared" si="0"/>
        <v>OK</v>
      </c>
      <c r="H5" s="3"/>
      <c r="I5" s="54"/>
      <c r="J5" s="55"/>
      <c r="K5" s="55"/>
      <c r="L5" s="55"/>
      <c r="M5" s="56"/>
    </row>
    <row r="6" spans="2:13" ht="19.5" customHeight="1" x14ac:dyDescent="0.4">
      <c r="B6" s="21">
        <v>3</v>
      </c>
      <c r="C6" s="21">
        <v>10</v>
      </c>
      <c r="D6" s="21">
        <v>9</v>
      </c>
      <c r="E6" s="21">
        <f>C6-TOTAL!G6</f>
        <v>0</v>
      </c>
      <c r="F6" s="21">
        <f>D6-TOTAL!H6</f>
        <v>0</v>
      </c>
      <c r="G6" s="21" t="str">
        <f t="shared" si="0"/>
        <v>OK</v>
      </c>
      <c r="H6" s="3"/>
      <c r="I6" s="57">
        <f>COUNTIF(G4:G13,"ERROR")*1/10</f>
        <v>0</v>
      </c>
      <c r="J6" s="49"/>
      <c r="K6" s="49"/>
      <c r="L6" s="49"/>
      <c r="M6" s="50"/>
    </row>
    <row r="7" spans="2:13" ht="19.5" customHeight="1" x14ac:dyDescent="0.4">
      <c r="B7" s="21">
        <v>4</v>
      </c>
      <c r="C7" s="21">
        <v>9</v>
      </c>
      <c r="D7" s="21">
        <v>10</v>
      </c>
      <c r="E7" s="21">
        <f>C7-TOTAL!G7</f>
        <v>0</v>
      </c>
      <c r="F7" s="21">
        <f>D7-TOTAL!H7</f>
        <v>0</v>
      </c>
      <c r="G7" s="21" t="str">
        <f t="shared" si="0"/>
        <v>OK</v>
      </c>
      <c r="H7" s="3"/>
      <c r="I7" s="51"/>
      <c r="J7" s="52"/>
      <c r="K7" s="52"/>
      <c r="L7" s="52"/>
      <c r="M7" s="53"/>
    </row>
    <row r="8" spans="2:13" ht="19.5" customHeight="1" x14ac:dyDescent="0.4">
      <c r="B8" s="21">
        <v>5</v>
      </c>
      <c r="C8" s="21">
        <v>9</v>
      </c>
      <c r="D8" s="21">
        <v>10</v>
      </c>
      <c r="E8" s="21">
        <f>C8-TOTAL!G8</f>
        <v>0</v>
      </c>
      <c r="F8" s="21">
        <f>D8-TOTAL!H8</f>
        <v>0</v>
      </c>
      <c r="G8" s="21" t="str">
        <f t="shared" si="0"/>
        <v>OK</v>
      </c>
      <c r="H8" s="3"/>
      <c r="I8" s="54"/>
      <c r="J8" s="55"/>
      <c r="K8" s="55"/>
      <c r="L8" s="55"/>
      <c r="M8" s="56"/>
    </row>
    <row r="9" spans="2:13" ht="19.5" customHeight="1" x14ac:dyDescent="0.4">
      <c r="B9" s="21">
        <v>6</v>
      </c>
      <c r="C9" s="23">
        <v>10</v>
      </c>
      <c r="D9" s="23">
        <v>9</v>
      </c>
      <c r="E9" s="21">
        <f>C9-TOTAL!G9</f>
        <v>0</v>
      </c>
      <c r="F9" s="21">
        <f>D9-TOTAL!H9</f>
        <v>0</v>
      </c>
      <c r="G9" s="21" t="str">
        <f t="shared" si="0"/>
        <v>OK</v>
      </c>
      <c r="H9" s="3"/>
    </row>
    <row r="10" spans="2:13" ht="19.5" customHeight="1" x14ac:dyDescent="0.4">
      <c r="B10" s="21">
        <v>7</v>
      </c>
      <c r="C10" s="21">
        <v>10</v>
      </c>
      <c r="D10" s="21">
        <v>9</v>
      </c>
      <c r="E10" s="21">
        <f>C10-TOTAL!G10</f>
        <v>0</v>
      </c>
      <c r="F10" s="21">
        <f>D10-TOTAL!H10</f>
        <v>0</v>
      </c>
      <c r="G10" s="21" t="str">
        <f t="shared" si="0"/>
        <v>OK</v>
      </c>
      <c r="H10" s="3"/>
      <c r="I10" s="48" t="s">
        <v>31</v>
      </c>
      <c r="J10" s="49"/>
      <c r="K10" s="49"/>
      <c r="L10" s="49"/>
      <c r="M10" s="50"/>
    </row>
    <row r="11" spans="2:13" ht="19.5" customHeight="1" x14ac:dyDescent="0.4">
      <c r="B11" s="21">
        <v>8</v>
      </c>
      <c r="C11" s="21">
        <v>10</v>
      </c>
      <c r="D11" s="21">
        <v>9</v>
      </c>
      <c r="E11" s="21">
        <f>C11-TOTAL!G11</f>
        <v>0</v>
      </c>
      <c r="F11" s="21">
        <f>D11-TOTAL!H11</f>
        <v>0</v>
      </c>
      <c r="G11" s="21" t="str">
        <f t="shared" si="0"/>
        <v>OK</v>
      </c>
      <c r="H11" s="3"/>
      <c r="I11" s="51"/>
      <c r="J11" s="52"/>
      <c r="K11" s="52"/>
      <c r="L11" s="52"/>
      <c r="M11" s="53"/>
    </row>
    <row r="12" spans="2:13" ht="19.5" customHeight="1" x14ac:dyDescent="0.4">
      <c r="B12" s="21">
        <v>9</v>
      </c>
      <c r="C12" s="23">
        <v>10</v>
      </c>
      <c r="D12" s="23">
        <v>9</v>
      </c>
      <c r="E12" s="21">
        <f>C12-TOTAL!G12</f>
        <v>0</v>
      </c>
      <c r="F12" s="21">
        <f>D12-TOTAL!H12</f>
        <v>0</v>
      </c>
      <c r="G12" s="21" t="str">
        <f t="shared" si="0"/>
        <v>OK</v>
      </c>
      <c r="H12" s="3"/>
      <c r="I12" s="54"/>
      <c r="J12" s="55"/>
      <c r="K12" s="55"/>
      <c r="L12" s="55"/>
      <c r="M12" s="56"/>
    </row>
    <row r="13" spans="2:13" ht="19.5" customHeight="1" x14ac:dyDescent="0.4">
      <c r="B13" s="21">
        <v>10</v>
      </c>
      <c r="C13" s="21">
        <v>10</v>
      </c>
      <c r="D13" s="21">
        <v>9</v>
      </c>
      <c r="E13" s="21">
        <f>C13-TOTAL!G13</f>
        <v>0</v>
      </c>
      <c r="F13" s="21">
        <f>D13-TOTAL!H13</f>
        <v>0</v>
      </c>
      <c r="G13" s="21" t="str">
        <f t="shared" si="0"/>
        <v>OK</v>
      </c>
      <c r="H13" s="3"/>
      <c r="I13" s="58">
        <v>0.2</v>
      </c>
      <c r="J13" s="49"/>
      <c r="K13" s="49"/>
      <c r="L13" s="49"/>
      <c r="M13" s="50"/>
    </row>
    <row r="14" spans="2:13" ht="19.5" customHeight="1" x14ac:dyDescent="0.4">
      <c r="B14" s="21" t="s">
        <v>3</v>
      </c>
      <c r="C14" s="21">
        <f t="shared" ref="C14:D14" si="1">SUM(C4:C13)</f>
        <v>98</v>
      </c>
      <c r="D14" s="21">
        <f t="shared" si="1"/>
        <v>92</v>
      </c>
      <c r="E14" s="21">
        <f>C14-TOTAL!G14</f>
        <v>0</v>
      </c>
      <c r="F14" s="21">
        <f>D14-TOTAL!H14</f>
        <v>0</v>
      </c>
      <c r="G14" s="21" t="str">
        <f t="shared" si="0"/>
        <v>OKPELEA</v>
      </c>
      <c r="H14" s="3"/>
      <c r="I14" s="51"/>
      <c r="J14" s="52"/>
      <c r="K14" s="52"/>
      <c r="L14" s="52"/>
      <c r="M14" s="53"/>
    </row>
    <row r="15" spans="2:13" ht="19.5" customHeight="1" x14ac:dyDescent="0.4">
      <c r="B15" s="29"/>
      <c r="C15" s="29"/>
      <c r="D15" s="21" t="s">
        <v>27</v>
      </c>
      <c r="E15" s="21"/>
      <c r="F15" s="21"/>
      <c r="G15" s="21">
        <f>COUNTIF(G4:G13,"error")</f>
        <v>0</v>
      </c>
      <c r="I15" s="54"/>
      <c r="J15" s="55"/>
      <c r="K15" s="55"/>
      <c r="L15" s="55"/>
      <c r="M15" s="56"/>
    </row>
    <row r="16" spans="2:13" ht="12.75" customHeight="1" x14ac:dyDescent="0.25">
      <c r="D16" s="3"/>
      <c r="E16" s="3"/>
      <c r="F16" s="3"/>
    </row>
    <row r="17" spans="4:6" ht="12.75" customHeight="1" x14ac:dyDescent="0.25">
      <c r="D17" s="3"/>
      <c r="E17" s="3"/>
      <c r="F17" s="3"/>
    </row>
    <row r="18" spans="4:6" ht="12.75" customHeight="1" x14ac:dyDescent="0.25">
      <c r="D18" s="3"/>
      <c r="E18" s="3"/>
      <c r="F18" s="3"/>
    </row>
    <row r="19" spans="4:6" ht="12.75" customHeight="1" x14ac:dyDescent="0.25">
      <c r="D19" s="3"/>
      <c r="E19" s="3"/>
      <c r="F19" s="3"/>
    </row>
    <row r="20" spans="4:6" ht="12.75" customHeight="1" x14ac:dyDescent="0.25">
      <c r="D20" s="3"/>
      <c r="E20" s="3"/>
      <c r="F20" s="3"/>
    </row>
    <row r="21" spans="4:6" ht="12.75" customHeight="1" x14ac:dyDescent="0.25">
      <c r="D21" s="3"/>
      <c r="E21" s="3"/>
      <c r="F21" s="3"/>
    </row>
    <row r="22" spans="4:6" ht="12.75" customHeight="1" x14ac:dyDescent="0.25">
      <c r="D22" s="3"/>
      <c r="E22" s="3"/>
      <c r="F22" s="3"/>
    </row>
    <row r="23" spans="4:6" ht="12.75" customHeight="1" x14ac:dyDescent="0.25">
      <c r="D23" s="3"/>
      <c r="E23" s="3"/>
      <c r="F23" s="3"/>
    </row>
    <row r="24" spans="4:6" ht="12.75" customHeight="1" x14ac:dyDescent="0.25">
      <c r="D24" s="3"/>
      <c r="E24" s="3"/>
      <c r="F24" s="3"/>
    </row>
    <row r="25" spans="4:6" ht="12.75" customHeight="1" x14ac:dyDescent="0.25">
      <c r="D25" s="3"/>
      <c r="E25" s="3"/>
      <c r="F25" s="3"/>
    </row>
    <row r="26" spans="4:6" ht="12.75" customHeight="1" x14ac:dyDescent="0.25">
      <c r="D26" s="3"/>
      <c r="E26" s="3"/>
      <c r="F26" s="3"/>
    </row>
    <row r="27" spans="4:6" ht="12.75" customHeight="1" x14ac:dyDescent="0.25">
      <c r="D27" s="3"/>
      <c r="E27" s="3"/>
      <c r="F27" s="3"/>
    </row>
    <row r="28" spans="4:6" ht="12.75" customHeight="1" x14ac:dyDescent="0.25">
      <c r="D28" s="3"/>
      <c r="E28" s="3"/>
      <c r="F28" s="3"/>
    </row>
    <row r="29" spans="4:6" ht="12.75" customHeight="1" x14ac:dyDescent="0.25">
      <c r="D29" s="3"/>
      <c r="E29" s="3"/>
      <c r="F29" s="3"/>
    </row>
    <row r="30" spans="4:6" ht="12.75" customHeight="1" x14ac:dyDescent="0.25">
      <c r="D30" s="3"/>
      <c r="E30" s="3"/>
      <c r="F30" s="3"/>
    </row>
    <row r="31" spans="4:6" ht="12.75" customHeight="1" x14ac:dyDescent="0.25">
      <c r="D31" s="3"/>
      <c r="E31" s="3"/>
      <c r="F31" s="3"/>
    </row>
    <row r="32" spans="4:6" ht="12.75" customHeight="1" x14ac:dyDescent="0.25">
      <c r="D32" s="3"/>
      <c r="E32" s="3"/>
      <c r="F32" s="3"/>
    </row>
    <row r="33" spans="4:6" ht="12.75" customHeight="1" x14ac:dyDescent="0.25">
      <c r="D33" s="3"/>
      <c r="E33" s="3"/>
      <c r="F33" s="3"/>
    </row>
    <row r="34" spans="4:6" ht="12.75" customHeight="1" x14ac:dyDescent="0.25">
      <c r="D34" s="3"/>
      <c r="E34" s="3"/>
      <c r="F34" s="3"/>
    </row>
    <row r="35" spans="4:6" ht="12.75" customHeight="1" x14ac:dyDescent="0.25">
      <c r="D35" s="3"/>
      <c r="E35" s="3"/>
      <c r="F35" s="3"/>
    </row>
    <row r="36" spans="4:6" ht="12.75" customHeight="1" x14ac:dyDescent="0.25">
      <c r="D36" s="3"/>
      <c r="E36" s="3"/>
      <c r="F36" s="3"/>
    </row>
    <row r="37" spans="4:6" ht="12.75" customHeight="1" x14ac:dyDescent="0.25">
      <c r="D37" s="3"/>
      <c r="E37" s="3"/>
      <c r="F37" s="3"/>
    </row>
    <row r="38" spans="4:6" ht="12.75" customHeight="1" x14ac:dyDescent="0.25">
      <c r="D38" s="3"/>
      <c r="E38" s="3"/>
      <c r="F38" s="3"/>
    </row>
    <row r="39" spans="4:6" ht="12.75" customHeight="1" x14ac:dyDescent="0.25">
      <c r="D39" s="3"/>
      <c r="E39" s="3"/>
      <c r="F39" s="3"/>
    </row>
    <row r="40" spans="4:6" ht="12.75" customHeight="1" x14ac:dyDescent="0.25">
      <c r="D40" s="3"/>
      <c r="E40" s="3"/>
      <c r="F40" s="3"/>
    </row>
    <row r="41" spans="4:6" ht="12.75" customHeight="1" x14ac:dyDescent="0.25">
      <c r="D41" s="3"/>
      <c r="E41" s="3"/>
      <c r="F41" s="3"/>
    </row>
    <row r="42" spans="4:6" ht="12.75" customHeight="1" x14ac:dyDescent="0.25">
      <c r="D42" s="3"/>
      <c r="E42" s="3"/>
      <c r="F42" s="3"/>
    </row>
    <row r="43" spans="4:6" ht="12.75" customHeight="1" x14ac:dyDescent="0.25">
      <c r="D43" s="3"/>
      <c r="E43" s="3"/>
      <c r="F43" s="3"/>
    </row>
    <row r="44" spans="4:6" ht="12.75" customHeight="1" x14ac:dyDescent="0.25">
      <c r="D44" s="3"/>
      <c r="E44" s="3"/>
      <c r="F44" s="3"/>
    </row>
    <row r="45" spans="4:6" ht="12.75" customHeight="1" x14ac:dyDescent="0.25">
      <c r="D45" s="3"/>
      <c r="E45" s="3"/>
      <c r="F45" s="3"/>
    </row>
    <row r="46" spans="4:6" ht="12.75" customHeight="1" x14ac:dyDescent="0.25">
      <c r="D46" s="3"/>
      <c r="E46" s="3"/>
      <c r="F46" s="3"/>
    </row>
    <row r="47" spans="4:6" ht="12.75" customHeight="1" x14ac:dyDescent="0.25">
      <c r="D47" s="3"/>
      <c r="E47" s="3"/>
      <c r="F47" s="3"/>
    </row>
    <row r="48" spans="4:6" ht="12.75" customHeight="1" x14ac:dyDescent="0.25">
      <c r="D48" s="3"/>
      <c r="E48" s="3"/>
      <c r="F48" s="3"/>
    </row>
    <row r="49" spans="4:6" ht="12.75" customHeight="1" x14ac:dyDescent="0.25">
      <c r="D49" s="3"/>
      <c r="E49" s="3"/>
      <c r="F49" s="3"/>
    </row>
    <row r="50" spans="4:6" ht="12.75" customHeight="1" x14ac:dyDescent="0.25">
      <c r="D50" s="3"/>
      <c r="E50" s="3"/>
      <c r="F50" s="3"/>
    </row>
    <row r="51" spans="4:6" ht="12.75" customHeight="1" x14ac:dyDescent="0.25">
      <c r="D51" s="3"/>
      <c r="E51" s="3"/>
      <c r="F51" s="3"/>
    </row>
    <row r="52" spans="4:6" ht="12.75" customHeight="1" x14ac:dyDescent="0.25">
      <c r="D52" s="3"/>
      <c r="E52" s="3"/>
      <c r="F52" s="3"/>
    </row>
    <row r="53" spans="4:6" ht="12.75" customHeight="1" x14ac:dyDescent="0.25">
      <c r="D53" s="3"/>
      <c r="E53" s="3"/>
      <c r="F53" s="3"/>
    </row>
    <row r="54" spans="4:6" ht="12.75" customHeight="1" x14ac:dyDescent="0.25">
      <c r="D54" s="3"/>
      <c r="E54" s="3"/>
      <c r="F54" s="3"/>
    </row>
    <row r="55" spans="4:6" ht="12.75" customHeight="1" x14ac:dyDescent="0.25">
      <c r="D55" s="3"/>
      <c r="E55" s="3"/>
      <c r="F55" s="3"/>
    </row>
    <row r="56" spans="4:6" ht="12.75" customHeight="1" x14ac:dyDescent="0.25">
      <c r="D56" s="3"/>
      <c r="E56" s="3"/>
      <c r="F56" s="3"/>
    </row>
    <row r="57" spans="4:6" ht="12.75" customHeight="1" x14ac:dyDescent="0.25">
      <c r="D57" s="3"/>
      <c r="E57" s="3"/>
      <c r="F57" s="3"/>
    </row>
    <row r="58" spans="4:6" ht="12.75" customHeight="1" x14ac:dyDescent="0.25">
      <c r="D58" s="3"/>
      <c r="E58" s="3"/>
      <c r="F58" s="3"/>
    </row>
    <row r="59" spans="4:6" ht="12.75" customHeight="1" x14ac:dyDescent="0.25">
      <c r="D59" s="3"/>
      <c r="E59" s="3"/>
      <c r="F59" s="3"/>
    </row>
    <row r="60" spans="4:6" ht="12.75" customHeight="1" x14ac:dyDescent="0.25">
      <c r="D60" s="3"/>
      <c r="E60" s="3"/>
      <c r="F60" s="3"/>
    </row>
    <row r="61" spans="4:6" ht="12.75" customHeight="1" x14ac:dyDescent="0.25">
      <c r="D61" s="3"/>
      <c r="E61" s="3"/>
      <c r="F61" s="3"/>
    </row>
    <row r="62" spans="4:6" ht="12.75" customHeight="1" x14ac:dyDescent="0.25">
      <c r="D62" s="3"/>
      <c r="E62" s="3"/>
      <c r="F62" s="3"/>
    </row>
    <row r="63" spans="4:6" ht="12.75" customHeight="1" x14ac:dyDescent="0.25">
      <c r="D63" s="3"/>
      <c r="E63" s="3"/>
      <c r="F63" s="3"/>
    </row>
    <row r="64" spans="4:6" ht="12.75" customHeight="1" x14ac:dyDescent="0.25">
      <c r="D64" s="3"/>
      <c r="E64" s="3"/>
      <c r="F64" s="3"/>
    </row>
    <row r="65" spans="4:6" ht="12.75" customHeight="1" x14ac:dyDescent="0.25">
      <c r="D65" s="3"/>
      <c r="E65" s="3"/>
      <c r="F65" s="3"/>
    </row>
    <row r="66" spans="4:6" ht="12.75" customHeight="1" x14ac:dyDescent="0.25">
      <c r="D66" s="3"/>
      <c r="E66" s="3"/>
      <c r="F66" s="3"/>
    </row>
    <row r="67" spans="4:6" ht="12.75" customHeight="1" x14ac:dyDescent="0.25">
      <c r="D67" s="3"/>
      <c r="E67" s="3"/>
      <c r="F67" s="3"/>
    </row>
    <row r="68" spans="4:6" ht="12.75" customHeight="1" x14ac:dyDescent="0.25">
      <c r="D68" s="3"/>
      <c r="E68" s="3"/>
      <c r="F68" s="3"/>
    </row>
    <row r="69" spans="4:6" ht="12.75" customHeight="1" x14ac:dyDescent="0.25">
      <c r="D69" s="3"/>
      <c r="E69" s="3"/>
      <c r="F69" s="3"/>
    </row>
    <row r="70" spans="4:6" ht="12.75" customHeight="1" x14ac:dyDescent="0.25">
      <c r="D70" s="3"/>
      <c r="E70" s="3"/>
      <c r="F70" s="3"/>
    </row>
    <row r="71" spans="4:6" ht="12.75" customHeight="1" x14ac:dyDescent="0.25">
      <c r="D71" s="3"/>
      <c r="E71" s="3"/>
      <c r="F71" s="3"/>
    </row>
    <row r="72" spans="4:6" ht="12.75" customHeight="1" x14ac:dyDescent="0.25">
      <c r="D72" s="3"/>
      <c r="E72" s="3"/>
      <c r="F72" s="3"/>
    </row>
    <row r="73" spans="4:6" ht="12.75" customHeight="1" x14ac:dyDescent="0.25">
      <c r="D73" s="3"/>
      <c r="E73" s="3"/>
      <c r="F73" s="3"/>
    </row>
    <row r="74" spans="4:6" ht="12.75" customHeight="1" x14ac:dyDescent="0.25">
      <c r="D74" s="3"/>
      <c r="E74" s="3"/>
      <c r="F74" s="3"/>
    </row>
    <row r="75" spans="4:6" ht="12.75" customHeight="1" x14ac:dyDescent="0.25">
      <c r="D75" s="3"/>
      <c r="E75" s="3"/>
      <c r="F75" s="3"/>
    </row>
    <row r="76" spans="4:6" ht="12.75" customHeight="1" x14ac:dyDescent="0.25">
      <c r="D76" s="3"/>
      <c r="E76" s="3"/>
      <c r="F76" s="3"/>
    </row>
    <row r="77" spans="4:6" ht="12.75" customHeight="1" x14ac:dyDescent="0.25">
      <c r="D77" s="3"/>
      <c r="E77" s="3"/>
      <c r="F77" s="3"/>
    </row>
    <row r="78" spans="4:6" ht="12.75" customHeight="1" x14ac:dyDescent="0.25">
      <c r="D78" s="3"/>
      <c r="E78" s="3"/>
      <c r="F78" s="3"/>
    </row>
    <row r="79" spans="4:6" ht="12.75" customHeight="1" x14ac:dyDescent="0.25">
      <c r="D79" s="3"/>
      <c r="E79" s="3"/>
      <c r="F79" s="3"/>
    </row>
    <row r="80" spans="4:6" ht="12.75" customHeight="1" x14ac:dyDescent="0.25">
      <c r="D80" s="3"/>
      <c r="E80" s="3"/>
      <c r="F80" s="3"/>
    </row>
    <row r="81" spans="4:6" ht="12.75" customHeight="1" x14ac:dyDescent="0.25">
      <c r="D81" s="3"/>
      <c r="E81" s="3"/>
      <c r="F81" s="3"/>
    </row>
    <row r="82" spans="4:6" ht="12.75" customHeight="1" x14ac:dyDescent="0.25">
      <c r="D82" s="3"/>
      <c r="E82" s="3"/>
      <c r="F82" s="3"/>
    </row>
    <row r="83" spans="4:6" ht="12.75" customHeight="1" x14ac:dyDescent="0.25">
      <c r="D83" s="3"/>
      <c r="E83" s="3"/>
      <c r="F83" s="3"/>
    </row>
    <row r="84" spans="4:6" ht="12.75" customHeight="1" x14ac:dyDescent="0.25">
      <c r="D84" s="3"/>
      <c r="E84" s="3"/>
      <c r="F84" s="3"/>
    </row>
    <row r="85" spans="4:6" ht="12.75" customHeight="1" x14ac:dyDescent="0.25">
      <c r="D85" s="3"/>
      <c r="E85" s="3"/>
      <c r="F85" s="3"/>
    </row>
    <row r="86" spans="4:6" ht="12.75" customHeight="1" x14ac:dyDescent="0.25">
      <c r="D86" s="3"/>
      <c r="E86" s="3"/>
      <c r="F86" s="3"/>
    </row>
    <row r="87" spans="4:6" ht="12.75" customHeight="1" x14ac:dyDescent="0.25">
      <c r="D87" s="3"/>
      <c r="E87" s="3"/>
      <c r="F87" s="3"/>
    </row>
    <row r="88" spans="4:6" ht="12.75" customHeight="1" x14ac:dyDescent="0.25">
      <c r="D88" s="3"/>
      <c r="E88" s="3"/>
      <c r="F88" s="3"/>
    </row>
    <row r="89" spans="4:6" ht="12.75" customHeight="1" x14ac:dyDescent="0.25">
      <c r="D89" s="3"/>
      <c r="E89" s="3"/>
      <c r="F89" s="3"/>
    </row>
    <row r="90" spans="4:6" ht="12.75" customHeight="1" x14ac:dyDescent="0.25">
      <c r="D90" s="3"/>
      <c r="E90" s="3"/>
      <c r="F90" s="3"/>
    </row>
    <row r="91" spans="4:6" ht="12.75" customHeight="1" x14ac:dyDescent="0.25">
      <c r="D91" s="3"/>
      <c r="E91" s="3"/>
      <c r="F91" s="3"/>
    </row>
    <row r="92" spans="4:6" ht="12.75" customHeight="1" x14ac:dyDescent="0.25">
      <c r="D92" s="3"/>
      <c r="E92" s="3"/>
      <c r="F92" s="3"/>
    </row>
    <row r="93" spans="4:6" ht="12.75" customHeight="1" x14ac:dyDescent="0.25">
      <c r="D93" s="3"/>
      <c r="E93" s="3"/>
      <c r="F93" s="3"/>
    </row>
    <row r="94" spans="4:6" ht="12.75" customHeight="1" x14ac:dyDescent="0.25">
      <c r="D94" s="3"/>
      <c r="E94" s="3"/>
      <c r="F94" s="3"/>
    </row>
    <row r="95" spans="4:6" ht="12.75" customHeight="1" x14ac:dyDescent="0.25">
      <c r="D95" s="3"/>
      <c r="E95" s="3"/>
      <c r="F95" s="3"/>
    </row>
    <row r="96" spans="4:6" ht="12.75" customHeight="1" x14ac:dyDescent="0.25">
      <c r="D96" s="3"/>
      <c r="E96" s="3"/>
      <c r="F96" s="3"/>
    </row>
    <row r="97" spans="4:6" ht="12.75" customHeight="1" x14ac:dyDescent="0.25">
      <c r="D97" s="3"/>
      <c r="E97" s="3"/>
      <c r="F97" s="3"/>
    </row>
    <row r="98" spans="4:6" ht="12.75" customHeight="1" x14ac:dyDescent="0.25">
      <c r="D98" s="3"/>
      <c r="E98" s="3"/>
      <c r="F98" s="3"/>
    </row>
    <row r="99" spans="4:6" ht="12.75" customHeight="1" x14ac:dyDescent="0.25">
      <c r="D99" s="3"/>
      <c r="E99" s="3"/>
      <c r="F99" s="3"/>
    </row>
    <row r="100" spans="4:6" ht="12.75" customHeight="1" x14ac:dyDescent="0.25">
      <c r="D100" s="3"/>
      <c r="E100" s="3"/>
      <c r="F100" s="3"/>
    </row>
    <row r="101" spans="4:6" ht="12.75" customHeight="1" x14ac:dyDescent="0.25">
      <c r="D101" s="3"/>
      <c r="E101" s="3"/>
      <c r="F101" s="3"/>
    </row>
    <row r="102" spans="4:6" ht="12.75" customHeight="1" x14ac:dyDescent="0.25">
      <c r="D102" s="3"/>
      <c r="E102" s="3"/>
      <c r="F102" s="3"/>
    </row>
    <row r="103" spans="4:6" ht="12.75" customHeight="1" x14ac:dyDescent="0.25">
      <c r="D103" s="3"/>
      <c r="E103" s="3"/>
      <c r="F103" s="3"/>
    </row>
    <row r="104" spans="4:6" ht="12.75" customHeight="1" x14ac:dyDescent="0.25">
      <c r="D104" s="3"/>
      <c r="E104" s="3"/>
      <c r="F104" s="3"/>
    </row>
    <row r="105" spans="4:6" ht="12.75" customHeight="1" x14ac:dyDescent="0.25">
      <c r="D105" s="3"/>
      <c r="E105" s="3"/>
      <c r="F105" s="3"/>
    </row>
    <row r="106" spans="4:6" ht="12.75" customHeight="1" x14ac:dyDescent="0.25">
      <c r="D106" s="3"/>
      <c r="E106" s="3"/>
      <c r="F106" s="3"/>
    </row>
    <row r="107" spans="4:6" ht="12.75" customHeight="1" x14ac:dyDescent="0.25">
      <c r="D107" s="3"/>
      <c r="E107" s="3"/>
      <c r="F107" s="3"/>
    </row>
    <row r="108" spans="4:6" ht="12.75" customHeight="1" x14ac:dyDescent="0.25">
      <c r="D108" s="3"/>
      <c r="E108" s="3"/>
      <c r="F108" s="3"/>
    </row>
    <row r="109" spans="4:6" ht="12.75" customHeight="1" x14ac:dyDescent="0.25">
      <c r="D109" s="3"/>
      <c r="E109" s="3"/>
      <c r="F109" s="3"/>
    </row>
    <row r="110" spans="4:6" ht="12.75" customHeight="1" x14ac:dyDescent="0.25">
      <c r="D110" s="3"/>
      <c r="E110" s="3"/>
      <c r="F110" s="3"/>
    </row>
    <row r="111" spans="4:6" ht="12.75" customHeight="1" x14ac:dyDescent="0.25">
      <c r="D111" s="3"/>
      <c r="E111" s="3"/>
      <c r="F111" s="3"/>
    </row>
    <row r="112" spans="4:6" ht="12.75" customHeight="1" x14ac:dyDescent="0.25">
      <c r="D112" s="3"/>
      <c r="E112" s="3"/>
      <c r="F112" s="3"/>
    </row>
    <row r="113" spans="4:6" ht="12.75" customHeight="1" x14ac:dyDescent="0.25">
      <c r="D113" s="3"/>
      <c r="E113" s="3"/>
      <c r="F113" s="3"/>
    </row>
    <row r="114" spans="4:6" ht="12.75" customHeight="1" x14ac:dyDescent="0.25">
      <c r="D114" s="3"/>
      <c r="E114" s="3"/>
      <c r="F114" s="3"/>
    </row>
    <row r="115" spans="4:6" ht="12.75" customHeight="1" x14ac:dyDescent="0.25">
      <c r="D115" s="3"/>
      <c r="E115" s="3"/>
      <c r="F115" s="3"/>
    </row>
    <row r="116" spans="4:6" ht="12.75" customHeight="1" x14ac:dyDescent="0.25">
      <c r="D116" s="3"/>
      <c r="E116" s="3"/>
      <c r="F116" s="3"/>
    </row>
    <row r="117" spans="4:6" ht="12.75" customHeight="1" x14ac:dyDescent="0.25">
      <c r="D117" s="3"/>
      <c r="E117" s="3"/>
      <c r="F117" s="3"/>
    </row>
    <row r="118" spans="4:6" ht="12.75" customHeight="1" x14ac:dyDescent="0.25">
      <c r="D118" s="3"/>
      <c r="E118" s="3"/>
      <c r="F118" s="3"/>
    </row>
    <row r="119" spans="4:6" ht="12.75" customHeight="1" x14ac:dyDescent="0.25">
      <c r="D119" s="3"/>
      <c r="E119" s="3"/>
      <c r="F119" s="3"/>
    </row>
    <row r="120" spans="4:6" ht="12.75" customHeight="1" x14ac:dyDescent="0.25">
      <c r="D120" s="3"/>
      <c r="E120" s="3"/>
      <c r="F120" s="3"/>
    </row>
    <row r="121" spans="4:6" ht="12.75" customHeight="1" x14ac:dyDescent="0.25">
      <c r="D121" s="3"/>
      <c r="E121" s="3"/>
      <c r="F121" s="3"/>
    </row>
    <row r="122" spans="4:6" ht="12.75" customHeight="1" x14ac:dyDescent="0.25">
      <c r="D122" s="3"/>
      <c r="E122" s="3"/>
      <c r="F122" s="3"/>
    </row>
    <row r="123" spans="4:6" ht="12.75" customHeight="1" x14ac:dyDescent="0.25">
      <c r="D123" s="3"/>
      <c r="E123" s="3"/>
      <c r="F123" s="3"/>
    </row>
    <row r="124" spans="4:6" ht="12.75" customHeight="1" x14ac:dyDescent="0.25">
      <c r="D124" s="3"/>
      <c r="E124" s="3"/>
      <c r="F124" s="3"/>
    </row>
    <row r="125" spans="4:6" ht="12.75" customHeight="1" x14ac:dyDescent="0.25">
      <c r="D125" s="3"/>
      <c r="E125" s="3"/>
      <c r="F125" s="3"/>
    </row>
    <row r="126" spans="4:6" ht="12.75" customHeight="1" x14ac:dyDescent="0.25">
      <c r="D126" s="3"/>
      <c r="E126" s="3"/>
      <c r="F126" s="3"/>
    </row>
    <row r="127" spans="4:6" ht="12.75" customHeight="1" x14ac:dyDescent="0.25">
      <c r="D127" s="3"/>
      <c r="E127" s="3"/>
      <c r="F127" s="3"/>
    </row>
    <row r="128" spans="4:6" ht="12.75" customHeight="1" x14ac:dyDescent="0.25">
      <c r="D128" s="3"/>
      <c r="E128" s="3"/>
      <c r="F128" s="3"/>
    </row>
    <row r="129" spans="4:6" ht="12.75" customHeight="1" x14ac:dyDescent="0.25">
      <c r="D129" s="3"/>
      <c r="E129" s="3"/>
      <c r="F129" s="3"/>
    </row>
    <row r="130" spans="4:6" ht="12.75" customHeight="1" x14ac:dyDescent="0.25">
      <c r="D130" s="3"/>
      <c r="E130" s="3"/>
      <c r="F130" s="3"/>
    </row>
    <row r="131" spans="4:6" ht="12.75" customHeight="1" x14ac:dyDescent="0.25">
      <c r="D131" s="3"/>
      <c r="E131" s="3"/>
      <c r="F131" s="3"/>
    </row>
    <row r="132" spans="4:6" ht="12.75" customHeight="1" x14ac:dyDescent="0.25">
      <c r="D132" s="3"/>
      <c r="E132" s="3"/>
      <c r="F132" s="3"/>
    </row>
    <row r="133" spans="4:6" ht="12.75" customHeight="1" x14ac:dyDescent="0.25">
      <c r="D133" s="3"/>
      <c r="E133" s="3"/>
      <c r="F133" s="3"/>
    </row>
    <row r="134" spans="4:6" ht="12.75" customHeight="1" x14ac:dyDescent="0.25">
      <c r="D134" s="3"/>
      <c r="E134" s="3"/>
      <c r="F134" s="3"/>
    </row>
    <row r="135" spans="4:6" ht="12.75" customHeight="1" x14ac:dyDescent="0.25">
      <c r="D135" s="3"/>
      <c r="E135" s="3"/>
      <c r="F135" s="3"/>
    </row>
    <row r="136" spans="4:6" ht="12.75" customHeight="1" x14ac:dyDescent="0.25">
      <c r="D136" s="3"/>
      <c r="E136" s="3"/>
      <c r="F136" s="3"/>
    </row>
    <row r="137" spans="4:6" ht="12.75" customHeight="1" x14ac:dyDescent="0.25">
      <c r="D137" s="3"/>
      <c r="E137" s="3"/>
      <c r="F137" s="3"/>
    </row>
    <row r="138" spans="4:6" ht="12.75" customHeight="1" x14ac:dyDescent="0.25">
      <c r="D138" s="3"/>
      <c r="E138" s="3"/>
      <c r="F138" s="3"/>
    </row>
    <row r="139" spans="4:6" ht="12.75" customHeight="1" x14ac:dyDescent="0.25">
      <c r="D139" s="3"/>
      <c r="E139" s="3"/>
      <c r="F139" s="3"/>
    </row>
    <row r="140" spans="4:6" ht="12.75" customHeight="1" x14ac:dyDescent="0.25">
      <c r="D140" s="3"/>
      <c r="E140" s="3"/>
      <c r="F140" s="3"/>
    </row>
    <row r="141" spans="4:6" ht="12.75" customHeight="1" x14ac:dyDescent="0.25">
      <c r="D141" s="3"/>
      <c r="E141" s="3"/>
      <c r="F141" s="3"/>
    </row>
    <row r="142" spans="4:6" ht="12.75" customHeight="1" x14ac:dyDescent="0.25">
      <c r="D142" s="3"/>
      <c r="E142" s="3"/>
      <c r="F142" s="3"/>
    </row>
    <row r="143" spans="4:6" ht="12.75" customHeight="1" x14ac:dyDescent="0.25">
      <c r="D143" s="3"/>
      <c r="E143" s="3"/>
      <c r="F143" s="3"/>
    </row>
    <row r="144" spans="4:6" ht="12.75" customHeight="1" x14ac:dyDescent="0.25">
      <c r="D144" s="3"/>
      <c r="E144" s="3"/>
      <c r="F144" s="3"/>
    </row>
    <row r="145" spans="4:6" ht="12.75" customHeight="1" x14ac:dyDescent="0.25">
      <c r="D145" s="3"/>
      <c r="E145" s="3"/>
      <c r="F145" s="3"/>
    </row>
    <row r="146" spans="4:6" ht="12.75" customHeight="1" x14ac:dyDescent="0.25">
      <c r="D146" s="3"/>
      <c r="E146" s="3"/>
      <c r="F146" s="3"/>
    </row>
    <row r="147" spans="4:6" ht="12.75" customHeight="1" x14ac:dyDescent="0.25">
      <c r="D147" s="3"/>
      <c r="E147" s="3"/>
      <c r="F147" s="3"/>
    </row>
    <row r="148" spans="4:6" ht="12.75" customHeight="1" x14ac:dyDescent="0.25">
      <c r="D148" s="3"/>
      <c r="E148" s="3"/>
      <c r="F148" s="3"/>
    </row>
    <row r="149" spans="4:6" ht="12.75" customHeight="1" x14ac:dyDescent="0.25">
      <c r="D149" s="3"/>
      <c r="E149" s="3"/>
      <c r="F149" s="3"/>
    </row>
    <row r="150" spans="4:6" ht="12.75" customHeight="1" x14ac:dyDescent="0.25">
      <c r="D150" s="3"/>
      <c r="E150" s="3"/>
      <c r="F150" s="3"/>
    </row>
    <row r="151" spans="4:6" ht="12.75" customHeight="1" x14ac:dyDescent="0.25">
      <c r="D151" s="3"/>
      <c r="E151" s="3"/>
      <c r="F151" s="3"/>
    </row>
    <row r="152" spans="4:6" ht="12.75" customHeight="1" x14ac:dyDescent="0.25">
      <c r="D152" s="3"/>
      <c r="E152" s="3"/>
      <c r="F152" s="3"/>
    </row>
    <row r="153" spans="4:6" ht="12.75" customHeight="1" x14ac:dyDescent="0.25">
      <c r="D153" s="3"/>
      <c r="E153" s="3"/>
      <c r="F153" s="3"/>
    </row>
    <row r="154" spans="4:6" ht="12.75" customHeight="1" x14ac:dyDescent="0.25">
      <c r="D154" s="3"/>
      <c r="E154" s="3"/>
      <c r="F154" s="3"/>
    </row>
    <row r="155" spans="4:6" ht="12.75" customHeight="1" x14ac:dyDescent="0.25">
      <c r="D155" s="3"/>
      <c r="E155" s="3"/>
      <c r="F155" s="3"/>
    </row>
    <row r="156" spans="4:6" ht="12.75" customHeight="1" x14ac:dyDescent="0.25">
      <c r="D156" s="3"/>
      <c r="E156" s="3"/>
      <c r="F156" s="3"/>
    </row>
    <row r="157" spans="4:6" ht="12.75" customHeight="1" x14ac:dyDescent="0.25">
      <c r="D157" s="3"/>
      <c r="E157" s="3"/>
      <c r="F157" s="3"/>
    </row>
    <row r="158" spans="4:6" ht="12.75" customHeight="1" x14ac:dyDescent="0.25">
      <c r="D158" s="3"/>
      <c r="E158" s="3"/>
      <c r="F158" s="3"/>
    </row>
    <row r="159" spans="4:6" ht="12.75" customHeight="1" x14ac:dyDescent="0.25">
      <c r="D159" s="3"/>
      <c r="E159" s="3"/>
      <c r="F159" s="3"/>
    </row>
    <row r="160" spans="4:6" ht="12.75" customHeight="1" x14ac:dyDescent="0.25">
      <c r="D160" s="3"/>
      <c r="E160" s="3"/>
      <c r="F160" s="3"/>
    </row>
    <row r="161" spans="4:6" ht="12.75" customHeight="1" x14ac:dyDescent="0.25">
      <c r="D161" s="3"/>
      <c r="E161" s="3"/>
      <c r="F161" s="3"/>
    </row>
    <row r="162" spans="4:6" ht="12.75" customHeight="1" x14ac:dyDescent="0.25">
      <c r="D162" s="3"/>
      <c r="E162" s="3"/>
      <c r="F162" s="3"/>
    </row>
    <row r="163" spans="4:6" ht="12.75" customHeight="1" x14ac:dyDescent="0.25">
      <c r="D163" s="3"/>
      <c r="E163" s="3"/>
      <c r="F163" s="3"/>
    </row>
    <row r="164" spans="4:6" ht="12.75" customHeight="1" x14ac:dyDescent="0.25">
      <c r="D164" s="3"/>
      <c r="E164" s="3"/>
      <c r="F164" s="3"/>
    </row>
    <row r="165" spans="4:6" ht="12.75" customHeight="1" x14ac:dyDescent="0.25">
      <c r="D165" s="3"/>
      <c r="E165" s="3"/>
      <c r="F165" s="3"/>
    </row>
    <row r="166" spans="4:6" ht="12.75" customHeight="1" x14ac:dyDescent="0.25">
      <c r="D166" s="3"/>
      <c r="E166" s="3"/>
      <c r="F166" s="3"/>
    </row>
    <row r="167" spans="4:6" ht="12.75" customHeight="1" x14ac:dyDescent="0.25">
      <c r="D167" s="3"/>
      <c r="E167" s="3"/>
      <c r="F167" s="3"/>
    </row>
    <row r="168" spans="4:6" ht="12.75" customHeight="1" x14ac:dyDescent="0.25">
      <c r="D168" s="3"/>
      <c r="E168" s="3"/>
      <c r="F168" s="3"/>
    </row>
    <row r="169" spans="4:6" ht="12.75" customHeight="1" x14ac:dyDescent="0.25">
      <c r="D169" s="3"/>
      <c r="E169" s="3"/>
      <c r="F169" s="3"/>
    </row>
    <row r="170" spans="4:6" ht="12.75" customHeight="1" x14ac:dyDescent="0.25">
      <c r="D170" s="3"/>
      <c r="E170" s="3"/>
      <c r="F170" s="3"/>
    </row>
    <row r="171" spans="4:6" ht="12.75" customHeight="1" x14ac:dyDescent="0.25">
      <c r="D171" s="3"/>
      <c r="E171" s="3"/>
      <c r="F171" s="3"/>
    </row>
    <row r="172" spans="4:6" ht="12.75" customHeight="1" x14ac:dyDescent="0.25">
      <c r="D172" s="3"/>
      <c r="E172" s="3"/>
      <c r="F172" s="3"/>
    </row>
    <row r="173" spans="4:6" ht="12.75" customHeight="1" x14ac:dyDescent="0.25">
      <c r="D173" s="3"/>
      <c r="E173" s="3"/>
      <c r="F173" s="3"/>
    </row>
    <row r="174" spans="4:6" ht="12.75" customHeight="1" x14ac:dyDescent="0.25">
      <c r="D174" s="3"/>
      <c r="E174" s="3"/>
      <c r="F174" s="3"/>
    </row>
    <row r="175" spans="4:6" ht="12.75" customHeight="1" x14ac:dyDescent="0.25">
      <c r="D175" s="3"/>
      <c r="E175" s="3"/>
      <c r="F175" s="3"/>
    </row>
    <row r="176" spans="4:6" ht="12.75" customHeight="1" x14ac:dyDescent="0.25">
      <c r="D176" s="3"/>
      <c r="E176" s="3"/>
      <c r="F176" s="3"/>
    </row>
    <row r="177" spans="4:6" ht="12.75" customHeight="1" x14ac:dyDescent="0.25">
      <c r="D177" s="3"/>
      <c r="E177" s="3"/>
      <c r="F177" s="3"/>
    </row>
    <row r="178" spans="4:6" ht="12.75" customHeight="1" x14ac:dyDescent="0.25">
      <c r="D178" s="3"/>
      <c r="E178" s="3"/>
      <c r="F178" s="3"/>
    </row>
    <row r="179" spans="4:6" ht="12.75" customHeight="1" x14ac:dyDescent="0.25">
      <c r="D179" s="3"/>
      <c r="E179" s="3"/>
      <c r="F179" s="3"/>
    </row>
    <row r="180" spans="4:6" ht="12.75" customHeight="1" x14ac:dyDescent="0.25">
      <c r="D180" s="3"/>
      <c r="E180" s="3"/>
      <c r="F180" s="3"/>
    </row>
    <row r="181" spans="4:6" ht="12.75" customHeight="1" x14ac:dyDescent="0.25">
      <c r="D181" s="3"/>
      <c r="E181" s="3"/>
      <c r="F181" s="3"/>
    </row>
    <row r="182" spans="4:6" ht="12.75" customHeight="1" x14ac:dyDescent="0.25">
      <c r="D182" s="3"/>
      <c r="E182" s="3"/>
      <c r="F182" s="3"/>
    </row>
    <row r="183" spans="4:6" ht="12.75" customHeight="1" x14ac:dyDescent="0.25">
      <c r="D183" s="3"/>
      <c r="E183" s="3"/>
      <c r="F183" s="3"/>
    </row>
    <row r="184" spans="4:6" ht="12.75" customHeight="1" x14ac:dyDescent="0.25">
      <c r="D184" s="3"/>
      <c r="E184" s="3"/>
      <c r="F184" s="3"/>
    </row>
    <row r="185" spans="4:6" ht="12.75" customHeight="1" x14ac:dyDescent="0.25">
      <c r="D185" s="3"/>
      <c r="E185" s="3"/>
      <c r="F185" s="3"/>
    </row>
    <row r="186" spans="4:6" ht="12.75" customHeight="1" x14ac:dyDescent="0.25">
      <c r="D186" s="3"/>
      <c r="E186" s="3"/>
      <c r="F186" s="3"/>
    </row>
    <row r="187" spans="4:6" ht="12.75" customHeight="1" x14ac:dyDescent="0.25">
      <c r="D187" s="3"/>
      <c r="E187" s="3"/>
      <c r="F187" s="3"/>
    </row>
    <row r="188" spans="4:6" ht="12.75" customHeight="1" x14ac:dyDescent="0.25">
      <c r="D188" s="3"/>
      <c r="E188" s="3"/>
      <c r="F188" s="3"/>
    </row>
    <row r="189" spans="4:6" ht="12.75" customHeight="1" x14ac:dyDescent="0.25">
      <c r="D189" s="3"/>
      <c r="E189" s="3"/>
      <c r="F189" s="3"/>
    </row>
    <row r="190" spans="4:6" ht="12.75" customHeight="1" x14ac:dyDescent="0.25">
      <c r="D190" s="3"/>
      <c r="E190" s="3"/>
      <c r="F190" s="3"/>
    </row>
    <row r="191" spans="4:6" ht="12.75" customHeight="1" x14ac:dyDescent="0.25">
      <c r="D191" s="3"/>
      <c r="E191" s="3"/>
      <c r="F191" s="3"/>
    </row>
    <row r="192" spans="4:6" ht="12.75" customHeight="1" x14ac:dyDescent="0.25">
      <c r="D192" s="3"/>
      <c r="E192" s="3"/>
      <c r="F192" s="3"/>
    </row>
    <row r="193" spans="4:6" ht="12.75" customHeight="1" x14ac:dyDescent="0.25">
      <c r="D193" s="3"/>
      <c r="E193" s="3"/>
      <c r="F193" s="3"/>
    </row>
    <row r="194" spans="4:6" ht="12.75" customHeight="1" x14ac:dyDescent="0.25">
      <c r="D194" s="3"/>
      <c r="E194" s="3"/>
      <c r="F194" s="3"/>
    </row>
    <row r="195" spans="4:6" ht="12.75" customHeight="1" x14ac:dyDescent="0.25">
      <c r="D195" s="3"/>
      <c r="E195" s="3"/>
      <c r="F195" s="3"/>
    </row>
    <row r="196" spans="4:6" ht="12.75" customHeight="1" x14ac:dyDescent="0.25">
      <c r="D196" s="3"/>
      <c r="E196" s="3"/>
      <c r="F196" s="3"/>
    </row>
    <row r="197" spans="4:6" ht="12.75" customHeight="1" x14ac:dyDescent="0.25">
      <c r="D197" s="3"/>
      <c r="E197" s="3"/>
      <c r="F197" s="3"/>
    </row>
    <row r="198" spans="4:6" ht="12.75" customHeight="1" x14ac:dyDescent="0.25">
      <c r="D198" s="3"/>
      <c r="E198" s="3"/>
      <c r="F198" s="3"/>
    </row>
    <row r="199" spans="4:6" ht="12.75" customHeight="1" x14ac:dyDescent="0.25">
      <c r="D199" s="3"/>
      <c r="E199" s="3"/>
      <c r="F199" s="3"/>
    </row>
    <row r="200" spans="4:6" ht="12.75" customHeight="1" x14ac:dyDescent="0.25">
      <c r="D200" s="3"/>
      <c r="E200" s="3"/>
      <c r="F200" s="3"/>
    </row>
    <row r="201" spans="4:6" ht="12.75" customHeight="1" x14ac:dyDescent="0.25">
      <c r="D201" s="3"/>
      <c r="E201" s="3"/>
      <c r="F201" s="3"/>
    </row>
    <row r="202" spans="4:6" ht="12.75" customHeight="1" x14ac:dyDescent="0.25">
      <c r="D202" s="3"/>
      <c r="E202" s="3"/>
      <c r="F202" s="3"/>
    </row>
    <row r="203" spans="4:6" ht="12.75" customHeight="1" x14ac:dyDescent="0.25">
      <c r="D203" s="3"/>
      <c r="E203" s="3"/>
      <c r="F203" s="3"/>
    </row>
    <row r="204" spans="4:6" ht="12.75" customHeight="1" x14ac:dyDescent="0.25">
      <c r="D204" s="3"/>
      <c r="E204" s="3"/>
      <c r="F204" s="3"/>
    </row>
    <row r="205" spans="4:6" ht="12.75" customHeight="1" x14ac:dyDescent="0.25">
      <c r="D205" s="3"/>
      <c r="E205" s="3"/>
      <c r="F205" s="3"/>
    </row>
    <row r="206" spans="4:6" ht="12.75" customHeight="1" x14ac:dyDescent="0.25">
      <c r="D206" s="3"/>
      <c r="E206" s="3"/>
      <c r="F206" s="3"/>
    </row>
    <row r="207" spans="4:6" ht="12.75" customHeight="1" x14ac:dyDescent="0.25">
      <c r="D207" s="3"/>
      <c r="E207" s="3"/>
      <c r="F207" s="3"/>
    </row>
    <row r="208" spans="4:6" ht="12.75" customHeight="1" x14ac:dyDescent="0.25">
      <c r="D208" s="3"/>
      <c r="E208" s="3"/>
      <c r="F208" s="3"/>
    </row>
    <row r="209" spans="4:6" ht="12.75" customHeight="1" x14ac:dyDescent="0.25">
      <c r="D209" s="3"/>
      <c r="E209" s="3"/>
      <c r="F209" s="3"/>
    </row>
    <row r="210" spans="4:6" ht="12.75" customHeight="1" x14ac:dyDescent="0.25">
      <c r="D210" s="3"/>
      <c r="E210" s="3"/>
      <c r="F210" s="3"/>
    </row>
    <row r="211" spans="4:6" ht="12.75" customHeight="1" x14ac:dyDescent="0.25">
      <c r="D211" s="3"/>
      <c r="E211" s="3"/>
      <c r="F211" s="3"/>
    </row>
    <row r="212" spans="4:6" ht="12.75" customHeight="1" x14ac:dyDescent="0.25">
      <c r="D212" s="3"/>
      <c r="E212" s="3"/>
      <c r="F212" s="3"/>
    </row>
    <row r="213" spans="4:6" ht="12.75" customHeight="1" x14ac:dyDescent="0.25">
      <c r="D213" s="3"/>
      <c r="E213" s="3"/>
      <c r="F213" s="3"/>
    </row>
    <row r="214" spans="4:6" ht="12.75" customHeight="1" x14ac:dyDescent="0.25">
      <c r="D214" s="3"/>
      <c r="E214" s="3"/>
      <c r="F214" s="3"/>
    </row>
    <row r="215" spans="4:6" ht="12.75" customHeight="1" x14ac:dyDescent="0.25">
      <c r="D215" s="3"/>
      <c r="E215" s="3"/>
      <c r="F215" s="3"/>
    </row>
    <row r="216" spans="4:6" ht="12.75" customHeight="1" x14ac:dyDescent="0.25">
      <c r="D216" s="3"/>
      <c r="E216" s="3"/>
      <c r="F216" s="3"/>
    </row>
    <row r="217" spans="4:6" ht="12.75" customHeight="1" x14ac:dyDescent="0.25">
      <c r="D217" s="3"/>
      <c r="E217" s="3"/>
      <c r="F217" s="3"/>
    </row>
    <row r="218" spans="4:6" ht="12.75" customHeight="1" x14ac:dyDescent="0.25">
      <c r="D218" s="3"/>
      <c r="E218" s="3"/>
      <c r="F218" s="3"/>
    </row>
    <row r="219" spans="4:6" ht="12.75" customHeight="1" x14ac:dyDescent="0.25">
      <c r="D219" s="3"/>
      <c r="E219" s="3"/>
      <c r="F219" s="3"/>
    </row>
    <row r="220" spans="4:6" ht="12.75" customHeight="1" x14ac:dyDescent="0.25">
      <c r="D220" s="3"/>
      <c r="E220" s="3"/>
      <c r="F220" s="3"/>
    </row>
    <row r="221" spans="4:6" ht="12.75" customHeight="1" x14ac:dyDescent="0.25">
      <c r="D221" s="3"/>
      <c r="E221" s="3"/>
      <c r="F221" s="3"/>
    </row>
    <row r="222" spans="4:6" ht="12.75" customHeight="1" x14ac:dyDescent="0.25">
      <c r="D222" s="3"/>
      <c r="E222" s="3"/>
      <c r="F222" s="3"/>
    </row>
    <row r="223" spans="4:6" ht="12.75" customHeight="1" x14ac:dyDescent="0.25">
      <c r="D223" s="3"/>
      <c r="E223" s="3"/>
      <c r="F223" s="3"/>
    </row>
    <row r="224" spans="4:6" ht="12.75" customHeight="1" x14ac:dyDescent="0.25">
      <c r="D224" s="3"/>
      <c r="E224" s="3"/>
      <c r="F224" s="3"/>
    </row>
    <row r="225" spans="4:6" ht="12.75" customHeight="1" x14ac:dyDescent="0.25">
      <c r="D225" s="3"/>
      <c r="E225" s="3"/>
      <c r="F225" s="3"/>
    </row>
    <row r="226" spans="4:6" ht="12.75" customHeight="1" x14ac:dyDescent="0.25">
      <c r="D226" s="3"/>
      <c r="E226" s="3"/>
      <c r="F226" s="3"/>
    </row>
    <row r="227" spans="4:6" ht="12.75" customHeight="1" x14ac:dyDescent="0.25">
      <c r="D227" s="3"/>
      <c r="E227" s="3"/>
      <c r="F227" s="3"/>
    </row>
    <row r="228" spans="4:6" ht="12.75" customHeight="1" x14ac:dyDescent="0.25">
      <c r="D228" s="3"/>
      <c r="E228" s="3"/>
      <c r="F228" s="3"/>
    </row>
    <row r="229" spans="4:6" ht="12.75" customHeight="1" x14ac:dyDescent="0.25">
      <c r="D229" s="3"/>
      <c r="E229" s="3"/>
      <c r="F229" s="3"/>
    </row>
    <row r="230" spans="4:6" ht="12.75" customHeight="1" x14ac:dyDescent="0.25">
      <c r="D230" s="3"/>
      <c r="E230" s="3"/>
      <c r="F230" s="3"/>
    </row>
    <row r="231" spans="4:6" ht="12.75" customHeight="1" x14ac:dyDescent="0.25">
      <c r="D231" s="3"/>
      <c r="E231" s="3"/>
      <c r="F231" s="3"/>
    </row>
    <row r="232" spans="4:6" ht="12.75" customHeight="1" x14ac:dyDescent="0.25">
      <c r="D232" s="3"/>
      <c r="E232" s="3"/>
      <c r="F232" s="3"/>
    </row>
    <row r="233" spans="4:6" ht="12.75" customHeight="1" x14ac:dyDescent="0.25">
      <c r="D233" s="3"/>
      <c r="E233" s="3"/>
      <c r="F233" s="3"/>
    </row>
    <row r="234" spans="4:6" ht="12.75" customHeight="1" x14ac:dyDescent="0.25">
      <c r="D234" s="3"/>
      <c r="E234" s="3"/>
      <c r="F234" s="3"/>
    </row>
    <row r="235" spans="4:6" ht="12.75" customHeight="1" x14ac:dyDescent="0.25">
      <c r="D235" s="3"/>
      <c r="E235" s="3"/>
      <c r="F235" s="3"/>
    </row>
    <row r="236" spans="4:6" ht="12.75" customHeight="1" x14ac:dyDescent="0.25">
      <c r="D236" s="3"/>
      <c r="E236" s="3"/>
      <c r="F236" s="3"/>
    </row>
    <row r="237" spans="4:6" ht="12.75" customHeight="1" x14ac:dyDescent="0.25">
      <c r="D237" s="3"/>
      <c r="E237" s="3"/>
      <c r="F237" s="3"/>
    </row>
    <row r="238" spans="4:6" ht="12.75" customHeight="1" x14ac:dyDescent="0.25">
      <c r="D238" s="3"/>
      <c r="E238" s="3"/>
      <c r="F238" s="3"/>
    </row>
    <row r="239" spans="4:6" ht="12.75" customHeight="1" x14ac:dyDescent="0.25">
      <c r="D239" s="3"/>
      <c r="E239" s="3"/>
      <c r="F239" s="3"/>
    </row>
    <row r="240" spans="4:6" ht="12.75" customHeight="1" x14ac:dyDescent="0.25">
      <c r="D240" s="3"/>
      <c r="E240" s="3"/>
      <c r="F240" s="3"/>
    </row>
    <row r="241" spans="4:6" ht="12.75" customHeight="1" x14ac:dyDescent="0.25">
      <c r="D241" s="3"/>
      <c r="E241" s="3"/>
      <c r="F241" s="3"/>
    </row>
    <row r="242" spans="4:6" ht="12.75" customHeight="1" x14ac:dyDescent="0.25">
      <c r="D242" s="3"/>
      <c r="E242" s="3"/>
      <c r="F242" s="3"/>
    </row>
    <row r="243" spans="4:6" ht="12.75" customHeight="1" x14ac:dyDescent="0.25">
      <c r="D243" s="3"/>
      <c r="E243" s="3"/>
      <c r="F243" s="3"/>
    </row>
    <row r="244" spans="4:6" ht="12.75" customHeight="1" x14ac:dyDescent="0.25">
      <c r="D244" s="3"/>
      <c r="E244" s="3"/>
      <c r="F244" s="3"/>
    </row>
    <row r="245" spans="4:6" ht="12.75" customHeight="1" x14ac:dyDescent="0.25">
      <c r="D245" s="3"/>
      <c r="E245" s="3"/>
      <c r="F245" s="3"/>
    </row>
    <row r="246" spans="4:6" ht="12.75" customHeight="1" x14ac:dyDescent="0.25">
      <c r="D246" s="3"/>
      <c r="E246" s="3"/>
      <c r="F246" s="3"/>
    </row>
    <row r="247" spans="4:6" ht="12.75" customHeight="1" x14ac:dyDescent="0.25">
      <c r="D247" s="3"/>
      <c r="E247" s="3"/>
      <c r="F247" s="3"/>
    </row>
    <row r="248" spans="4:6" ht="12.75" customHeight="1" x14ac:dyDescent="0.25">
      <c r="D248" s="3"/>
      <c r="E248" s="3"/>
      <c r="F248" s="3"/>
    </row>
    <row r="249" spans="4:6" ht="12.75" customHeight="1" x14ac:dyDescent="0.25">
      <c r="D249" s="3"/>
      <c r="E249" s="3"/>
      <c r="F249" s="3"/>
    </row>
    <row r="250" spans="4:6" ht="12.75" customHeight="1" x14ac:dyDescent="0.25">
      <c r="D250" s="3"/>
      <c r="E250" s="3"/>
      <c r="F250" s="3"/>
    </row>
    <row r="251" spans="4:6" ht="12.75" customHeight="1" x14ac:dyDescent="0.25">
      <c r="D251" s="3"/>
      <c r="E251" s="3"/>
      <c r="F251" s="3"/>
    </row>
    <row r="252" spans="4:6" ht="12.75" customHeight="1" x14ac:dyDescent="0.25">
      <c r="D252" s="3"/>
      <c r="E252" s="3"/>
      <c r="F252" s="3"/>
    </row>
    <row r="253" spans="4:6" ht="12.75" customHeight="1" x14ac:dyDescent="0.25">
      <c r="D253" s="3"/>
      <c r="E253" s="3"/>
      <c r="F253" s="3"/>
    </row>
    <row r="254" spans="4:6" ht="12.75" customHeight="1" x14ac:dyDescent="0.25">
      <c r="D254" s="3"/>
      <c r="E254" s="3"/>
      <c r="F254" s="3"/>
    </row>
    <row r="255" spans="4:6" ht="12.75" customHeight="1" x14ac:dyDescent="0.25">
      <c r="D255" s="3"/>
      <c r="E255" s="3"/>
      <c r="F255" s="3"/>
    </row>
    <row r="256" spans="4:6" ht="12.75" customHeight="1" x14ac:dyDescent="0.25">
      <c r="D256" s="3"/>
      <c r="E256" s="3"/>
      <c r="F256" s="3"/>
    </row>
    <row r="257" spans="4:6" ht="12.75" customHeight="1" x14ac:dyDescent="0.25">
      <c r="D257" s="3"/>
      <c r="E257" s="3"/>
      <c r="F257" s="3"/>
    </row>
    <row r="258" spans="4:6" ht="12.75" customHeight="1" x14ac:dyDescent="0.25">
      <c r="D258" s="3"/>
      <c r="E258" s="3"/>
      <c r="F258" s="3"/>
    </row>
    <row r="259" spans="4:6" ht="12.75" customHeight="1" x14ac:dyDescent="0.25">
      <c r="D259" s="3"/>
      <c r="E259" s="3"/>
      <c r="F259" s="3"/>
    </row>
    <row r="260" spans="4:6" ht="12.75" customHeight="1" x14ac:dyDescent="0.25">
      <c r="D260" s="3"/>
      <c r="E260" s="3"/>
      <c r="F260" s="3"/>
    </row>
    <row r="261" spans="4:6" ht="12.75" customHeight="1" x14ac:dyDescent="0.25">
      <c r="D261" s="3"/>
      <c r="E261" s="3"/>
      <c r="F261" s="3"/>
    </row>
    <row r="262" spans="4:6" ht="12.75" customHeight="1" x14ac:dyDescent="0.25">
      <c r="D262" s="3"/>
      <c r="E262" s="3"/>
      <c r="F262" s="3"/>
    </row>
    <row r="263" spans="4:6" ht="12.75" customHeight="1" x14ac:dyDescent="0.25">
      <c r="D263" s="3"/>
      <c r="E263" s="3"/>
      <c r="F263" s="3"/>
    </row>
    <row r="264" spans="4:6" ht="12.75" customHeight="1" x14ac:dyDescent="0.25">
      <c r="D264" s="3"/>
      <c r="E264" s="3"/>
      <c r="F264" s="3"/>
    </row>
    <row r="265" spans="4:6" ht="12.75" customHeight="1" x14ac:dyDescent="0.25">
      <c r="D265" s="3"/>
      <c r="E265" s="3"/>
      <c r="F265" s="3"/>
    </row>
    <row r="266" spans="4:6" ht="12.75" customHeight="1" x14ac:dyDescent="0.25">
      <c r="D266" s="3"/>
      <c r="E266" s="3"/>
      <c r="F266" s="3"/>
    </row>
    <row r="267" spans="4:6" ht="12.75" customHeight="1" x14ac:dyDescent="0.25">
      <c r="D267" s="3"/>
      <c r="E267" s="3"/>
      <c r="F267" s="3"/>
    </row>
    <row r="268" spans="4:6" ht="12.75" customHeight="1" x14ac:dyDescent="0.25">
      <c r="D268" s="3"/>
      <c r="E268" s="3"/>
      <c r="F268" s="3"/>
    </row>
    <row r="269" spans="4:6" ht="12.75" customHeight="1" x14ac:dyDescent="0.25">
      <c r="D269" s="3"/>
      <c r="E269" s="3"/>
      <c r="F269" s="3"/>
    </row>
    <row r="270" spans="4:6" ht="12.75" customHeight="1" x14ac:dyDescent="0.25">
      <c r="D270" s="3"/>
      <c r="E270" s="3"/>
      <c r="F270" s="3"/>
    </row>
    <row r="271" spans="4:6" ht="12.75" customHeight="1" x14ac:dyDescent="0.25">
      <c r="D271" s="3"/>
      <c r="E271" s="3"/>
      <c r="F271" s="3"/>
    </row>
    <row r="272" spans="4:6" ht="12.75" customHeight="1" x14ac:dyDescent="0.25">
      <c r="D272" s="3"/>
      <c r="E272" s="3"/>
      <c r="F272" s="3"/>
    </row>
    <row r="273" spans="4:6" ht="12.75" customHeight="1" x14ac:dyDescent="0.25">
      <c r="D273" s="3"/>
      <c r="E273" s="3"/>
      <c r="F273" s="3"/>
    </row>
    <row r="274" spans="4:6" ht="12.75" customHeight="1" x14ac:dyDescent="0.25">
      <c r="D274" s="3"/>
      <c r="E274" s="3"/>
      <c r="F274" s="3"/>
    </row>
    <row r="275" spans="4:6" ht="12.75" customHeight="1" x14ac:dyDescent="0.25">
      <c r="D275" s="3"/>
      <c r="E275" s="3"/>
      <c r="F275" s="3"/>
    </row>
    <row r="276" spans="4:6" ht="12.75" customHeight="1" x14ac:dyDescent="0.25">
      <c r="D276" s="3"/>
      <c r="E276" s="3"/>
      <c r="F276" s="3"/>
    </row>
    <row r="277" spans="4:6" ht="12.75" customHeight="1" x14ac:dyDescent="0.25">
      <c r="D277" s="3"/>
      <c r="E277" s="3"/>
      <c r="F277" s="3"/>
    </row>
    <row r="278" spans="4:6" ht="12.75" customHeight="1" x14ac:dyDescent="0.25">
      <c r="D278" s="3"/>
      <c r="E278" s="3"/>
      <c r="F278" s="3"/>
    </row>
    <row r="279" spans="4:6" ht="12.75" customHeight="1" x14ac:dyDescent="0.25">
      <c r="D279" s="3"/>
      <c r="E279" s="3"/>
      <c r="F279" s="3"/>
    </row>
    <row r="280" spans="4:6" ht="12.75" customHeight="1" x14ac:dyDescent="0.25">
      <c r="D280" s="3"/>
      <c r="E280" s="3"/>
      <c r="F280" s="3"/>
    </row>
    <row r="281" spans="4:6" ht="12.75" customHeight="1" x14ac:dyDescent="0.25">
      <c r="D281" s="3"/>
      <c r="E281" s="3"/>
      <c r="F281" s="3"/>
    </row>
    <row r="282" spans="4:6" ht="12.75" customHeight="1" x14ac:dyDescent="0.25">
      <c r="D282" s="3"/>
      <c r="E282" s="3"/>
      <c r="F282" s="3"/>
    </row>
    <row r="283" spans="4:6" ht="12.75" customHeight="1" x14ac:dyDescent="0.25">
      <c r="D283" s="3"/>
      <c r="E283" s="3"/>
      <c r="F283" s="3"/>
    </row>
    <row r="284" spans="4:6" ht="12.75" customHeight="1" x14ac:dyDescent="0.25">
      <c r="D284" s="3"/>
      <c r="E284" s="3"/>
      <c r="F284" s="3"/>
    </row>
    <row r="285" spans="4:6" ht="12.75" customHeight="1" x14ac:dyDescent="0.25">
      <c r="D285" s="3"/>
      <c r="E285" s="3"/>
      <c r="F285" s="3"/>
    </row>
    <row r="286" spans="4:6" ht="12.75" customHeight="1" x14ac:dyDescent="0.25">
      <c r="D286" s="3"/>
      <c r="E286" s="3"/>
      <c r="F286" s="3"/>
    </row>
    <row r="287" spans="4:6" ht="12.75" customHeight="1" x14ac:dyDescent="0.25">
      <c r="D287" s="3"/>
      <c r="E287" s="3"/>
      <c r="F287" s="3"/>
    </row>
    <row r="288" spans="4:6" ht="12.75" customHeight="1" x14ac:dyDescent="0.25">
      <c r="D288" s="3"/>
      <c r="E288" s="3"/>
      <c r="F288" s="3"/>
    </row>
    <row r="289" spans="4:6" ht="12.75" customHeight="1" x14ac:dyDescent="0.25">
      <c r="D289" s="3"/>
      <c r="E289" s="3"/>
      <c r="F289" s="3"/>
    </row>
    <row r="290" spans="4:6" ht="12.75" customHeight="1" x14ac:dyDescent="0.25">
      <c r="D290" s="3"/>
      <c r="E290" s="3"/>
      <c r="F290" s="3"/>
    </row>
    <row r="291" spans="4:6" ht="12.75" customHeight="1" x14ac:dyDescent="0.25">
      <c r="D291" s="3"/>
      <c r="E291" s="3"/>
      <c r="F291" s="3"/>
    </row>
    <row r="292" spans="4:6" ht="12.75" customHeight="1" x14ac:dyDescent="0.25">
      <c r="D292" s="3"/>
      <c r="E292" s="3"/>
      <c r="F292" s="3"/>
    </row>
    <row r="293" spans="4:6" ht="12.75" customHeight="1" x14ac:dyDescent="0.25">
      <c r="D293" s="3"/>
      <c r="E293" s="3"/>
      <c r="F293" s="3"/>
    </row>
    <row r="294" spans="4:6" ht="12.75" customHeight="1" x14ac:dyDescent="0.25">
      <c r="D294" s="3"/>
      <c r="E294" s="3"/>
      <c r="F294" s="3"/>
    </row>
    <row r="295" spans="4:6" ht="12.75" customHeight="1" x14ac:dyDescent="0.25">
      <c r="D295" s="3"/>
      <c r="E295" s="3"/>
      <c r="F295" s="3"/>
    </row>
    <row r="296" spans="4:6" ht="12.75" customHeight="1" x14ac:dyDescent="0.25">
      <c r="D296" s="3"/>
      <c r="E296" s="3"/>
      <c r="F296" s="3"/>
    </row>
    <row r="297" spans="4:6" ht="12.75" customHeight="1" x14ac:dyDescent="0.25">
      <c r="D297" s="3"/>
      <c r="E297" s="3"/>
      <c r="F297" s="3"/>
    </row>
    <row r="298" spans="4:6" ht="12.75" customHeight="1" x14ac:dyDescent="0.25">
      <c r="D298" s="3"/>
      <c r="E298" s="3"/>
      <c r="F298" s="3"/>
    </row>
    <row r="299" spans="4:6" ht="12.75" customHeight="1" x14ac:dyDescent="0.25">
      <c r="D299" s="3"/>
      <c r="E299" s="3"/>
      <c r="F299" s="3"/>
    </row>
    <row r="300" spans="4:6" ht="12.75" customHeight="1" x14ac:dyDescent="0.25">
      <c r="D300" s="3"/>
      <c r="E300" s="3"/>
      <c r="F300" s="3"/>
    </row>
    <row r="301" spans="4:6" ht="12.75" customHeight="1" x14ac:dyDescent="0.25">
      <c r="D301" s="3"/>
      <c r="E301" s="3"/>
      <c r="F301" s="3"/>
    </row>
    <row r="302" spans="4:6" ht="12.75" customHeight="1" x14ac:dyDescent="0.25">
      <c r="D302" s="3"/>
      <c r="E302" s="3"/>
      <c r="F302" s="3"/>
    </row>
    <row r="303" spans="4:6" ht="12.75" customHeight="1" x14ac:dyDescent="0.25">
      <c r="D303" s="3"/>
      <c r="E303" s="3"/>
      <c r="F303" s="3"/>
    </row>
    <row r="304" spans="4:6" ht="12.75" customHeight="1" x14ac:dyDescent="0.25">
      <c r="D304" s="3"/>
      <c r="E304" s="3"/>
      <c r="F304" s="3"/>
    </row>
    <row r="305" spans="4:6" ht="12.75" customHeight="1" x14ac:dyDescent="0.25">
      <c r="D305" s="3"/>
      <c r="E305" s="3"/>
      <c r="F305" s="3"/>
    </row>
    <row r="306" spans="4:6" ht="12.75" customHeight="1" x14ac:dyDescent="0.25">
      <c r="D306" s="3"/>
      <c r="E306" s="3"/>
      <c r="F306" s="3"/>
    </row>
    <row r="307" spans="4:6" ht="12.75" customHeight="1" x14ac:dyDescent="0.25">
      <c r="D307" s="3"/>
      <c r="E307" s="3"/>
      <c r="F307" s="3"/>
    </row>
    <row r="308" spans="4:6" ht="12.75" customHeight="1" x14ac:dyDescent="0.25">
      <c r="D308" s="3"/>
      <c r="E308" s="3"/>
      <c r="F308" s="3"/>
    </row>
    <row r="309" spans="4:6" ht="12.75" customHeight="1" x14ac:dyDescent="0.25">
      <c r="D309" s="3"/>
      <c r="E309" s="3"/>
      <c r="F309" s="3"/>
    </row>
    <row r="310" spans="4:6" ht="12.75" customHeight="1" x14ac:dyDescent="0.25">
      <c r="D310" s="3"/>
      <c r="E310" s="3"/>
      <c r="F310" s="3"/>
    </row>
    <row r="311" spans="4:6" ht="12.75" customHeight="1" x14ac:dyDescent="0.25">
      <c r="D311" s="3"/>
      <c r="E311" s="3"/>
      <c r="F311" s="3"/>
    </row>
    <row r="312" spans="4:6" ht="12.75" customHeight="1" x14ac:dyDescent="0.25">
      <c r="D312" s="3"/>
      <c r="E312" s="3"/>
      <c r="F312" s="3"/>
    </row>
    <row r="313" spans="4:6" ht="12.75" customHeight="1" x14ac:dyDescent="0.25">
      <c r="D313" s="3"/>
      <c r="E313" s="3"/>
      <c r="F313" s="3"/>
    </row>
    <row r="314" spans="4:6" ht="12.75" customHeight="1" x14ac:dyDescent="0.25">
      <c r="D314" s="3"/>
      <c r="E314" s="3"/>
      <c r="F314" s="3"/>
    </row>
    <row r="315" spans="4:6" ht="12.75" customHeight="1" x14ac:dyDescent="0.25">
      <c r="D315" s="3"/>
      <c r="E315" s="3"/>
      <c r="F315" s="3"/>
    </row>
    <row r="316" spans="4:6" ht="12.75" customHeight="1" x14ac:dyDescent="0.25">
      <c r="D316" s="3"/>
      <c r="E316" s="3"/>
      <c r="F316" s="3"/>
    </row>
    <row r="317" spans="4:6" ht="12.75" customHeight="1" x14ac:dyDescent="0.25">
      <c r="D317" s="3"/>
      <c r="E317" s="3"/>
      <c r="F317" s="3"/>
    </row>
    <row r="318" spans="4:6" ht="12.75" customHeight="1" x14ac:dyDescent="0.25">
      <c r="D318" s="3"/>
      <c r="E318" s="3"/>
      <c r="F318" s="3"/>
    </row>
    <row r="319" spans="4:6" ht="12.75" customHeight="1" x14ac:dyDescent="0.25">
      <c r="D319" s="3"/>
      <c r="E319" s="3"/>
      <c r="F319" s="3"/>
    </row>
    <row r="320" spans="4:6" ht="12.75" customHeight="1" x14ac:dyDescent="0.25">
      <c r="D320" s="3"/>
      <c r="E320" s="3"/>
      <c r="F320" s="3"/>
    </row>
    <row r="321" spans="4:6" ht="12.75" customHeight="1" x14ac:dyDescent="0.25">
      <c r="D321" s="3"/>
      <c r="E321" s="3"/>
      <c r="F321" s="3"/>
    </row>
    <row r="322" spans="4:6" ht="12.75" customHeight="1" x14ac:dyDescent="0.25">
      <c r="D322" s="3"/>
      <c r="E322" s="3"/>
      <c r="F322" s="3"/>
    </row>
    <row r="323" spans="4:6" ht="12.75" customHeight="1" x14ac:dyDescent="0.25">
      <c r="D323" s="3"/>
      <c r="E323" s="3"/>
      <c r="F323" s="3"/>
    </row>
    <row r="324" spans="4:6" ht="12.75" customHeight="1" x14ac:dyDescent="0.25">
      <c r="D324" s="3"/>
      <c r="E324" s="3"/>
      <c r="F324" s="3"/>
    </row>
    <row r="325" spans="4:6" ht="12.75" customHeight="1" x14ac:dyDescent="0.25">
      <c r="D325" s="3"/>
      <c r="E325" s="3"/>
      <c r="F325" s="3"/>
    </row>
    <row r="326" spans="4:6" ht="12.75" customHeight="1" x14ac:dyDescent="0.25">
      <c r="D326" s="3"/>
      <c r="E326" s="3"/>
      <c r="F326" s="3"/>
    </row>
    <row r="327" spans="4:6" ht="12.75" customHeight="1" x14ac:dyDescent="0.25">
      <c r="D327" s="3"/>
      <c r="E327" s="3"/>
      <c r="F327" s="3"/>
    </row>
    <row r="328" spans="4:6" ht="12.75" customHeight="1" x14ac:dyDescent="0.25">
      <c r="D328" s="3"/>
      <c r="E328" s="3"/>
      <c r="F328" s="3"/>
    </row>
    <row r="329" spans="4:6" ht="12.75" customHeight="1" x14ac:dyDescent="0.25">
      <c r="D329" s="3"/>
      <c r="E329" s="3"/>
      <c r="F329" s="3"/>
    </row>
    <row r="330" spans="4:6" ht="12.75" customHeight="1" x14ac:dyDescent="0.25">
      <c r="D330" s="3"/>
      <c r="E330" s="3"/>
      <c r="F330" s="3"/>
    </row>
    <row r="331" spans="4:6" ht="12.75" customHeight="1" x14ac:dyDescent="0.25">
      <c r="D331" s="3"/>
      <c r="E331" s="3"/>
      <c r="F331" s="3"/>
    </row>
    <row r="332" spans="4:6" ht="12.75" customHeight="1" x14ac:dyDescent="0.25">
      <c r="D332" s="3"/>
      <c r="E332" s="3"/>
      <c r="F332" s="3"/>
    </row>
    <row r="333" spans="4:6" ht="12.75" customHeight="1" x14ac:dyDescent="0.25">
      <c r="D333" s="3"/>
      <c r="E333" s="3"/>
      <c r="F333" s="3"/>
    </row>
    <row r="334" spans="4:6" ht="12.75" customHeight="1" x14ac:dyDescent="0.25">
      <c r="D334" s="3"/>
      <c r="E334" s="3"/>
      <c r="F334" s="3"/>
    </row>
    <row r="335" spans="4:6" ht="12.75" customHeight="1" x14ac:dyDescent="0.25">
      <c r="D335" s="3"/>
      <c r="E335" s="3"/>
      <c r="F335" s="3"/>
    </row>
    <row r="336" spans="4:6" ht="12.75" customHeight="1" x14ac:dyDescent="0.25">
      <c r="D336" s="3"/>
      <c r="E336" s="3"/>
      <c r="F336" s="3"/>
    </row>
    <row r="337" spans="4:6" ht="12.75" customHeight="1" x14ac:dyDescent="0.25">
      <c r="D337" s="3"/>
      <c r="E337" s="3"/>
      <c r="F337" s="3"/>
    </row>
    <row r="338" spans="4:6" ht="12.75" customHeight="1" x14ac:dyDescent="0.25">
      <c r="D338" s="3"/>
      <c r="E338" s="3"/>
      <c r="F338" s="3"/>
    </row>
    <row r="339" spans="4:6" ht="12.75" customHeight="1" x14ac:dyDescent="0.25">
      <c r="D339" s="3"/>
      <c r="E339" s="3"/>
      <c r="F339" s="3"/>
    </row>
    <row r="340" spans="4:6" ht="12.75" customHeight="1" x14ac:dyDescent="0.25">
      <c r="D340" s="3"/>
      <c r="E340" s="3"/>
      <c r="F340" s="3"/>
    </row>
    <row r="341" spans="4:6" ht="12.75" customHeight="1" x14ac:dyDescent="0.25">
      <c r="D341" s="3"/>
      <c r="E341" s="3"/>
      <c r="F341" s="3"/>
    </row>
    <row r="342" spans="4:6" ht="12.75" customHeight="1" x14ac:dyDescent="0.25">
      <c r="D342" s="3"/>
      <c r="E342" s="3"/>
      <c r="F342" s="3"/>
    </row>
    <row r="343" spans="4:6" ht="12.75" customHeight="1" x14ac:dyDescent="0.25">
      <c r="D343" s="3"/>
      <c r="E343" s="3"/>
      <c r="F343" s="3"/>
    </row>
    <row r="344" spans="4:6" ht="12.75" customHeight="1" x14ac:dyDescent="0.25">
      <c r="D344" s="3"/>
      <c r="E344" s="3"/>
      <c r="F344" s="3"/>
    </row>
    <row r="345" spans="4:6" ht="12.75" customHeight="1" x14ac:dyDescent="0.25">
      <c r="D345" s="3"/>
      <c r="E345" s="3"/>
      <c r="F345" s="3"/>
    </row>
    <row r="346" spans="4:6" ht="12.75" customHeight="1" x14ac:dyDescent="0.25">
      <c r="D346" s="3"/>
      <c r="E346" s="3"/>
      <c r="F346" s="3"/>
    </row>
    <row r="347" spans="4:6" ht="12.75" customHeight="1" x14ac:dyDescent="0.25">
      <c r="D347" s="3"/>
      <c r="E347" s="3"/>
      <c r="F347" s="3"/>
    </row>
    <row r="348" spans="4:6" ht="12.75" customHeight="1" x14ac:dyDescent="0.25">
      <c r="D348" s="3"/>
      <c r="E348" s="3"/>
      <c r="F348" s="3"/>
    </row>
    <row r="349" spans="4:6" ht="12.75" customHeight="1" x14ac:dyDescent="0.25">
      <c r="D349" s="3"/>
      <c r="E349" s="3"/>
      <c r="F349" s="3"/>
    </row>
    <row r="350" spans="4:6" ht="12.75" customHeight="1" x14ac:dyDescent="0.25">
      <c r="D350" s="3"/>
      <c r="E350" s="3"/>
      <c r="F350" s="3"/>
    </row>
    <row r="351" spans="4:6" ht="12.75" customHeight="1" x14ac:dyDescent="0.25">
      <c r="D351" s="3"/>
      <c r="E351" s="3"/>
      <c r="F351" s="3"/>
    </row>
    <row r="352" spans="4:6" ht="12.75" customHeight="1" x14ac:dyDescent="0.25">
      <c r="D352" s="3"/>
      <c r="E352" s="3"/>
      <c r="F352" s="3"/>
    </row>
    <row r="353" spans="4:6" ht="12.75" customHeight="1" x14ac:dyDescent="0.25">
      <c r="D353" s="3"/>
      <c r="E353" s="3"/>
      <c r="F353" s="3"/>
    </row>
    <row r="354" spans="4:6" ht="12.75" customHeight="1" x14ac:dyDescent="0.25">
      <c r="D354" s="3"/>
      <c r="E354" s="3"/>
      <c r="F354" s="3"/>
    </row>
    <row r="355" spans="4:6" ht="12.75" customHeight="1" x14ac:dyDescent="0.25">
      <c r="D355" s="3"/>
      <c r="E355" s="3"/>
      <c r="F355" s="3"/>
    </row>
    <row r="356" spans="4:6" ht="12.75" customHeight="1" x14ac:dyDescent="0.25">
      <c r="D356" s="3"/>
      <c r="E356" s="3"/>
      <c r="F356" s="3"/>
    </row>
    <row r="357" spans="4:6" ht="12.75" customHeight="1" x14ac:dyDescent="0.25">
      <c r="D357" s="3"/>
      <c r="E357" s="3"/>
      <c r="F357" s="3"/>
    </row>
    <row r="358" spans="4:6" ht="12.75" customHeight="1" x14ac:dyDescent="0.25">
      <c r="D358" s="3"/>
      <c r="E358" s="3"/>
      <c r="F358" s="3"/>
    </row>
    <row r="359" spans="4:6" ht="12.75" customHeight="1" x14ac:dyDescent="0.25">
      <c r="D359" s="3"/>
      <c r="E359" s="3"/>
      <c r="F359" s="3"/>
    </row>
    <row r="360" spans="4:6" ht="12.75" customHeight="1" x14ac:dyDescent="0.25">
      <c r="D360" s="3"/>
      <c r="E360" s="3"/>
      <c r="F360" s="3"/>
    </row>
    <row r="361" spans="4:6" ht="12.75" customHeight="1" x14ac:dyDescent="0.25">
      <c r="D361" s="3"/>
      <c r="E361" s="3"/>
      <c r="F361" s="3"/>
    </row>
    <row r="362" spans="4:6" ht="12.75" customHeight="1" x14ac:dyDescent="0.25">
      <c r="D362" s="3"/>
      <c r="E362" s="3"/>
      <c r="F362" s="3"/>
    </row>
    <row r="363" spans="4:6" ht="12.75" customHeight="1" x14ac:dyDescent="0.25">
      <c r="D363" s="3"/>
      <c r="E363" s="3"/>
      <c r="F363" s="3"/>
    </row>
    <row r="364" spans="4:6" ht="12.75" customHeight="1" x14ac:dyDescent="0.25">
      <c r="D364" s="3"/>
      <c r="E364" s="3"/>
      <c r="F364" s="3"/>
    </row>
    <row r="365" spans="4:6" ht="12.75" customHeight="1" x14ac:dyDescent="0.25">
      <c r="D365" s="3"/>
      <c r="E365" s="3"/>
      <c r="F365" s="3"/>
    </row>
    <row r="366" spans="4:6" ht="12.75" customHeight="1" x14ac:dyDescent="0.25">
      <c r="D366" s="3"/>
      <c r="E366" s="3"/>
      <c r="F366" s="3"/>
    </row>
    <row r="367" spans="4:6" ht="12.75" customHeight="1" x14ac:dyDescent="0.25">
      <c r="D367" s="3"/>
      <c r="E367" s="3"/>
      <c r="F367" s="3"/>
    </row>
    <row r="368" spans="4:6" ht="12.75" customHeight="1" x14ac:dyDescent="0.25">
      <c r="D368" s="3"/>
      <c r="E368" s="3"/>
      <c r="F368" s="3"/>
    </row>
    <row r="369" spans="4:6" ht="12.75" customHeight="1" x14ac:dyDescent="0.25">
      <c r="D369" s="3"/>
      <c r="E369" s="3"/>
      <c r="F369" s="3"/>
    </row>
    <row r="370" spans="4:6" ht="12.75" customHeight="1" x14ac:dyDescent="0.25">
      <c r="D370" s="3"/>
      <c r="E370" s="3"/>
      <c r="F370" s="3"/>
    </row>
    <row r="371" spans="4:6" ht="12.75" customHeight="1" x14ac:dyDescent="0.25">
      <c r="D371" s="3"/>
      <c r="E371" s="3"/>
      <c r="F371" s="3"/>
    </row>
    <row r="372" spans="4:6" ht="12.75" customHeight="1" x14ac:dyDescent="0.25">
      <c r="D372" s="3"/>
      <c r="E372" s="3"/>
      <c r="F372" s="3"/>
    </row>
    <row r="373" spans="4:6" ht="12.75" customHeight="1" x14ac:dyDescent="0.25">
      <c r="D373" s="3"/>
      <c r="E373" s="3"/>
      <c r="F373" s="3"/>
    </row>
    <row r="374" spans="4:6" ht="12.75" customHeight="1" x14ac:dyDescent="0.25">
      <c r="D374" s="3"/>
      <c r="E374" s="3"/>
      <c r="F374" s="3"/>
    </row>
    <row r="375" spans="4:6" ht="12.75" customHeight="1" x14ac:dyDescent="0.25">
      <c r="D375" s="3"/>
      <c r="E375" s="3"/>
      <c r="F375" s="3"/>
    </row>
    <row r="376" spans="4:6" ht="12.75" customHeight="1" x14ac:dyDescent="0.25">
      <c r="D376" s="3"/>
      <c r="E376" s="3"/>
      <c r="F376" s="3"/>
    </row>
    <row r="377" spans="4:6" ht="12.75" customHeight="1" x14ac:dyDescent="0.25">
      <c r="D377" s="3"/>
      <c r="E377" s="3"/>
      <c r="F377" s="3"/>
    </row>
    <row r="378" spans="4:6" ht="12.75" customHeight="1" x14ac:dyDescent="0.25">
      <c r="D378" s="3"/>
      <c r="E378" s="3"/>
      <c r="F378" s="3"/>
    </row>
    <row r="379" spans="4:6" ht="12.75" customHeight="1" x14ac:dyDescent="0.25">
      <c r="D379" s="3"/>
      <c r="E379" s="3"/>
      <c r="F379" s="3"/>
    </row>
    <row r="380" spans="4:6" ht="12.75" customHeight="1" x14ac:dyDescent="0.25">
      <c r="D380" s="3"/>
      <c r="E380" s="3"/>
      <c r="F380" s="3"/>
    </row>
    <row r="381" spans="4:6" ht="12.75" customHeight="1" x14ac:dyDescent="0.25">
      <c r="D381" s="3"/>
      <c r="E381" s="3"/>
      <c r="F381" s="3"/>
    </row>
    <row r="382" spans="4:6" ht="12.75" customHeight="1" x14ac:dyDescent="0.25">
      <c r="D382" s="3"/>
      <c r="E382" s="3"/>
      <c r="F382" s="3"/>
    </row>
    <row r="383" spans="4:6" ht="12.75" customHeight="1" x14ac:dyDescent="0.25">
      <c r="D383" s="3"/>
      <c r="E383" s="3"/>
      <c r="F383" s="3"/>
    </row>
    <row r="384" spans="4:6" ht="12.75" customHeight="1" x14ac:dyDescent="0.25">
      <c r="D384" s="3"/>
      <c r="E384" s="3"/>
      <c r="F384" s="3"/>
    </row>
    <row r="385" spans="4:6" ht="12.75" customHeight="1" x14ac:dyDescent="0.25">
      <c r="D385" s="3"/>
      <c r="E385" s="3"/>
      <c r="F385" s="3"/>
    </row>
    <row r="386" spans="4:6" ht="12.75" customHeight="1" x14ac:dyDescent="0.25">
      <c r="D386" s="3"/>
      <c r="E386" s="3"/>
      <c r="F386" s="3"/>
    </row>
    <row r="387" spans="4:6" ht="12.75" customHeight="1" x14ac:dyDescent="0.25">
      <c r="D387" s="3"/>
      <c r="E387" s="3"/>
      <c r="F387" s="3"/>
    </row>
    <row r="388" spans="4:6" ht="12.75" customHeight="1" x14ac:dyDescent="0.25">
      <c r="D388" s="3"/>
      <c r="E388" s="3"/>
      <c r="F388" s="3"/>
    </row>
    <row r="389" spans="4:6" ht="12.75" customHeight="1" x14ac:dyDescent="0.25">
      <c r="D389" s="3"/>
      <c r="E389" s="3"/>
      <c r="F389" s="3"/>
    </row>
    <row r="390" spans="4:6" ht="12.75" customHeight="1" x14ac:dyDescent="0.25">
      <c r="D390" s="3"/>
      <c r="E390" s="3"/>
      <c r="F390" s="3"/>
    </row>
    <row r="391" spans="4:6" ht="12.75" customHeight="1" x14ac:dyDescent="0.25">
      <c r="D391" s="3"/>
      <c r="E391" s="3"/>
      <c r="F391" s="3"/>
    </row>
    <row r="392" spans="4:6" ht="12.75" customHeight="1" x14ac:dyDescent="0.25">
      <c r="D392" s="3"/>
      <c r="E392" s="3"/>
      <c r="F392" s="3"/>
    </row>
    <row r="393" spans="4:6" ht="12.75" customHeight="1" x14ac:dyDescent="0.25">
      <c r="D393" s="3"/>
      <c r="E393" s="3"/>
      <c r="F393" s="3"/>
    </row>
    <row r="394" spans="4:6" ht="12.75" customHeight="1" x14ac:dyDescent="0.25">
      <c r="D394" s="3"/>
      <c r="E394" s="3"/>
      <c r="F394" s="3"/>
    </row>
    <row r="395" spans="4:6" ht="12.75" customHeight="1" x14ac:dyDescent="0.25">
      <c r="D395" s="3"/>
      <c r="E395" s="3"/>
      <c r="F395" s="3"/>
    </row>
    <row r="396" spans="4:6" ht="12.75" customHeight="1" x14ac:dyDescent="0.25">
      <c r="D396" s="3"/>
      <c r="E396" s="3"/>
      <c r="F396" s="3"/>
    </row>
    <row r="397" spans="4:6" ht="12.75" customHeight="1" x14ac:dyDescent="0.25">
      <c r="D397" s="3"/>
      <c r="E397" s="3"/>
      <c r="F397" s="3"/>
    </row>
    <row r="398" spans="4:6" ht="12.75" customHeight="1" x14ac:dyDescent="0.25">
      <c r="D398" s="3"/>
      <c r="E398" s="3"/>
      <c r="F398" s="3"/>
    </row>
    <row r="399" spans="4:6" ht="12.75" customHeight="1" x14ac:dyDescent="0.25">
      <c r="D399" s="3"/>
      <c r="E399" s="3"/>
      <c r="F399" s="3"/>
    </row>
    <row r="400" spans="4:6" ht="12.75" customHeight="1" x14ac:dyDescent="0.25">
      <c r="D400" s="3"/>
      <c r="E400" s="3"/>
      <c r="F400" s="3"/>
    </row>
    <row r="401" spans="4:6" ht="12.75" customHeight="1" x14ac:dyDescent="0.25">
      <c r="D401" s="3"/>
      <c r="E401" s="3"/>
      <c r="F401" s="3"/>
    </row>
    <row r="402" spans="4:6" ht="12.75" customHeight="1" x14ac:dyDescent="0.25">
      <c r="D402" s="3"/>
      <c r="E402" s="3"/>
      <c r="F402" s="3"/>
    </row>
    <row r="403" spans="4:6" ht="12.75" customHeight="1" x14ac:dyDescent="0.25">
      <c r="D403" s="3"/>
      <c r="E403" s="3"/>
      <c r="F403" s="3"/>
    </row>
    <row r="404" spans="4:6" ht="12.75" customHeight="1" x14ac:dyDescent="0.25">
      <c r="D404" s="3"/>
      <c r="E404" s="3"/>
      <c r="F404" s="3"/>
    </row>
    <row r="405" spans="4:6" ht="12.75" customHeight="1" x14ac:dyDescent="0.25">
      <c r="D405" s="3"/>
      <c r="E405" s="3"/>
      <c r="F405" s="3"/>
    </row>
    <row r="406" spans="4:6" ht="12.75" customHeight="1" x14ac:dyDescent="0.25">
      <c r="D406" s="3"/>
      <c r="E406" s="3"/>
      <c r="F406" s="3"/>
    </row>
    <row r="407" spans="4:6" ht="12.75" customHeight="1" x14ac:dyDescent="0.25">
      <c r="D407" s="3"/>
      <c r="E407" s="3"/>
      <c r="F407" s="3"/>
    </row>
    <row r="408" spans="4:6" ht="12.75" customHeight="1" x14ac:dyDescent="0.25">
      <c r="D408" s="3"/>
      <c r="E408" s="3"/>
      <c r="F408" s="3"/>
    </row>
    <row r="409" spans="4:6" ht="12.75" customHeight="1" x14ac:dyDescent="0.25">
      <c r="D409" s="3"/>
      <c r="E409" s="3"/>
      <c r="F409" s="3"/>
    </row>
    <row r="410" spans="4:6" ht="12.75" customHeight="1" x14ac:dyDescent="0.25">
      <c r="D410" s="3"/>
      <c r="E410" s="3"/>
      <c r="F410" s="3"/>
    </row>
    <row r="411" spans="4:6" ht="12.75" customHeight="1" x14ac:dyDescent="0.25">
      <c r="D411" s="3"/>
      <c r="E411" s="3"/>
      <c r="F411" s="3"/>
    </row>
    <row r="412" spans="4:6" ht="12.75" customHeight="1" x14ac:dyDescent="0.25">
      <c r="D412" s="3"/>
      <c r="E412" s="3"/>
      <c r="F412" s="3"/>
    </row>
    <row r="413" spans="4:6" ht="12.75" customHeight="1" x14ac:dyDescent="0.25">
      <c r="D413" s="3"/>
      <c r="E413" s="3"/>
      <c r="F413" s="3"/>
    </row>
    <row r="414" spans="4:6" ht="12.75" customHeight="1" x14ac:dyDescent="0.25">
      <c r="D414" s="3"/>
      <c r="E414" s="3"/>
      <c r="F414" s="3"/>
    </row>
    <row r="415" spans="4:6" ht="12.75" customHeight="1" x14ac:dyDescent="0.25">
      <c r="D415" s="3"/>
      <c r="E415" s="3"/>
      <c r="F415" s="3"/>
    </row>
    <row r="416" spans="4:6" ht="12.75" customHeight="1" x14ac:dyDescent="0.25">
      <c r="D416" s="3"/>
      <c r="E416" s="3"/>
      <c r="F416" s="3"/>
    </row>
    <row r="417" spans="4:6" ht="12.75" customHeight="1" x14ac:dyDescent="0.25">
      <c r="D417" s="3"/>
      <c r="E417" s="3"/>
      <c r="F417" s="3"/>
    </row>
    <row r="418" spans="4:6" ht="12.75" customHeight="1" x14ac:dyDescent="0.25">
      <c r="D418" s="3"/>
      <c r="E418" s="3"/>
      <c r="F418" s="3"/>
    </row>
    <row r="419" spans="4:6" ht="12.75" customHeight="1" x14ac:dyDescent="0.25">
      <c r="D419" s="3"/>
      <c r="E419" s="3"/>
      <c r="F419" s="3"/>
    </row>
    <row r="420" spans="4:6" ht="12.75" customHeight="1" x14ac:dyDescent="0.25">
      <c r="D420" s="3"/>
      <c r="E420" s="3"/>
      <c r="F420" s="3"/>
    </row>
    <row r="421" spans="4:6" ht="12.75" customHeight="1" x14ac:dyDescent="0.25">
      <c r="D421" s="3"/>
      <c r="E421" s="3"/>
      <c r="F421" s="3"/>
    </row>
    <row r="422" spans="4:6" ht="12.75" customHeight="1" x14ac:dyDescent="0.25">
      <c r="D422" s="3"/>
      <c r="E422" s="3"/>
      <c r="F422" s="3"/>
    </row>
    <row r="423" spans="4:6" ht="12.75" customHeight="1" x14ac:dyDescent="0.25">
      <c r="D423" s="3"/>
      <c r="E423" s="3"/>
      <c r="F423" s="3"/>
    </row>
    <row r="424" spans="4:6" ht="12.75" customHeight="1" x14ac:dyDescent="0.25">
      <c r="D424" s="3"/>
      <c r="E424" s="3"/>
      <c r="F424" s="3"/>
    </row>
    <row r="425" spans="4:6" ht="12.75" customHeight="1" x14ac:dyDescent="0.25">
      <c r="D425" s="3"/>
      <c r="E425" s="3"/>
      <c r="F425" s="3"/>
    </row>
    <row r="426" spans="4:6" ht="12.75" customHeight="1" x14ac:dyDescent="0.25">
      <c r="D426" s="3"/>
      <c r="E426" s="3"/>
      <c r="F426" s="3"/>
    </row>
    <row r="427" spans="4:6" ht="12.75" customHeight="1" x14ac:dyDescent="0.25">
      <c r="D427" s="3"/>
      <c r="E427" s="3"/>
      <c r="F427" s="3"/>
    </row>
    <row r="428" spans="4:6" ht="12.75" customHeight="1" x14ac:dyDescent="0.25">
      <c r="D428" s="3"/>
      <c r="E428" s="3"/>
      <c r="F428" s="3"/>
    </row>
    <row r="429" spans="4:6" ht="12.75" customHeight="1" x14ac:dyDescent="0.25">
      <c r="D429" s="3"/>
      <c r="E429" s="3"/>
      <c r="F429" s="3"/>
    </row>
    <row r="430" spans="4:6" ht="12.75" customHeight="1" x14ac:dyDescent="0.25">
      <c r="D430" s="3"/>
      <c r="E430" s="3"/>
      <c r="F430" s="3"/>
    </row>
    <row r="431" spans="4:6" ht="12.75" customHeight="1" x14ac:dyDescent="0.25">
      <c r="D431" s="3"/>
      <c r="E431" s="3"/>
      <c r="F431" s="3"/>
    </row>
    <row r="432" spans="4:6" ht="12.75" customHeight="1" x14ac:dyDescent="0.25">
      <c r="D432" s="3"/>
      <c r="E432" s="3"/>
      <c r="F432" s="3"/>
    </row>
    <row r="433" spans="4:6" ht="12.75" customHeight="1" x14ac:dyDescent="0.25">
      <c r="D433" s="3"/>
      <c r="E433" s="3"/>
      <c r="F433" s="3"/>
    </row>
    <row r="434" spans="4:6" ht="12.75" customHeight="1" x14ac:dyDescent="0.25">
      <c r="D434" s="3"/>
      <c r="E434" s="3"/>
      <c r="F434" s="3"/>
    </row>
    <row r="435" spans="4:6" ht="12.75" customHeight="1" x14ac:dyDescent="0.25">
      <c r="D435" s="3"/>
      <c r="E435" s="3"/>
      <c r="F435" s="3"/>
    </row>
    <row r="436" spans="4:6" ht="12.75" customHeight="1" x14ac:dyDescent="0.25">
      <c r="D436" s="3"/>
      <c r="E436" s="3"/>
      <c r="F436" s="3"/>
    </row>
    <row r="437" spans="4:6" ht="12.75" customHeight="1" x14ac:dyDescent="0.25">
      <c r="D437" s="3"/>
      <c r="E437" s="3"/>
      <c r="F437" s="3"/>
    </row>
    <row r="438" spans="4:6" ht="12.75" customHeight="1" x14ac:dyDescent="0.25">
      <c r="D438" s="3"/>
      <c r="E438" s="3"/>
      <c r="F438" s="3"/>
    </row>
    <row r="439" spans="4:6" ht="12.75" customHeight="1" x14ac:dyDescent="0.25">
      <c r="D439" s="3"/>
      <c r="E439" s="3"/>
      <c r="F439" s="3"/>
    </row>
    <row r="440" spans="4:6" ht="12.75" customHeight="1" x14ac:dyDescent="0.25">
      <c r="D440" s="3"/>
      <c r="E440" s="3"/>
      <c r="F440" s="3"/>
    </row>
    <row r="441" spans="4:6" ht="12.75" customHeight="1" x14ac:dyDescent="0.25">
      <c r="D441" s="3"/>
      <c r="E441" s="3"/>
      <c r="F441" s="3"/>
    </row>
    <row r="442" spans="4:6" ht="12.75" customHeight="1" x14ac:dyDescent="0.25">
      <c r="D442" s="3"/>
      <c r="E442" s="3"/>
      <c r="F442" s="3"/>
    </row>
    <row r="443" spans="4:6" ht="12.75" customHeight="1" x14ac:dyDescent="0.25">
      <c r="D443" s="3"/>
      <c r="E443" s="3"/>
      <c r="F443" s="3"/>
    </row>
    <row r="444" spans="4:6" ht="12.75" customHeight="1" x14ac:dyDescent="0.25">
      <c r="D444" s="3"/>
      <c r="E444" s="3"/>
      <c r="F444" s="3"/>
    </row>
    <row r="445" spans="4:6" ht="12.75" customHeight="1" x14ac:dyDescent="0.25">
      <c r="D445" s="3"/>
      <c r="E445" s="3"/>
      <c r="F445" s="3"/>
    </row>
    <row r="446" spans="4:6" ht="12.75" customHeight="1" x14ac:dyDescent="0.25">
      <c r="D446" s="3"/>
      <c r="E446" s="3"/>
      <c r="F446" s="3"/>
    </row>
    <row r="447" spans="4:6" ht="12.75" customHeight="1" x14ac:dyDescent="0.25">
      <c r="D447" s="3"/>
      <c r="E447" s="3"/>
      <c r="F447" s="3"/>
    </row>
    <row r="448" spans="4:6" ht="12.75" customHeight="1" x14ac:dyDescent="0.25">
      <c r="D448" s="3"/>
      <c r="E448" s="3"/>
      <c r="F448" s="3"/>
    </row>
    <row r="449" spans="4:6" ht="12.75" customHeight="1" x14ac:dyDescent="0.25">
      <c r="D449" s="3"/>
      <c r="E449" s="3"/>
      <c r="F449" s="3"/>
    </row>
    <row r="450" spans="4:6" ht="12.75" customHeight="1" x14ac:dyDescent="0.25">
      <c r="D450" s="3"/>
      <c r="E450" s="3"/>
      <c r="F450" s="3"/>
    </row>
    <row r="451" spans="4:6" ht="12.75" customHeight="1" x14ac:dyDescent="0.25">
      <c r="D451" s="3"/>
      <c r="E451" s="3"/>
      <c r="F451" s="3"/>
    </row>
    <row r="452" spans="4:6" ht="12.75" customHeight="1" x14ac:dyDescent="0.25">
      <c r="D452" s="3"/>
      <c r="E452" s="3"/>
      <c r="F452" s="3"/>
    </row>
    <row r="453" spans="4:6" ht="12.75" customHeight="1" x14ac:dyDescent="0.25">
      <c r="D453" s="3"/>
      <c r="E453" s="3"/>
      <c r="F453" s="3"/>
    </row>
    <row r="454" spans="4:6" ht="12.75" customHeight="1" x14ac:dyDescent="0.25">
      <c r="D454" s="3"/>
      <c r="E454" s="3"/>
      <c r="F454" s="3"/>
    </row>
    <row r="455" spans="4:6" ht="12.75" customHeight="1" x14ac:dyDescent="0.25">
      <c r="D455" s="3"/>
      <c r="E455" s="3"/>
      <c r="F455" s="3"/>
    </row>
    <row r="456" spans="4:6" ht="12.75" customHeight="1" x14ac:dyDescent="0.25">
      <c r="D456" s="3"/>
      <c r="E456" s="3"/>
      <c r="F456" s="3"/>
    </row>
    <row r="457" spans="4:6" ht="12.75" customHeight="1" x14ac:dyDescent="0.25">
      <c r="D457" s="3"/>
      <c r="E457" s="3"/>
      <c r="F457" s="3"/>
    </row>
    <row r="458" spans="4:6" ht="12.75" customHeight="1" x14ac:dyDescent="0.25">
      <c r="D458" s="3"/>
      <c r="E458" s="3"/>
      <c r="F458" s="3"/>
    </row>
    <row r="459" spans="4:6" ht="12.75" customHeight="1" x14ac:dyDescent="0.25">
      <c r="D459" s="3"/>
      <c r="E459" s="3"/>
      <c r="F459" s="3"/>
    </row>
    <row r="460" spans="4:6" ht="12.75" customHeight="1" x14ac:dyDescent="0.25">
      <c r="D460" s="3"/>
      <c r="E460" s="3"/>
      <c r="F460" s="3"/>
    </row>
    <row r="461" spans="4:6" ht="12.75" customHeight="1" x14ac:dyDescent="0.25">
      <c r="D461" s="3"/>
      <c r="E461" s="3"/>
      <c r="F461" s="3"/>
    </row>
    <row r="462" spans="4:6" ht="12.75" customHeight="1" x14ac:dyDescent="0.25">
      <c r="D462" s="3"/>
      <c r="E462" s="3"/>
      <c r="F462" s="3"/>
    </row>
    <row r="463" spans="4:6" ht="12.75" customHeight="1" x14ac:dyDescent="0.25">
      <c r="D463" s="3"/>
      <c r="E463" s="3"/>
      <c r="F463" s="3"/>
    </row>
    <row r="464" spans="4:6" ht="12.75" customHeight="1" x14ac:dyDescent="0.25">
      <c r="D464" s="3"/>
      <c r="E464" s="3"/>
      <c r="F464" s="3"/>
    </row>
    <row r="465" spans="4:6" ht="12.75" customHeight="1" x14ac:dyDescent="0.25">
      <c r="D465" s="3"/>
      <c r="E465" s="3"/>
      <c r="F465" s="3"/>
    </row>
    <row r="466" spans="4:6" ht="12.75" customHeight="1" x14ac:dyDescent="0.25">
      <c r="D466" s="3"/>
      <c r="E466" s="3"/>
      <c r="F466" s="3"/>
    </row>
    <row r="467" spans="4:6" ht="12.75" customHeight="1" x14ac:dyDescent="0.25">
      <c r="D467" s="3"/>
      <c r="E467" s="3"/>
      <c r="F467" s="3"/>
    </row>
    <row r="468" spans="4:6" ht="12.75" customHeight="1" x14ac:dyDescent="0.25">
      <c r="D468" s="3"/>
      <c r="E468" s="3"/>
      <c r="F468" s="3"/>
    </row>
    <row r="469" spans="4:6" ht="12.75" customHeight="1" x14ac:dyDescent="0.25">
      <c r="D469" s="3"/>
      <c r="E469" s="3"/>
      <c r="F469" s="3"/>
    </row>
    <row r="470" spans="4:6" ht="12.75" customHeight="1" x14ac:dyDescent="0.25">
      <c r="D470" s="3"/>
      <c r="E470" s="3"/>
      <c r="F470" s="3"/>
    </row>
    <row r="471" spans="4:6" ht="12.75" customHeight="1" x14ac:dyDescent="0.25">
      <c r="D471" s="3"/>
      <c r="E471" s="3"/>
      <c r="F471" s="3"/>
    </row>
    <row r="472" spans="4:6" ht="12.75" customHeight="1" x14ac:dyDescent="0.25">
      <c r="D472" s="3"/>
      <c r="E472" s="3"/>
      <c r="F472" s="3"/>
    </row>
    <row r="473" spans="4:6" ht="12.75" customHeight="1" x14ac:dyDescent="0.25">
      <c r="D473" s="3"/>
      <c r="E473" s="3"/>
      <c r="F473" s="3"/>
    </row>
    <row r="474" spans="4:6" ht="12.75" customHeight="1" x14ac:dyDescent="0.25">
      <c r="D474" s="3"/>
      <c r="E474" s="3"/>
      <c r="F474" s="3"/>
    </row>
    <row r="475" spans="4:6" ht="12.75" customHeight="1" x14ac:dyDescent="0.25">
      <c r="D475" s="3"/>
      <c r="E475" s="3"/>
      <c r="F475" s="3"/>
    </row>
    <row r="476" spans="4:6" ht="12.75" customHeight="1" x14ac:dyDescent="0.25">
      <c r="D476" s="3"/>
      <c r="E476" s="3"/>
      <c r="F476" s="3"/>
    </row>
    <row r="477" spans="4:6" ht="12.75" customHeight="1" x14ac:dyDescent="0.25">
      <c r="D477" s="3"/>
      <c r="E477" s="3"/>
      <c r="F477" s="3"/>
    </row>
    <row r="478" spans="4:6" ht="12.75" customHeight="1" x14ac:dyDescent="0.25">
      <c r="D478" s="3"/>
      <c r="E478" s="3"/>
      <c r="F478" s="3"/>
    </row>
    <row r="479" spans="4:6" ht="12.75" customHeight="1" x14ac:dyDescent="0.25">
      <c r="D479" s="3"/>
      <c r="E479" s="3"/>
      <c r="F479" s="3"/>
    </row>
    <row r="480" spans="4:6" ht="12.75" customHeight="1" x14ac:dyDescent="0.25">
      <c r="D480" s="3"/>
      <c r="E480" s="3"/>
      <c r="F480" s="3"/>
    </row>
    <row r="481" spans="4:6" ht="12.75" customHeight="1" x14ac:dyDescent="0.25">
      <c r="D481" s="3"/>
      <c r="E481" s="3"/>
      <c r="F481" s="3"/>
    </row>
    <row r="482" spans="4:6" ht="12.75" customHeight="1" x14ac:dyDescent="0.25">
      <c r="D482" s="3"/>
      <c r="E482" s="3"/>
      <c r="F482" s="3"/>
    </row>
    <row r="483" spans="4:6" ht="12.75" customHeight="1" x14ac:dyDescent="0.25">
      <c r="D483" s="3"/>
      <c r="E483" s="3"/>
      <c r="F483" s="3"/>
    </row>
    <row r="484" spans="4:6" ht="12.75" customHeight="1" x14ac:dyDescent="0.25">
      <c r="D484" s="3"/>
      <c r="E484" s="3"/>
      <c r="F484" s="3"/>
    </row>
    <row r="485" spans="4:6" ht="12.75" customHeight="1" x14ac:dyDescent="0.25">
      <c r="D485" s="3"/>
      <c r="E485" s="3"/>
      <c r="F485" s="3"/>
    </row>
    <row r="486" spans="4:6" ht="12.75" customHeight="1" x14ac:dyDescent="0.25">
      <c r="D486" s="3"/>
      <c r="E486" s="3"/>
      <c r="F486" s="3"/>
    </row>
    <row r="487" spans="4:6" ht="12.75" customHeight="1" x14ac:dyDescent="0.25">
      <c r="D487" s="3"/>
      <c r="E487" s="3"/>
      <c r="F487" s="3"/>
    </row>
    <row r="488" spans="4:6" ht="12.75" customHeight="1" x14ac:dyDescent="0.25">
      <c r="D488" s="3"/>
      <c r="E488" s="3"/>
      <c r="F488" s="3"/>
    </row>
    <row r="489" spans="4:6" ht="12.75" customHeight="1" x14ac:dyDescent="0.25">
      <c r="D489" s="3"/>
      <c r="E489" s="3"/>
      <c r="F489" s="3"/>
    </row>
    <row r="490" spans="4:6" ht="12.75" customHeight="1" x14ac:dyDescent="0.25">
      <c r="D490" s="3"/>
      <c r="E490" s="3"/>
      <c r="F490" s="3"/>
    </row>
    <row r="491" spans="4:6" ht="12.75" customHeight="1" x14ac:dyDescent="0.25">
      <c r="D491" s="3"/>
      <c r="E491" s="3"/>
      <c r="F491" s="3"/>
    </row>
    <row r="492" spans="4:6" ht="12.75" customHeight="1" x14ac:dyDescent="0.25">
      <c r="D492" s="3"/>
      <c r="E492" s="3"/>
      <c r="F492" s="3"/>
    </row>
    <row r="493" spans="4:6" ht="12.75" customHeight="1" x14ac:dyDescent="0.25">
      <c r="D493" s="3"/>
      <c r="E493" s="3"/>
      <c r="F493" s="3"/>
    </row>
    <row r="494" spans="4:6" ht="12.75" customHeight="1" x14ac:dyDescent="0.25">
      <c r="D494" s="3"/>
      <c r="E494" s="3"/>
      <c r="F494" s="3"/>
    </row>
    <row r="495" spans="4:6" ht="12.75" customHeight="1" x14ac:dyDescent="0.25">
      <c r="D495" s="3"/>
      <c r="E495" s="3"/>
      <c r="F495" s="3"/>
    </row>
    <row r="496" spans="4:6" ht="12.75" customHeight="1" x14ac:dyDescent="0.25">
      <c r="D496" s="3"/>
      <c r="E496" s="3"/>
      <c r="F496" s="3"/>
    </row>
    <row r="497" spans="4:6" ht="12.75" customHeight="1" x14ac:dyDescent="0.25">
      <c r="D497" s="3"/>
      <c r="E497" s="3"/>
      <c r="F497" s="3"/>
    </row>
    <row r="498" spans="4:6" ht="12.75" customHeight="1" x14ac:dyDescent="0.25">
      <c r="D498" s="3"/>
      <c r="E498" s="3"/>
      <c r="F498" s="3"/>
    </row>
    <row r="499" spans="4:6" ht="12.75" customHeight="1" x14ac:dyDescent="0.25">
      <c r="D499" s="3"/>
      <c r="E499" s="3"/>
      <c r="F499" s="3"/>
    </row>
    <row r="500" spans="4:6" ht="12.75" customHeight="1" x14ac:dyDescent="0.25">
      <c r="D500" s="3"/>
      <c r="E500" s="3"/>
      <c r="F500" s="3"/>
    </row>
    <row r="501" spans="4:6" ht="12.75" customHeight="1" x14ac:dyDescent="0.25">
      <c r="D501" s="3"/>
      <c r="E501" s="3"/>
      <c r="F501" s="3"/>
    </row>
    <row r="502" spans="4:6" ht="12.75" customHeight="1" x14ac:dyDescent="0.25">
      <c r="D502" s="3"/>
      <c r="E502" s="3"/>
      <c r="F502" s="3"/>
    </row>
    <row r="503" spans="4:6" ht="12.75" customHeight="1" x14ac:dyDescent="0.25">
      <c r="D503" s="3"/>
      <c r="E503" s="3"/>
      <c r="F503" s="3"/>
    </row>
    <row r="504" spans="4:6" ht="12.75" customHeight="1" x14ac:dyDescent="0.25">
      <c r="D504" s="3"/>
      <c r="E504" s="3"/>
      <c r="F504" s="3"/>
    </row>
    <row r="505" spans="4:6" ht="12.75" customHeight="1" x14ac:dyDescent="0.25">
      <c r="D505" s="3"/>
      <c r="E505" s="3"/>
      <c r="F505" s="3"/>
    </row>
    <row r="506" spans="4:6" ht="12.75" customHeight="1" x14ac:dyDescent="0.25">
      <c r="D506" s="3"/>
      <c r="E506" s="3"/>
      <c r="F506" s="3"/>
    </row>
    <row r="507" spans="4:6" ht="12.75" customHeight="1" x14ac:dyDescent="0.25">
      <c r="D507" s="3"/>
      <c r="E507" s="3"/>
      <c r="F507" s="3"/>
    </row>
    <row r="508" spans="4:6" ht="12.75" customHeight="1" x14ac:dyDescent="0.25">
      <c r="D508" s="3"/>
      <c r="E508" s="3"/>
      <c r="F508" s="3"/>
    </row>
    <row r="509" spans="4:6" ht="12.75" customHeight="1" x14ac:dyDescent="0.25">
      <c r="D509" s="3"/>
      <c r="E509" s="3"/>
      <c r="F509" s="3"/>
    </row>
    <row r="510" spans="4:6" ht="12.75" customHeight="1" x14ac:dyDescent="0.25">
      <c r="D510" s="3"/>
      <c r="E510" s="3"/>
      <c r="F510" s="3"/>
    </row>
    <row r="511" spans="4:6" ht="12.75" customHeight="1" x14ac:dyDescent="0.25">
      <c r="D511" s="3"/>
      <c r="E511" s="3"/>
      <c r="F511" s="3"/>
    </row>
    <row r="512" spans="4:6" ht="12.75" customHeight="1" x14ac:dyDescent="0.25">
      <c r="D512" s="3"/>
      <c r="E512" s="3"/>
      <c r="F512" s="3"/>
    </row>
    <row r="513" spans="4:6" ht="12.75" customHeight="1" x14ac:dyDescent="0.25">
      <c r="D513" s="3"/>
      <c r="E513" s="3"/>
      <c r="F513" s="3"/>
    </row>
    <row r="514" spans="4:6" ht="12.75" customHeight="1" x14ac:dyDescent="0.25">
      <c r="D514" s="3"/>
      <c r="E514" s="3"/>
      <c r="F514" s="3"/>
    </row>
    <row r="515" spans="4:6" ht="12.75" customHeight="1" x14ac:dyDescent="0.25">
      <c r="D515" s="3"/>
      <c r="E515" s="3"/>
      <c r="F515" s="3"/>
    </row>
    <row r="516" spans="4:6" ht="12.75" customHeight="1" x14ac:dyDescent="0.25">
      <c r="D516" s="3"/>
      <c r="E516" s="3"/>
      <c r="F516" s="3"/>
    </row>
    <row r="517" spans="4:6" ht="12.75" customHeight="1" x14ac:dyDescent="0.25">
      <c r="D517" s="3"/>
      <c r="E517" s="3"/>
      <c r="F517" s="3"/>
    </row>
    <row r="518" spans="4:6" ht="12.75" customHeight="1" x14ac:dyDescent="0.25">
      <c r="D518" s="3"/>
      <c r="E518" s="3"/>
      <c r="F518" s="3"/>
    </row>
    <row r="519" spans="4:6" ht="12.75" customHeight="1" x14ac:dyDescent="0.25">
      <c r="D519" s="3"/>
      <c r="E519" s="3"/>
      <c r="F519" s="3"/>
    </row>
    <row r="520" spans="4:6" ht="12.75" customHeight="1" x14ac:dyDescent="0.25">
      <c r="D520" s="3"/>
      <c r="E520" s="3"/>
      <c r="F520" s="3"/>
    </row>
    <row r="521" spans="4:6" ht="12.75" customHeight="1" x14ac:dyDescent="0.25">
      <c r="D521" s="3"/>
      <c r="E521" s="3"/>
      <c r="F521" s="3"/>
    </row>
    <row r="522" spans="4:6" ht="12.75" customHeight="1" x14ac:dyDescent="0.25">
      <c r="D522" s="3"/>
      <c r="E522" s="3"/>
      <c r="F522" s="3"/>
    </row>
    <row r="523" spans="4:6" ht="12.75" customHeight="1" x14ac:dyDescent="0.25">
      <c r="D523" s="3"/>
      <c r="E523" s="3"/>
      <c r="F523" s="3"/>
    </row>
    <row r="524" spans="4:6" ht="12.75" customHeight="1" x14ac:dyDescent="0.25">
      <c r="D524" s="3"/>
      <c r="E524" s="3"/>
      <c r="F524" s="3"/>
    </row>
    <row r="525" spans="4:6" ht="12.75" customHeight="1" x14ac:dyDescent="0.25">
      <c r="D525" s="3"/>
      <c r="E525" s="3"/>
      <c r="F525" s="3"/>
    </row>
    <row r="526" spans="4:6" ht="12.75" customHeight="1" x14ac:dyDescent="0.25">
      <c r="D526" s="3"/>
      <c r="E526" s="3"/>
      <c r="F526" s="3"/>
    </row>
    <row r="527" spans="4:6" ht="12.75" customHeight="1" x14ac:dyDescent="0.25">
      <c r="D527" s="3"/>
      <c r="E527" s="3"/>
      <c r="F527" s="3"/>
    </row>
    <row r="528" spans="4:6" ht="12.75" customHeight="1" x14ac:dyDescent="0.25">
      <c r="D528" s="3"/>
      <c r="E528" s="3"/>
      <c r="F528" s="3"/>
    </row>
    <row r="529" spans="4:6" ht="12.75" customHeight="1" x14ac:dyDescent="0.25">
      <c r="D529" s="3"/>
      <c r="E529" s="3"/>
      <c r="F529" s="3"/>
    </row>
    <row r="530" spans="4:6" ht="12.75" customHeight="1" x14ac:dyDescent="0.25">
      <c r="D530" s="3"/>
      <c r="E530" s="3"/>
      <c r="F530" s="3"/>
    </row>
    <row r="531" spans="4:6" ht="12.75" customHeight="1" x14ac:dyDescent="0.25">
      <c r="D531" s="3"/>
      <c r="E531" s="3"/>
      <c r="F531" s="3"/>
    </row>
    <row r="532" spans="4:6" ht="12.75" customHeight="1" x14ac:dyDescent="0.25">
      <c r="D532" s="3"/>
      <c r="E532" s="3"/>
      <c r="F532" s="3"/>
    </row>
    <row r="533" spans="4:6" ht="12.75" customHeight="1" x14ac:dyDescent="0.25">
      <c r="D533" s="3"/>
      <c r="E533" s="3"/>
      <c r="F533" s="3"/>
    </row>
    <row r="534" spans="4:6" ht="12.75" customHeight="1" x14ac:dyDescent="0.25">
      <c r="D534" s="3"/>
      <c r="E534" s="3"/>
      <c r="F534" s="3"/>
    </row>
    <row r="535" spans="4:6" ht="12.75" customHeight="1" x14ac:dyDescent="0.25">
      <c r="D535" s="3"/>
      <c r="E535" s="3"/>
      <c r="F535" s="3"/>
    </row>
    <row r="536" spans="4:6" ht="12.75" customHeight="1" x14ac:dyDescent="0.25">
      <c r="D536" s="3"/>
      <c r="E536" s="3"/>
      <c r="F536" s="3"/>
    </row>
    <row r="537" spans="4:6" ht="12.75" customHeight="1" x14ac:dyDescent="0.25">
      <c r="D537" s="3"/>
      <c r="E537" s="3"/>
      <c r="F537" s="3"/>
    </row>
    <row r="538" spans="4:6" ht="12.75" customHeight="1" x14ac:dyDescent="0.25">
      <c r="D538" s="3"/>
      <c r="E538" s="3"/>
      <c r="F538" s="3"/>
    </row>
    <row r="539" spans="4:6" ht="12.75" customHeight="1" x14ac:dyDescent="0.25">
      <c r="D539" s="3"/>
      <c r="E539" s="3"/>
      <c r="F539" s="3"/>
    </row>
    <row r="540" spans="4:6" ht="12.75" customHeight="1" x14ac:dyDescent="0.25">
      <c r="D540" s="3"/>
      <c r="E540" s="3"/>
      <c r="F540" s="3"/>
    </row>
    <row r="541" spans="4:6" ht="12.75" customHeight="1" x14ac:dyDescent="0.25">
      <c r="D541" s="3"/>
      <c r="E541" s="3"/>
      <c r="F541" s="3"/>
    </row>
    <row r="542" spans="4:6" ht="12.75" customHeight="1" x14ac:dyDescent="0.25">
      <c r="D542" s="3"/>
      <c r="E542" s="3"/>
      <c r="F542" s="3"/>
    </row>
    <row r="543" spans="4:6" ht="12.75" customHeight="1" x14ac:dyDescent="0.25">
      <c r="D543" s="3"/>
      <c r="E543" s="3"/>
      <c r="F543" s="3"/>
    </row>
    <row r="544" spans="4:6" ht="12.75" customHeight="1" x14ac:dyDescent="0.25">
      <c r="D544" s="3"/>
      <c r="E544" s="3"/>
      <c r="F544" s="3"/>
    </row>
    <row r="545" spans="4:6" ht="12.75" customHeight="1" x14ac:dyDescent="0.25">
      <c r="D545" s="3"/>
      <c r="E545" s="3"/>
      <c r="F545" s="3"/>
    </row>
    <row r="546" spans="4:6" ht="12.75" customHeight="1" x14ac:dyDescent="0.25">
      <c r="D546" s="3"/>
      <c r="E546" s="3"/>
      <c r="F546" s="3"/>
    </row>
    <row r="547" spans="4:6" ht="12.75" customHeight="1" x14ac:dyDescent="0.25">
      <c r="D547" s="3"/>
      <c r="E547" s="3"/>
      <c r="F547" s="3"/>
    </row>
    <row r="548" spans="4:6" ht="12.75" customHeight="1" x14ac:dyDescent="0.25">
      <c r="D548" s="3"/>
      <c r="E548" s="3"/>
      <c r="F548" s="3"/>
    </row>
    <row r="549" spans="4:6" ht="12.75" customHeight="1" x14ac:dyDescent="0.25">
      <c r="D549" s="3"/>
      <c r="E549" s="3"/>
      <c r="F549" s="3"/>
    </row>
    <row r="550" spans="4:6" ht="12.75" customHeight="1" x14ac:dyDescent="0.25">
      <c r="D550" s="3"/>
      <c r="E550" s="3"/>
      <c r="F550" s="3"/>
    </row>
    <row r="551" spans="4:6" ht="12.75" customHeight="1" x14ac:dyDescent="0.25">
      <c r="D551" s="3"/>
      <c r="E551" s="3"/>
      <c r="F551" s="3"/>
    </row>
    <row r="552" spans="4:6" ht="12.75" customHeight="1" x14ac:dyDescent="0.25">
      <c r="D552" s="3"/>
      <c r="E552" s="3"/>
      <c r="F552" s="3"/>
    </row>
    <row r="553" spans="4:6" ht="12.75" customHeight="1" x14ac:dyDescent="0.25">
      <c r="D553" s="3"/>
      <c r="E553" s="3"/>
      <c r="F553" s="3"/>
    </row>
    <row r="554" spans="4:6" ht="12.75" customHeight="1" x14ac:dyDescent="0.25">
      <c r="D554" s="3"/>
      <c r="E554" s="3"/>
      <c r="F554" s="3"/>
    </row>
    <row r="555" spans="4:6" ht="12.75" customHeight="1" x14ac:dyDescent="0.25">
      <c r="D555" s="3"/>
      <c r="E555" s="3"/>
      <c r="F555" s="3"/>
    </row>
    <row r="556" spans="4:6" ht="12.75" customHeight="1" x14ac:dyDescent="0.25">
      <c r="D556" s="3"/>
      <c r="E556" s="3"/>
      <c r="F556" s="3"/>
    </row>
    <row r="557" spans="4:6" ht="12.75" customHeight="1" x14ac:dyDescent="0.25">
      <c r="D557" s="3"/>
      <c r="E557" s="3"/>
      <c r="F557" s="3"/>
    </row>
    <row r="558" spans="4:6" ht="12.75" customHeight="1" x14ac:dyDescent="0.25">
      <c r="D558" s="3"/>
      <c r="E558" s="3"/>
      <c r="F558" s="3"/>
    </row>
    <row r="559" spans="4:6" ht="12.75" customHeight="1" x14ac:dyDescent="0.25">
      <c r="D559" s="3"/>
      <c r="E559" s="3"/>
      <c r="F559" s="3"/>
    </row>
    <row r="560" spans="4:6" ht="12.75" customHeight="1" x14ac:dyDescent="0.25">
      <c r="D560" s="3"/>
      <c r="E560" s="3"/>
      <c r="F560" s="3"/>
    </row>
    <row r="561" spans="4:6" ht="12.75" customHeight="1" x14ac:dyDescent="0.25">
      <c r="D561" s="3"/>
      <c r="E561" s="3"/>
      <c r="F561" s="3"/>
    </row>
    <row r="562" spans="4:6" ht="12.75" customHeight="1" x14ac:dyDescent="0.25">
      <c r="D562" s="3"/>
      <c r="E562" s="3"/>
      <c r="F562" s="3"/>
    </row>
    <row r="563" spans="4:6" ht="12.75" customHeight="1" x14ac:dyDescent="0.25">
      <c r="D563" s="3"/>
      <c r="E563" s="3"/>
      <c r="F563" s="3"/>
    </row>
    <row r="564" spans="4:6" ht="12.75" customHeight="1" x14ac:dyDescent="0.25">
      <c r="D564" s="3"/>
      <c r="E564" s="3"/>
      <c r="F564" s="3"/>
    </row>
    <row r="565" spans="4:6" ht="12.75" customHeight="1" x14ac:dyDescent="0.25">
      <c r="D565" s="3"/>
      <c r="E565" s="3"/>
      <c r="F565" s="3"/>
    </row>
    <row r="566" spans="4:6" ht="12.75" customHeight="1" x14ac:dyDescent="0.25">
      <c r="D566" s="3"/>
      <c r="E566" s="3"/>
      <c r="F566" s="3"/>
    </row>
    <row r="567" spans="4:6" ht="12.75" customHeight="1" x14ac:dyDescent="0.25">
      <c r="D567" s="3"/>
      <c r="E567" s="3"/>
      <c r="F567" s="3"/>
    </row>
    <row r="568" spans="4:6" ht="12.75" customHeight="1" x14ac:dyDescent="0.25">
      <c r="D568" s="3"/>
      <c r="E568" s="3"/>
      <c r="F568" s="3"/>
    </row>
    <row r="569" spans="4:6" ht="12.75" customHeight="1" x14ac:dyDescent="0.25">
      <c r="D569" s="3"/>
      <c r="E569" s="3"/>
      <c r="F569" s="3"/>
    </row>
    <row r="570" spans="4:6" ht="12.75" customHeight="1" x14ac:dyDescent="0.25">
      <c r="D570" s="3"/>
      <c r="E570" s="3"/>
      <c r="F570" s="3"/>
    </row>
    <row r="571" spans="4:6" ht="12.75" customHeight="1" x14ac:dyDescent="0.25">
      <c r="D571" s="3"/>
      <c r="E571" s="3"/>
      <c r="F571" s="3"/>
    </row>
    <row r="572" spans="4:6" ht="12.75" customHeight="1" x14ac:dyDescent="0.25">
      <c r="D572" s="3"/>
      <c r="E572" s="3"/>
      <c r="F572" s="3"/>
    </row>
    <row r="573" spans="4:6" ht="12.75" customHeight="1" x14ac:dyDescent="0.25">
      <c r="D573" s="3"/>
      <c r="E573" s="3"/>
      <c r="F573" s="3"/>
    </row>
    <row r="574" spans="4:6" ht="12.75" customHeight="1" x14ac:dyDescent="0.25">
      <c r="D574" s="3"/>
      <c r="E574" s="3"/>
      <c r="F574" s="3"/>
    </row>
    <row r="575" spans="4:6" ht="12.75" customHeight="1" x14ac:dyDescent="0.25">
      <c r="D575" s="3"/>
      <c r="E575" s="3"/>
      <c r="F575" s="3"/>
    </row>
    <row r="576" spans="4:6" ht="12.75" customHeight="1" x14ac:dyDescent="0.25">
      <c r="D576" s="3"/>
      <c r="E576" s="3"/>
      <c r="F576" s="3"/>
    </row>
    <row r="577" spans="4:6" ht="12.75" customHeight="1" x14ac:dyDescent="0.25">
      <c r="D577" s="3"/>
      <c r="E577" s="3"/>
      <c r="F577" s="3"/>
    </row>
    <row r="578" spans="4:6" ht="12.75" customHeight="1" x14ac:dyDescent="0.25">
      <c r="D578" s="3"/>
      <c r="E578" s="3"/>
      <c r="F578" s="3"/>
    </row>
    <row r="579" spans="4:6" ht="12.75" customHeight="1" x14ac:dyDescent="0.25">
      <c r="D579" s="3"/>
      <c r="E579" s="3"/>
      <c r="F579" s="3"/>
    </row>
    <row r="580" spans="4:6" ht="12.75" customHeight="1" x14ac:dyDescent="0.25">
      <c r="D580" s="3"/>
      <c r="E580" s="3"/>
      <c r="F580" s="3"/>
    </row>
    <row r="581" spans="4:6" ht="12.75" customHeight="1" x14ac:dyDescent="0.25">
      <c r="D581" s="3"/>
      <c r="E581" s="3"/>
      <c r="F581" s="3"/>
    </row>
    <row r="582" spans="4:6" ht="12.75" customHeight="1" x14ac:dyDescent="0.25">
      <c r="D582" s="3"/>
      <c r="E582" s="3"/>
      <c r="F582" s="3"/>
    </row>
    <row r="583" spans="4:6" ht="12.75" customHeight="1" x14ac:dyDescent="0.25">
      <c r="D583" s="3"/>
      <c r="E583" s="3"/>
      <c r="F583" s="3"/>
    </row>
    <row r="584" spans="4:6" ht="12.75" customHeight="1" x14ac:dyDescent="0.25">
      <c r="D584" s="3"/>
      <c r="E584" s="3"/>
      <c r="F584" s="3"/>
    </row>
    <row r="585" spans="4:6" ht="12.75" customHeight="1" x14ac:dyDescent="0.25">
      <c r="D585" s="3"/>
      <c r="E585" s="3"/>
      <c r="F585" s="3"/>
    </row>
    <row r="586" spans="4:6" ht="12.75" customHeight="1" x14ac:dyDescent="0.25">
      <c r="D586" s="3"/>
      <c r="E586" s="3"/>
      <c r="F586" s="3"/>
    </row>
    <row r="587" spans="4:6" ht="12.75" customHeight="1" x14ac:dyDescent="0.25">
      <c r="D587" s="3"/>
      <c r="E587" s="3"/>
      <c r="F587" s="3"/>
    </row>
    <row r="588" spans="4:6" ht="12.75" customHeight="1" x14ac:dyDescent="0.25">
      <c r="D588" s="3"/>
      <c r="E588" s="3"/>
      <c r="F588" s="3"/>
    </row>
    <row r="589" spans="4:6" ht="12.75" customHeight="1" x14ac:dyDescent="0.25">
      <c r="D589" s="3"/>
      <c r="E589" s="3"/>
      <c r="F589" s="3"/>
    </row>
    <row r="590" spans="4:6" ht="12.75" customHeight="1" x14ac:dyDescent="0.25">
      <c r="D590" s="3"/>
      <c r="E590" s="3"/>
      <c r="F590" s="3"/>
    </row>
    <row r="591" spans="4:6" ht="12.75" customHeight="1" x14ac:dyDescent="0.25">
      <c r="D591" s="3"/>
      <c r="E591" s="3"/>
      <c r="F591" s="3"/>
    </row>
    <row r="592" spans="4:6" ht="12.75" customHeight="1" x14ac:dyDescent="0.25">
      <c r="D592" s="3"/>
      <c r="E592" s="3"/>
      <c r="F592" s="3"/>
    </row>
    <row r="593" spans="4:6" ht="12.75" customHeight="1" x14ac:dyDescent="0.25">
      <c r="D593" s="3"/>
      <c r="E593" s="3"/>
      <c r="F593" s="3"/>
    </row>
    <row r="594" spans="4:6" ht="12.75" customHeight="1" x14ac:dyDescent="0.25">
      <c r="D594" s="3"/>
      <c r="E594" s="3"/>
      <c r="F594" s="3"/>
    </row>
    <row r="595" spans="4:6" ht="12.75" customHeight="1" x14ac:dyDescent="0.25">
      <c r="D595" s="3"/>
      <c r="E595" s="3"/>
      <c r="F595" s="3"/>
    </row>
    <row r="596" spans="4:6" ht="12.75" customHeight="1" x14ac:dyDescent="0.25">
      <c r="D596" s="3"/>
      <c r="E596" s="3"/>
      <c r="F596" s="3"/>
    </row>
    <row r="597" spans="4:6" ht="12.75" customHeight="1" x14ac:dyDescent="0.25">
      <c r="D597" s="3"/>
      <c r="E597" s="3"/>
      <c r="F597" s="3"/>
    </row>
    <row r="598" spans="4:6" ht="12.75" customHeight="1" x14ac:dyDescent="0.25">
      <c r="D598" s="3"/>
      <c r="E598" s="3"/>
      <c r="F598" s="3"/>
    </row>
    <row r="599" spans="4:6" ht="12.75" customHeight="1" x14ac:dyDescent="0.25">
      <c r="D599" s="3"/>
      <c r="E599" s="3"/>
      <c r="F599" s="3"/>
    </row>
    <row r="600" spans="4:6" ht="12.75" customHeight="1" x14ac:dyDescent="0.25">
      <c r="D600" s="3"/>
      <c r="E600" s="3"/>
      <c r="F600" s="3"/>
    </row>
    <row r="601" spans="4:6" ht="12.75" customHeight="1" x14ac:dyDescent="0.25">
      <c r="D601" s="3"/>
      <c r="E601" s="3"/>
      <c r="F601" s="3"/>
    </row>
    <row r="602" spans="4:6" ht="12.75" customHeight="1" x14ac:dyDescent="0.25">
      <c r="D602" s="3"/>
      <c r="E602" s="3"/>
      <c r="F602" s="3"/>
    </row>
    <row r="603" spans="4:6" ht="12.75" customHeight="1" x14ac:dyDescent="0.25">
      <c r="D603" s="3"/>
      <c r="E603" s="3"/>
      <c r="F603" s="3"/>
    </row>
    <row r="604" spans="4:6" ht="12.75" customHeight="1" x14ac:dyDescent="0.25">
      <c r="D604" s="3"/>
      <c r="E604" s="3"/>
      <c r="F604" s="3"/>
    </row>
    <row r="605" spans="4:6" ht="12.75" customHeight="1" x14ac:dyDescent="0.25">
      <c r="D605" s="3"/>
      <c r="E605" s="3"/>
      <c r="F605" s="3"/>
    </row>
    <row r="606" spans="4:6" ht="12.75" customHeight="1" x14ac:dyDescent="0.25">
      <c r="D606" s="3"/>
      <c r="E606" s="3"/>
      <c r="F606" s="3"/>
    </row>
    <row r="607" spans="4:6" ht="12.75" customHeight="1" x14ac:dyDescent="0.25">
      <c r="D607" s="3"/>
      <c r="E607" s="3"/>
      <c r="F607" s="3"/>
    </row>
    <row r="608" spans="4:6" ht="12.75" customHeight="1" x14ac:dyDescent="0.25">
      <c r="D608" s="3"/>
      <c r="E608" s="3"/>
      <c r="F608" s="3"/>
    </row>
    <row r="609" spans="4:6" ht="12.75" customHeight="1" x14ac:dyDescent="0.25">
      <c r="D609" s="3"/>
      <c r="E609" s="3"/>
      <c r="F609" s="3"/>
    </row>
    <row r="610" spans="4:6" ht="12.75" customHeight="1" x14ac:dyDescent="0.25">
      <c r="D610" s="3"/>
      <c r="E610" s="3"/>
      <c r="F610" s="3"/>
    </row>
    <row r="611" spans="4:6" ht="12.75" customHeight="1" x14ac:dyDescent="0.25">
      <c r="D611" s="3"/>
      <c r="E611" s="3"/>
      <c r="F611" s="3"/>
    </row>
    <row r="612" spans="4:6" ht="12.75" customHeight="1" x14ac:dyDescent="0.25">
      <c r="D612" s="3"/>
      <c r="E612" s="3"/>
      <c r="F612" s="3"/>
    </row>
    <row r="613" spans="4:6" ht="12.75" customHeight="1" x14ac:dyDescent="0.25">
      <c r="D613" s="3"/>
      <c r="E613" s="3"/>
      <c r="F613" s="3"/>
    </row>
    <row r="614" spans="4:6" ht="12.75" customHeight="1" x14ac:dyDescent="0.25">
      <c r="D614" s="3"/>
      <c r="E614" s="3"/>
      <c r="F614" s="3"/>
    </row>
    <row r="615" spans="4:6" ht="12.75" customHeight="1" x14ac:dyDescent="0.25">
      <c r="D615" s="3"/>
      <c r="E615" s="3"/>
      <c r="F615" s="3"/>
    </row>
    <row r="616" spans="4:6" ht="12.75" customHeight="1" x14ac:dyDescent="0.25">
      <c r="D616" s="3"/>
      <c r="E616" s="3"/>
      <c r="F616" s="3"/>
    </row>
    <row r="617" spans="4:6" ht="12.75" customHeight="1" x14ac:dyDescent="0.25">
      <c r="D617" s="3"/>
      <c r="E617" s="3"/>
      <c r="F617" s="3"/>
    </row>
    <row r="618" spans="4:6" ht="12.75" customHeight="1" x14ac:dyDescent="0.25">
      <c r="D618" s="3"/>
      <c r="E618" s="3"/>
      <c r="F618" s="3"/>
    </row>
    <row r="619" spans="4:6" ht="12.75" customHeight="1" x14ac:dyDescent="0.25">
      <c r="D619" s="3"/>
      <c r="E619" s="3"/>
      <c r="F619" s="3"/>
    </row>
    <row r="620" spans="4:6" ht="12.75" customHeight="1" x14ac:dyDescent="0.25">
      <c r="D620" s="3"/>
      <c r="E620" s="3"/>
      <c r="F620" s="3"/>
    </row>
    <row r="621" spans="4:6" ht="12.75" customHeight="1" x14ac:dyDescent="0.25">
      <c r="D621" s="3"/>
      <c r="E621" s="3"/>
      <c r="F621" s="3"/>
    </row>
    <row r="622" spans="4:6" ht="12.75" customHeight="1" x14ac:dyDescent="0.25">
      <c r="D622" s="3"/>
      <c r="E622" s="3"/>
      <c r="F622" s="3"/>
    </row>
    <row r="623" spans="4:6" ht="12.75" customHeight="1" x14ac:dyDescent="0.25">
      <c r="D623" s="3"/>
      <c r="E623" s="3"/>
      <c r="F623" s="3"/>
    </row>
    <row r="624" spans="4:6" ht="12.75" customHeight="1" x14ac:dyDescent="0.25">
      <c r="D624" s="3"/>
      <c r="E624" s="3"/>
      <c r="F624" s="3"/>
    </row>
    <row r="625" spans="4:6" ht="12.75" customHeight="1" x14ac:dyDescent="0.25">
      <c r="D625" s="3"/>
      <c r="E625" s="3"/>
      <c r="F625" s="3"/>
    </row>
    <row r="626" spans="4:6" ht="12.75" customHeight="1" x14ac:dyDescent="0.25">
      <c r="D626" s="3"/>
      <c r="E626" s="3"/>
      <c r="F626" s="3"/>
    </row>
    <row r="627" spans="4:6" ht="12.75" customHeight="1" x14ac:dyDescent="0.25">
      <c r="D627" s="3"/>
      <c r="E627" s="3"/>
      <c r="F627" s="3"/>
    </row>
    <row r="628" spans="4:6" ht="12.75" customHeight="1" x14ac:dyDescent="0.25">
      <c r="D628" s="3"/>
      <c r="E628" s="3"/>
      <c r="F628" s="3"/>
    </row>
    <row r="629" spans="4:6" ht="12.75" customHeight="1" x14ac:dyDescent="0.25">
      <c r="D629" s="3"/>
      <c r="E629" s="3"/>
      <c r="F629" s="3"/>
    </row>
    <row r="630" spans="4:6" ht="12.75" customHeight="1" x14ac:dyDescent="0.25">
      <c r="D630" s="3"/>
      <c r="E630" s="3"/>
      <c r="F630" s="3"/>
    </row>
    <row r="631" spans="4:6" ht="12.75" customHeight="1" x14ac:dyDescent="0.25">
      <c r="D631" s="3"/>
      <c r="E631" s="3"/>
      <c r="F631" s="3"/>
    </row>
    <row r="632" spans="4:6" ht="12.75" customHeight="1" x14ac:dyDescent="0.25">
      <c r="D632" s="3"/>
      <c r="E632" s="3"/>
      <c r="F632" s="3"/>
    </row>
    <row r="633" spans="4:6" ht="12.75" customHeight="1" x14ac:dyDescent="0.25">
      <c r="D633" s="3"/>
      <c r="E633" s="3"/>
      <c r="F633" s="3"/>
    </row>
    <row r="634" spans="4:6" ht="12.75" customHeight="1" x14ac:dyDescent="0.25">
      <c r="D634" s="3"/>
      <c r="E634" s="3"/>
      <c r="F634" s="3"/>
    </row>
    <row r="635" spans="4:6" ht="12.75" customHeight="1" x14ac:dyDescent="0.25">
      <c r="D635" s="3"/>
      <c r="E635" s="3"/>
      <c r="F635" s="3"/>
    </row>
    <row r="636" spans="4:6" ht="12.75" customHeight="1" x14ac:dyDescent="0.25">
      <c r="D636" s="3"/>
      <c r="E636" s="3"/>
      <c r="F636" s="3"/>
    </row>
    <row r="637" spans="4:6" ht="12.75" customHeight="1" x14ac:dyDescent="0.25">
      <c r="D637" s="3"/>
      <c r="E637" s="3"/>
      <c r="F637" s="3"/>
    </row>
    <row r="638" spans="4:6" ht="12.75" customHeight="1" x14ac:dyDescent="0.25">
      <c r="D638" s="3"/>
      <c r="E638" s="3"/>
      <c r="F638" s="3"/>
    </row>
    <row r="639" spans="4:6" ht="12.75" customHeight="1" x14ac:dyDescent="0.25">
      <c r="D639" s="3"/>
      <c r="E639" s="3"/>
      <c r="F639" s="3"/>
    </row>
    <row r="640" spans="4:6" ht="12.75" customHeight="1" x14ac:dyDescent="0.25">
      <c r="D640" s="3"/>
      <c r="E640" s="3"/>
      <c r="F640" s="3"/>
    </row>
    <row r="641" spans="4:6" ht="12.75" customHeight="1" x14ac:dyDescent="0.25">
      <c r="D641" s="3"/>
      <c r="E641" s="3"/>
      <c r="F641" s="3"/>
    </row>
    <row r="642" spans="4:6" ht="12.75" customHeight="1" x14ac:dyDescent="0.25">
      <c r="D642" s="3"/>
      <c r="E642" s="3"/>
      <c r="F642" s="3"/>
    </row>
    <row r="643" spans="4:6" ht="12.75" customHeight="1" x14ac:dyDescent="0.25">
      <c r="D643" s="3"/>
      <c r="E643" s="3"/>
      <c r="F643" s="3"/>
    </row>
    <row r="644" spans="4:6" ht="12.75" customHeight="1" x14ac:dyDescent="0.25">
      <c r="D644" s="3"/>
      <c r="E644" s="3"/>
      <c r="F644" s="3"/>
    </row>
    <row r="645" spans="4:6" ht="12.75" customHeight="1" x14ac:dyDescent="0.25">
      <c r="D645" s="3"/>
      <c r="E645" s="3"/>
      <c r="F645" s="3"/>
    </row>
    <row r="646" spans="4:6" ht="12.75" customHeight="1" x14ac:dyDescent="0.25">
      <c r="D646" s="3"/>
      <c r="E646" s="3"/>
      <c r="F646" s="3"/>
    </row>
    <row r="647" spans="4:6" ht="12.75" customHeight="1" x14ac:dyDescent="0.25">
      <c r="D647" s="3"/>
      <c r="E647" s="3"/>
      <c r="F647" s="3"/>
    </row>
    <row r="648" spans="4:6" ht="12.75" customHeight="1" x14ac:dyDescent="0.25">
      <c r="D648" s="3"/>
      <c r="E648" s="3"/>
      <c r="F648" s="3"/>
    </row>
    <row r="649" spans="4:6" ht="12.75" customHeight="1" x14ac:dyDescent="0.25">
      <c r="D649" s="3"/>
      <c r="E649" s="3"/>
      <c r="F649" s="3"/>
    </row>
    <row r="650" spans="4:6" ht="12.75" customHeight="1" x14ac:dyDescent="0.25">
      <c r="D650" s="3"/>
      <c r="E650" s="3"/>
      <c r="F650" s="3"/>
    </row>
    <row r="651" spans="4:6" ht="12.75" customHeight="1" x14ac:dyDescent="0.25">
      <c r="D651" s="3"/>
      <c r="E651" s="3"/>
      <c r="F651" s="3"/>
    </row>
    <row r="652" spans="4:6" ht="12.75" customHeight="1" x14ac:dyDescent="0.25">
      <c r="D652" s="3"/>
      <c r="E652" s="3"/>
      <c r="F652" s="3"/>
    </row>
    <row r="653" spans="4:6" ht="12.75" customHeight="1" x14ac:dyDescent="0.25">
      <c r="D653" s="3"/>
      <c r="E653" s="3"/>
      <c r="F653" s="3"/>
    </row>
    <row r="654" spans="4:6" ht="12.75" customHeight="1" x14ac:dyDescent="0.25">
      <c r="D654" s="3"/>
      <c r="E654" s="3"/>
      <c r="F654" s="3"/>
    </row>
    <row r="655" spans="4:6" ht="12.75" customHeight="1" x14ac:dyDescent="0.25">
      <c r="D655" s="3"/>
      <c r="E655" s="3"/>
      <c r="F655" s="3"/>
    </row>
    <row r="656" spans="4:6" ht="12.75" customHeight="1" x14ac:dyDescent="0.25">
      <c r="D656" s="3"/>
      <c r="E656" s="3"/>
      <c r="F656" s="3"/>
    </row>
    <row r="657" spans="4:6" ht="12.75" customHeight="1" x14ac:dyDescent="0.25">
      <c r="D657" s="3"/>
      <c r="E657" s="3"/>
      <c r="F657" s="3"/>
    </row>
    <row r="658" spans="4:6" ht="12.75" customHeight="1" x14ac:dyDescent="0.25">
      <c r="D658" s="3"/>
      <c r="E658" s="3"/>
      <c r="F658" s="3"/>
    </row>
    <row r="659" spans="4:6" ht="12.75" customHeight="1" x14ac:dyDescent="0.25">
      <c r="D659" s="3"/>
      <c r="E659" s="3"/>
      <c r="F659" s="3"/>
    </row>
    <row r="660" spans="4:6" ht="12.75" customHeight="1" x14ac:dyDescent="0.25">
      <c r="D660" s="3"/>
      <c r="E660" s="3"/>
      <c r="F660" s="3"/>
    </row>
    <row r="661" spans="4:6" ht="12.75" customHeight="1" x14ac:dyDescent="0.25">
      <c r="D661" s="3"/>
      <c r="E661" s="3"/>
      <c r="F661" s="3"/>
    </row>
    <row r="662" spans="4:6" ht="12.75" customHeight="1" x14ac:dyDescent="0.25">
      <c r="D662" s="3"/>
      <c r="E662" s="3"/>
      <c r="F662" s="3"/>
    </row>
    <row r="663" spans="4:6" ht="12.75" customHeight="1" x14ac:dyDescent="0.25">
      <c r="D663" s="3"/>
      <c r="E663" s="3"/>
      <c r="F663" s="3"/>
    </row>
    <row r="664" spans="4:6" ht="12.75" customHeight="1" x14ac:dyDescent="0.25">
      <c r="D664" s="3"/>
      <c r="E664" s="3"/>
      <c r="F664" s="3"/>
    </row>
    <row r="665" spans="4:6" ht="12.75" customHeight="1" x14ac:dyDescent="0.25">
      <c r="D665" s="3"/>
      <c r="E665" s="3"/>
      <c r="F665" s="3"/>
    </row>
    <row r="666" spans="4:6" ht="12.75" customHeight="1" x14ac:dyDescent="0.25">
      <c r="D666" s="3"/>
      <c r="E666" s="3"/>
      <c r="F666" s="3"/>
    </row>
    <row r="667" spans="4:6" ht="12.75" customHeight="1" x14ac:dyDescent="0.25">
      <c r="D667" s="3"/>
      <c r="E667" s="3"/>
      <c r="F667" s="3"/>
    </row>
    <row r="668" spans="4:6" ht="12.75" customHeight="1" x14ac:dyDescent="0.25">
      <c r="D668" s="3"/>
      <c r="E668" s="3"/>
      <c r="F668" s="3"/>
    </row>
    <row r="669" spans="4:6" ht="12.75" customHeight="1" x14ac:dyDescent="0.25">
      <c r="D669" s="3"/>
      <c r="E669" s="3"/>
      <c r="F669" s="3"/>
    </row>
    <row r="670" spans="4:6" ht="12.75" customHeight="1" x14ac:dyDescent="0.25">
      <c r="D670" s="3"/>
      <c r="E670" s="3"/>
      <c r="F670" s="3"/>
    </row>
    <row r="671" spans="4:6" ht="12.75" customHeight="1" x14ac:dyDescent="0.25">
      <c r="D671" s="3"/>
      <c r="E671" s="3"/>
      <c r="F671" s="3"/>
    </row>
    <row r="672" spans="4:6" ht="12.75" customHeight="1" x14ac:dyDescent="0.25">
      <c r="D672" s="3"/>
      <c r="E672" s="3"/>
      <c r="F672" s="3"/>
    </row>
    <row r="673" spans="4:6" ht="12.75" customHeight="1" x14ac:dyDescent="0.25">
      <c r="D673" s="3"/>
      <c r="E673" s="3"/>
      <c r="F673" s="3"/>
    </row>
    <row r="674" spans="4:6" ht="12.75" customHeight="1" x14ac:dyDescent="0.25">
      <c r="D674" s="3"/>
      <c r="E674" s="3"/>
      <c r="F674" s="3"/>
    </row>
    <row r="675" spans="4:6" ht="12.75" customHeight="1" x14ac:dyDescent="0.25">
      <c r="D675" s="3"/>
      <c r="E675" s="3"/>
      <c r="F675" s="3"/>
    </row>
    <row r="676" spans="4:6" ht="12.75" customHeight="1" x14ac:dyDescent="0.25">
      <c r="D676" s="3"/>
      <c r="E676" s="3"/>
      <c r="F676" s="3"/>
    </row>
    <row r="677" spans="4:6" ht="12.75" customHeight="1" x14ac:dyDescent="0.25">
      <c r="D677" s="3"/>
      <c r="E677" s="3"/>
      <c r="F677" s="3"/>
    </row>
    <row r="678" spans="4:6" ht="12.75" customHeight="1" x14ac:dyDescent="0.25">
      <c r="D678" s="3"/>
      <c r="E678" s="3"/>
      <c r="F678" s="3"/>
    </row>
    <row r="679" spans="4:6" ht="12.75" customHeight="1" x14ac:dyDescent="0.25">
      <c r="D679" s="3"/>
      <c r="E679" s="3"/>
      <c r="F679" s="3"/>
    </row>
    <row r="680" spans="4:6" ht="12.75" customHeight="1" x14ac:dyDescent="0.25">
      <c r="D680" s="3"/>
      <c r="E680" s="3"/>
      <c r="F680" s="3"/>
    </row>
    <row r="681" spans="4:6" ht="12.75" customHeight="1" x14ac:dyDescent="0.25">
      <c r="D681" s="3"/>
      <c r="E681" s="3"/>
      <c r="F681" s="3"/>
    </row>
    <row r="682" spans="4:6" ht="12.75" customHeight="1" x14ac:dyDescent="0.25">
      <c r="D682" s="3"/>
      <c r="E682" s="3"/>
      <c r="F682" s="3"/>
    </row>
    <row r="683" spans="4:6" ht="12.75" customHeight="1" x14ac:dyDescent="0.25">
      <c r="D683" s="3"/>
      <c r="E683" s="3"/>
      <c r="F683" s="3"/>
    </row>
    <row r="684" spans="4:6" ht="12.75" customHeight="1" x14ac:dyDescent="0.25">
      <c r="D684" s="3"/>
      <c r="E684" s="3"/>
      <c r="F684" s="3"/>
    </row>
    <row r="685" spans="4:6" ht="12.75" customHeight="1" x14ac:dyDescent="0.25">
      <c r="D685" s="3"/>
      <c r="E685" s="3"/>
      <c r="F685" s="3"/>
    </row>
    <row r="686" spans="4:6" ht="12.75" customHeight="1" x14ac:dyDescent="0.25">
      <c r="D686" s="3"/>
      <c r="E686" s="3"/>
      <c r="F686" s="3"/>
    </row>
    <row r="687" spans="4:6" ht="12.75" customHeight="1" x14ac:dyDescent="0.25">
      <c r="D687" s="3"/>
      <c r="E687" s="3"/>
      <c r="F687" s="3"/>
    </row>
    <row r="688" spans="4:6" ht="12.75" customHeight="1" x14ac:dyDescent="0.25">
      <c r="D688" s="3"/>
      <c r="E688" s="3"/>
      <c r="F688" s="3"/>
    </row>
    <row r="689" spans="4:6" ht="12.75" customHeight="1" x14ac:dyDescent="0.25">
      <c r="D689" s="3"/>
      <c r="E689" s="3"/>
      <c r="F689" s="3"/>
    </row>
    <row r="690" spans="4:6" ht="12.75" customHeight="1" x14ac:dyDescent="0.25">
      <c r="D690" s="3"/>
      <c r="E690" s="3"/>
      <c r="F690" s="3"/>
    </row>
    <row r="691" spans="4:6" ht="12.75" customHeight="1" x14ac:dyDescent="0.25">
      <c r="D691" s="3"/>
      <c r="E691" s="3"/>
      <c r="F691" s="3"/>
    </row>
    <row r="692" spans="4:6" ht="12.75" customHeight="1" x14ac:dyDescent="0.25">
      <c r="D692" s="3"/>
      <c r="E692" s="3"/>
      <c r="F692" s="3"/>
    </row>
    <row r="693" spans="4:6" ht="12.75" customHeight="1" x14ac:dyDescent="0.25">
      <c r="D693" s="3"/>
      <c r="E693" s="3"/>
      <c r="F693" s="3"/>
    </row>
    <row r="694" spans="4:6" ht="12.75" customHeight="1" x14ac:dyDescent="0.25">
      <c r="D694" s="3"/>
      <c r="E694" s="3"/>
      <c r="F694" s="3"/>
    </row>
    <row r="695" spans="4:6" ht="12.75" customHeight="1" x14ac:dyDescent="0.25">
      <c r="D695" s="3"/>
      <c r="E695" s="3"/>
      <c r="F695" s="3"/>
    </row>
    <row r="696" spans="4:6" ht="12.75" customHeight="1" x14ac:dyDescent="0.25">
      <c r="D696" s="3"/>
      <c r="E696" s="3"/>
      <c r="F696" s="3"/>
    </row>
    <row r="697" spans="4:6" ht="12.75" customHeight="1" x14ac:dyDescent="0.25">
      <c r="D697" s="3"/>
      <c r="E697" s="3"/>
      <c r="F697" s="3"/>
    </row>
    <row r="698" spans="4:6" ht="12.75" customHeight="1" x14ac:dyDescent="0.25">
      <c r="D698" s="3"/>
      <c r="E698" s="3"/>
      <c r="F698" s="3"/>
    </row>
    <row r="699" spans="4:6" ht="12.75" customHeight="1" x14ac:dyDescent="0.25">
      <c r="D699" s="3"/>
      <c r="E699" s="3"/>
      <c r="F699" s="3"/>
    </row>
    <row r="700" spans="4:6" ht="12.75" customHeight="1" x14ac:dyDescent="0.25">
      <c r="D700" s="3"/>
      <c r="E700" s="3"/>
      <c r="F700" s="3"/>
    </row>
    <row r="701" spans="4:6" ht="12.75" customHeight="1" x14ac:dyDescent="0.25">
      <c r="D701" s="3"/>
      <c r="E701" s="3"/>
      <c r="F701" s="3"/>
    </row>
    <row r="702" spans="4:6" ht="12.75" customHeight="1" x14ac:dyDescent="0.25">
      <c r="D702" s="3"/>
      <c r="E702" s="3"/>
      <c r="F702" s="3"/>
    </row>
    <row r="703" spans="4:6" ht="12.75" customHeight="1" x14ac:dyDescent="0.25">
      <c r="D703" s="3"/>
      <c r="E703" s="3"/>
      <c r="F703" s="3"/>
    </row>
    <row r="704" spans="4:6" ht="12.75" customHeight="1" x14ac:dyDescent="0.25">
      <c r="D704" s="3"/>
      <c r="E704" s="3"/>
      <c r="F704" s="3"/>
    </row>
    <row r="705" spans="4:6" ht="12.75" customHeight="1" x14ac:dyDescent="0.25">
      <c r="D705" s="3"/>
      <c r="E705" s="3"/>
      <c r="F705" s="3"/>
    </row>
    <row r="706" spans="4:6" ht="12.75" customHeight="1" x14ac:dyDescent="0.25">
      <c r="D706" s="3"/>
      <c r="E706" s="3"/>
      <c r="F706" s="3"/>
    </row>
    <row r="707" spans="4:6" ht="12.75" customHeight="1" x14ac:dyDescent="0.25">
      <c r="D707" s="3"/>
      <c r="E707" s="3"/>
      <c r="F707" s="3"/>
    </row>
    <row r="708" spans="4:6" ht="12.75" customHeight="1" x14ac:dyDescent="0.25">
      <c r="D708" s="3"/>
      <c r="E708" s="3"/>
      <c r="F708" s="3"/>
    </row>
    <row r="709" spans="4:6" ht="12.75" customHeight="1" x14ac:dyDescent="0.25">
      <c r="D709" s="3"/>
      <c r="E709" s="3"/>
      <c r="F709" s="3"/>
    </row>
    <row r="710" spans="4:6" ht="12.75" customHeight="1" x14ac:dyDescent="0.25">
      <c r="D710" s="3"/>
      <c r="E710" s="3"/>
      <c r="F710" s="3"/>
    </row>
    <row r="711" spans="4:6" ht="12.75" customHeight="1" x14ac:dyDescent="0.25">
      <c r="D711" s="3"/>
      <c r="E711" s="3"/>
      <c r="F711" s="3"/>
    </row>
    <row r="712" spans="4:6" ht="12.75" customHeight="1" x14ac:dyDescent="0.25">
      <c r="D712" s="3"/>
      <c r="E712" s="3"/>
      <c r="F712" s="3"/>
    </row>
    <row r="713" spans="4:6" ht="12.75" customHeight="1" x14ac:dyDescent="0.25">
      <c r="D713" s="3"/>
      <c r="E713" s="3"/>
      <c r="F713" s="3"/>
    </row>
    <row r="714" spans="4:6" ht="12.75" customHeight="1" x14ac:dyDescent="0.25">
      <c r="D714" s="3"/>
      <c r="E714" s="3"/>
      <c r="F714" s="3"/>
    </row>
    <row r="715" spans="4:6" ht="12.75" customHeight="1" x14ac:dyDescent="0.25">
      <c r="D715" s="3"/>
      <c r="E715" s="3"/>
      <c r="F715" s="3"/>
    </row>
    <row r="716" spans="4:6" ht="12.75" customHeight="1" x14ac:dyDescent="0.25">
      <c r="D716" s="3"/>
      <c r="E716" s="3"/>
      <c r="F716" s="3"/>
    </row>
    <row r="717" spans="4:6" ht="12.75" customHeight="1" x14ac:dyDescent="0.25">
      <c r="D717" s="3"/>
      <c r="E717" s="3"/>
      <c r="F717" s="3"/>
    </row>
    <row r="718" spans="4:6" ht="12.75" customHeight="1" x14ac:dyDescent="0.25">
      <c r="D718" s="3"/>
      <c r="E718" s="3"/>
      <c r="F718" s="3"/>
    </row>
    <row r="719" spans="4:6" ht="12.75" customHeight="1" x14ac:dyDescent="0.25">
      <c r="D719" s="3"/>
      <c r="E719" s="3"/>
      <c r="F719" s="3"/>
    </row>
    <row r="720" spans="4:6" ht="12.75" customHeight="1" x14ac:dyDescent="0.25">
      <c r="D720" s="3"/>
      <c r="E720" s="3"/>
      <c r="F720" s="3"/>
    </row>
    <row r="721" spans="4:6" ht="12.75" customHeight="1" x14ac:dyDescent="0.25">
      <c r="D721" s="3"/>
      <c r="E721" s="3"/>
      <c r="F721" s="3"/>
    </row>
    <row r="722" spans="4:6" ht="12.75" customHeight="1" x14ac:dyDescent="0.25">
      <c r="D722" s="3"/>
      <c r="E722" s="3"/>
      <c r="F722" s="3"/>
    </row>
    <row r="723" spans="4:6" ht="12.75" customHeight="1" x14ac:dyDescent="0.25">
      <c r="D723" s="3"/>
      <c r="E723" s="3"/>
      <c r="F723" s="3"/>
    </row>
    <row r="724" spans="4:6" ht="12.75" customHeight="1" x14ac:dyDescent="0.25">
      <c r="D724" s="3"/>
      <c r="E724" s="3"/>
      <c r="F724" s="3"/>
    </row>
    <row r="725" spans="4:6" ht="12.75" customHeight="1" x14ac:dyDescent="0.25">
      <c r="D725" s="3"/>
      <c r="E725" s="3"/>
      <c r="F725" s="3"/>
    </row>
    <row r="726" spans="4:6" ht="12.75" customHeight="1" x14ac:dyDescent="0.25">
      <c r="D726" s="3"/>
      <c r="E726" s="3"/>
      <c r="F726" s="3"/>
    </row>
    <row r="727" spans="4:6" ht="12.75" customHeight="1" x14ac:dyDescent="0.25">
      <c r="D727" s="3"/>
      <c r="E727" s="3"/>
      <c r="F727" s="3"/>
    </row>
    <row r="728" spans="4:6" ht="12.75" customHeight="1" x14ac:dyDescent="0.25">
      <c r="D728" s="3"/>
      <c r="E728" s="3"/>
      <c r="F728" s="3"/>
    </row>
    <row r="729" spans="4:6" ht="12.75" customHeight="1" x14ac:dyDescent="0.25">
      <c r="D729" s="3"/>
      <c r="E729" s="3"/>
      <c r="F729" s="3"/>
    </row>
    <row r="730" spans="4:6" ht="12.75" customHeight="1" x14ac:dyDescent="0.25">
      <c r="D730" s="3"/>
      <c r="E730" s="3"/>
      <c r="F730" s="3"/>
    </row>
    <row r="731" spans="4:6" ht="12.75" customHeight="1" x14ac:dyDescent="0.25">
      <c r="D731" s="3"/>
      <c r="E731" s="3"/>
      <c r="F731" s="3"/>
    </row>
    <row r="732" spans="4:6" ht="12.75" customHeight="1" x14ac:dyDescent="0.25">
      <c r="D732" s="3"/>
      <c r="E732" s="3"/>
      <c r="F732" s="3"/>
    </row>
    <row r="733" spans="4:6" ht="12.75" customHeight="1" x14ac:dyDescent="0.25">
      <c r="D733" s="3"/>
      <c r="E733" s="3"/>
      <c r="F733" s="3"/>
    </row>
    <row r="734" spans="4:6" ht="12.75" customHeight="1" x14ac:dyDescent="0.25">
      <c r="D734" s="3"/>
      <c r="E734" s="3"/>
      <c r="F734" s="3"/>
    </row>
    <row r="735" spans="4:6" ht="12.75" customHeight="1" x14ac:dyDescent="0.25">
      <c r="D735" s="3"/>
      <c r="E735" s="3"/>
      <c r="F735" s="3"/>
    </row>
    <row r="736" spans="4:6" ht="12.75" customHeight="1" x14ac:dyDescent="0.25">
      <c r="D736" s="3"/>
      <c r="E736" s="3"/>
      <c r="F736" s="3"/>
    </row>
    <row r="737" spans="4:6" ht="12.75" customHeight="1" x14ac:dyDescent="0.25">
      <c r="D737" s="3"/>
      <c r="E737" s="3"/>
      <c r="F737" s="3"/>
    </row>
    <row r="738" spans="4:6" ht="12.75" customHeight="1" x14ac:dyDescent="0.25">
      <c r="D738" s="3"/>
      <c r="E738" s="3"/>
      <c r="F738" s="3"/>
    </row>
    <row r="739" spans="4:6" ht="12.75" customHeight="1" x14ac:dyDescent="0.25">
      <c r="D739" s="3"/>
      <c r="E739" s="3"/>
      <c r="F739" s="3"/>
    </row>
    <row r="740" spans="4:6" ht="12.75" customHeight="1" x14ac:dyDescent="0.25">
      <c r="D740" s="3"/>
      <c r="E740" s="3"/>
      <c r="F740" s="3"/>
    </row>
    <row r="741" spans="4:6" ht="12.75" customHeight="1" x14ac:dyDescent="0.25">
      <c r="D741" s="3"/>
      <c r="E741" s="3"/>
      <c r="F741" s="3"/>
    </row>
    <row r="742" spans="4:6" ht="12.75" customHeight="1" x14ac:dyDescent="0.25">
      <c r="D742" s="3"/>
      <c r="E742" s="3"/>
      <c r="F742" s="3"/>
    </row>
    <row r="743" spans="4:6" ht="12.75" customHeight="1" x14ac:dyDescent="0.25">
      <c r="D743" s="3"/>
      <c r="E743" s="3"/>
      <c r="F743" s="3"/>
    </row>
    <row r="744" spans="4:6" ht="12.75" customHeight="1" x14ac:dyDescent="0.25">
      <c r="D744" s="3"/>
      <c r="E744" s="3"/>
      <c r="F744" s="3"/>
    </row>
    <row r="745" spans="4:6" ht="12.75" customHeight="1" x14ac:dyDescent="0.25">
      <c r="D745" s="3"/>
      <c r="E745" s="3"/>
      <c r="F745" s="3"/>
    </row>
    <row r="746" spans="4:6" ht="12.75" customHeight="1" x14ac:dyDescent="0.25">
      <c r="D746" s="3"/>
      <c r="E746" s="3"/>
      <c r="F746" s="3"/>
    </row>
    <row r="747" spans="4:6" ht="12.75" customHeight="1" x14ac:dyDescent="0.25">
      <c r="D747" s="3"/>
      <c r="E747" s="3"/>
      <c r="F747" s="3"/>
    </row>
    <row r="748" spans="4:6" ht="12.75" customHeight="1" x14ac:dyDescent="0.25">
      <c r="D748" s="3"/>
      <c r="E748" s="3"/>
      <c r="F748" s="3"/>
    </row>
    <row r="749" spans="4:6" ht="12.75" customHeight="1" x14ac:dyDescent="0.25">
      <c r="D749" s="3"/>
      <c r="E749" s="3"/>
      <c r="F749" s="3"/>
    </row>
    <row r="750" spans="4:6" ht="12.75" customHeight="1" x14ac:dyDescent="0.25">
      <c r="D750" s="3"/>
      <c r="E750" s="3"/>
      <c r="F750" s="3"/>
    </row>
    <row r="751" spans="4:6" ht="12.75" customHeight="1" x14ac:dyDescent="0.25">
      <c r="D751" s="3"/>
      <c r="E751" s="3"/>
      <c r="F751" s="3"/>
    </row>
    <row r="752" spans="4:6" ht="12.75" customHeight="1" x14ac:dyDescent="0.25">
      <c r="D752" s="3"/>
      <c r="E752" s="3"/>
      <c r="F752" s="3"/>
    </row>
    <row r="753" spans="4:6" ht="12.75" customHeight="1" x14ac:dyDescent="0.25">
      <c r="D753" s="3"/>
      <c r="E753" s="3"/>
      <c r="F753" s="3"/>
    </row>
    <row r="754" spans="4:6" ht="12.75" customHeight="1" x14ac:dyDescent="0.25">
      <c r="D754" s="3"/>
      <c r="E754" s="3"/>
      <c r="F754" s="3"/>
    </row>
    <row r="755" spans="4:6" ht="12.75" customHeight="1" x14ac:dyDescent="0.25">
      <c r="D755" s="3"/>
      <c r="E755" s="3"/>
      <c r="F755" s="3"/>
    </row>
    <row r="756" spans="4:6" ht="12.75" customHeight="1" x14ac:dyDescent="0.25">
      <c r="D756" s="3"/>
      <c r="E756" s="3"/>
      <c r="F756" s="3"/>
    </row>
    <row r="757" spans="4:6" ht="12.75" customHeight="1" x14ac:dyDescent="0.25">
      <c r="D757" s="3"/>
      <c r="E757" s="3"/>
      <c r="F757" s="3"/>
    </row>
    <row r="758" spans="4:6" ht="12.75" customHeight="1" x14ac:dyDescent="0.25">
      <c r="D758" s="3"/>
      <c r="E758" s="3"/>
      <c r="F758" s="3"/>
    </row>
    <row r="759" spans="4:6" ht="12.75" customHeight="1" x14ac:dyDescent="0.25">
      <c r="D759" s="3"/>
      <c r="E759" s="3"/>
      <c r="F759" s="3"/>
    </row>
    <row r="760" spans="4:6" ht="12.75" customHeight="1" x14ac:dyDescent="0.25">
      <c r="D760" s="3"/>
      <c r="E760" s="3"/>
      <c r="F760" s="3"/>
    </row>
    <row r="761" spans="4:6" ht="12.75" customHeight="1" x14ac:dyDescent="0.25">
      <c r="D761" s="3"/>
      <c r="E761" s="3"/>
      <c r="F761" s="3"/>
    </row>
    <row r="762" spans="4:6" ht="12.75" customHeight="1" x14ac:dyDescent="0.25">
      <c r="D762" s="3"/>
      <c r="E762" s="3"/>
      <c r="F762" s="3"/>
    </row>
    <row r="763" spans="4:6" ht="12.75" customHeight="1" x14ac:dyDescent="0.25">
      <c r="D763" s="3"/>
      <c r="E763" s="3"/>
      <c r="F763" s="3"/>
    </row>
    <row r="764" spans="4:6" ht="12.75" customHeight="1" x14ac:dyDescent="0.25">
      <c r="D764" s="3"/>
      <c r="E764" s="3"/>
      <c r="F764" s="3"/>
    </row>
    <row r="765" spans="4:6" ht="12.75" customHeight="1" x14ac:dyDescent="0.25">
      <c r="D765" s="3"/>
      <c r="E765" s="3"/>
      <c r="F765" s="3"/>
    </row>
    <row r="766" spans="4:6" ht="12.75" customHeight="1" x14ac:dyDescent="0.25">
      <c r="D766" s="3"/>
      <c r="E766" s="3"/>
      <c r="F766" s="3"/>
    </row>
    <row r="767" spans="4:6" ht="12.75" customHeight="1" x14ac:dyDescent="0.25">
      <c r="D767" s="3"/>
      <c r="E767" s="3"/>
      <c r="F767" s="3"/>
    </row>
    <row r="768" spans="4:6" ht="12.75" customHeight="1" x14ac:dyDescent="0.25">
      <c r="D768" s="3"/>
      <c r="E768" s="3"/>
      <c r="F768" s="3"/>
    </row>
    <row r="769" spans="4:6" ht="12.75" customHeight="1" x14ac:dyDescent="0.25">
      <c r="D769" s="3"/>
      <c r="E769" s="3"/>
      <c r="F769" s="3"/>
    </row>
    <row r="770" spans="4:6" ht="12.75" customHeight="1" x14ac:dyDescent="0.25">
      <c r="D770" s="3"/>
      <c r="E770" s="3"/>
      <c r="F770" s="3"/>
    </row>
    <row r="771" spans="4:6" ht="12.75" customHeight="1" x14ac:dyDescent="0.25">
      <c r="D771" s="3"/>
      <c r="E771" s="3"/>
      <c r="F771" s="3"/>
    </row>
    <row r="772" spans="4:6" ht="12.75" customHeight="1" x14ac:dyDescent="0.25">
      <c r="D772" s="3"/>
      <c r="E772" s="3"/>
      <c r="F772" s="3"/>
    </row>
    <row r="773" spans="4:6" ht="12.75" customHeight="1" x14ac:dyDescent="0.25">
      <c r="D773" s="3"/>
      <c r="E773" s="3"/>
      <c r="F773" s="3"/>
    </row>
    <row r="774" spans="4:6" ht="12.75" customHeight="1" x14ac:dyDescent="0.25">
      <c r="D774" s="3"/>
      <c r="E774" s="3"/>
      <c r="F774" s="3"/>
    </row>
    <row r="775" spans="4:6" ht="12.75" customHeight="1" x14ac:dyDescent="0.25">
      <c r="D775" s="3"/>
      <c r="E775" s="3"/>
      <c r="F775" s="3"/>
    </row>
    <row r="776" spans="4:6" ht="12.75" customHeight="1" x14ac:dyDescent="0.25">
      <c r="D776" s="3"/>
      <c r="E776" s="3"/>
      <c r="F776" s="3"/>
    </row>
    <row r="777" spans="4:6" ht="12.75" customHeight="1" x14ac:dyDescent="0.25">
      <c r="D777" s="3"/>
      <c r="E777" s="3"/>
      <c r="F777" s="3"/>
    </row>
    <row r="778" spans="4:6" ht="12.75" customHeight="1" x14ac:dyDescent="0.25">
      <c r="D778" s="3"/>
      <c r="E778" s="3"/>
      <c r="F778" s="3"/>
    </row>
    <row r="779" spans="4:6" ht="12.75" customHeight="1" x14ac:dyDescent="0.25">
      <c r="D779" s="3"/>
      <c r="E779" s="3"/>
      <c r="F779" s="3"/>
    </row>
    <row r="780" spans="4:6" ht="12.75" customHeight="1" x14ac:dyDescent="0.25">
      <c r="D780" s="3"/>
      <c r="E780" s="3"/>
      <c r="F780" s="3"/>
    </row>
    <row r="781" spans="4:6" ht="12.75" customHeight="1" x14ac:dyDescent="0.25">
      <c r="D781" s="3"/>
      <c r="E781" s="3"/>
      <c r="F781" s="3"/>
    </row>
    <row r="782" spans="4:6" ht="12.75" customHeight="1" x14ac:dyDescent="0.25">
      <c r="D782" s="3"/>
      <c r="E782" s="3"/>
      <c r="F782" s="3"/>
    </row>
    <row r="783" spans="4:6" ht="12.75" customHeight="1" x14ac:dyDescent="0.25">
      <c r="D783" s="3"/>
      <c r="E783" s="3"/>
      <c r="F783" s="3"/>
    </row>
    <row r="784" spans="4:6" ht="12.75" customHeight="1" x14ac:dyDescent="0.25">
      <c r="D784" s="3"/>
      <c r="E784" s="3"/>
      <c r="F784" s="3"/>
    </row>
    <row r="785" spans="4:6" ht="12.75" customHeight="1" x14ac:dyDescent="0.25">
      <c r="D785" s="3"/>
      <c r="E785" s="3"/>
      <c r="F785" s="3"/>
    </row>
    <row r="786" spans="4:6" ht="12.75" customHeight="1" x14ac:dyDescent="0.25">
      <c r="D786" s="3"/>
      <c r="E786" s="3"/>
      <c r="F786" s="3"/>
    </row>
    <row r="787" spans="4:6" ht="12.75" customHeight="1" x14ac:dyDescent="0.25">
      <c r="D787" s="3"/>
      <c r="E787" s="3"/>
      <c r="F787" s="3"/>
    </row>
    <row r="788" spans="4:6" ht="12.75" customHeight="1" x14ac:dyDescent="0.25">
      <c r="D788" s="3"/>
      <c r="E788" s="3"/>
      <c r="F788" s="3"/>
    </row>
    <row r="789" spans="4:6" ht="12.75" customHeight="1" x14ac:dyDescent="0.25">
      <c r="D789" s="3"/>
      <c r="E789" s="3"/>
      <c r="F789" s="3"/>
    </row>
    <row r="790" spans="4:6" ht="12.75" customHeight="1" x14ac:dyDescent="0.25">
      <c r="D790" s="3"/>
      <c r="E790" s="3"/>
      <c r="F790" s="3"/>
    </row>
    <row r="791" spans="4:6" ht="12.75" customHeight="1" x14ac:dyDescent="0.25">
      <c r="D791" s="3"/>
      <c r="E791" s="3"/>
      <c r="F791" s="3"/>
    </row>
    <row r="792" spans="4:6" ht="12.75" customHeight="1" x14ac:dyDescent="0.25">
      <c r="D792" s="3"/>
      <c r="E792" s="3"/>
      <c r="F792" s="3"/>
    </row>
    <row r="793" spans="4:6" ht="12.75" customHeight="1" x14ac:dyDescent="0.25">
      <c r="D793" s="3"/>
      <c r="E793" s="3"/>
      <c r="F793" s="3"/>
    </row>
    <row r="794" spans="4:6" ht="12.75" customHeight="1" x14ac:dyDescent="0.25">
      <c r="D794" s="3"/>
      <c r="E794" s="3"/>
      <c r="F794" s="3"/>
    </row>
    <row r="795" spans="4:6" ht="12.75" customHeight="1" x14ac:dyDescent="0.25">
      <c r="D795" s="3"/>
      <c r="E795" s="3"/>
      <c r="F795" s="3"/>
    </row>
    <row r="796" spans="4:6" ht="12.75" customHeight="1" x14ac:dyDescent="0.25">
      <c r="D796" s="3"/>
      <c r="E796" s="3"/>
      <c r="F796" s="3"/>
    </row>
    <row r="797" spans="4:6" ht="12.75" customHeight="1" x14ac:dyDescent="0.25">
      <c r="D797" s="3"/>
      <c r="E797" s="3"/>
      <c r="F797" s="3"/>
    </row>
    <row r="798" spans="4:6" ht="12.75" customHeight="1" x14ac:dyDescent="0.25">
      <c r="D798" s="3"/>
      <c r="E798" s="3"/>
      <c r="F798" s="3"/>
    </row>
    <row r="799" spans="4:6" ht="12.75" customHeight="1" x14ac:dyDescent="0.25">
      <c r="D799" s="3"/>
      <c r="E799" s="3"/>
      <c r="F799" s="3"/>
    </row>
    <row r="800" spans="4:6" ht="12.75" customHeight="1" x14ac:dyDescent="0.25">
      <c r="D800" s="3"/>
      <c r="E800" s="3"/>
      <c r="F800" s="3"/>
    </row>
    <row r="801" spans="4:6" ht="12.75" customHeight="1" x14ac:dyDescent="0.25">
      <c r="D801" s="3"/>
      <c r="E801" s="3"/>
      <c r="F801" s="3"/>
    </row>
    <row r="802" spans="4:6" ht="12.75" customHeight="1" x14ac:dyDescent="0.25">
      <c r="D802" s="3"/>
      <c r="E802" s="3"/>
      <c r="F802" s="3"/>
    </row>
    <row r="803" spans="4:6" ht="12.75" customHeight="1" x14ac:dyDescent="0.25">
      <c r="D803" s="3"/>
      <c r="E803" s="3"/>
      <c r="F803" s="3"/>
    </row>
    <row r="804" spans="4:6" ht="12.75" customHeight="1" x14ac:dyDescent="0.25">
      <c r="D804" s="3"/>
      <c r="E804" s="3"/>
      <c r="F804" s="3"/>
    </row>
    <row r="805" spans="4:6" ht="12.75" customHeight="1" x14ac:dyDescent="0.25">
      <c r="D805" s="3"/>
      <c r="E805" s="3"/>
      <c r="F805" s="3"/>
    </row>
    <row r="806" spans="4:6" ht="12.75" customHeight="1" x14ac:dyDescent="0.25">
      <c r="D806" s="3"/>
      <c r="E806" s="3"/>
      <c r="F806" s="3"/>
    </row>
    <row r="807" spans="4:6" ht="12.75" customHeight="1" x14ac:dyDescent="0.25">
      <c r="D807" s="3"/>
      <c r="E807" s="3"/>
      <c r="F807" s="3"/>
    </row>
    <row r="808" spans="4:6" ht="12.75" customHeight="1" x14ac:dyDescent="0.25">
      <c r="D808" s="3"/>
      <c r="E808" s="3"/>
      <c r="F808" s="3"/>
    </row>
    <row r="809" spans="4:6" ht="12.75" customHeight="1" x14ac:dyDescent="0.25">
      <c r="D809" s="3"/>
      <c r="E809" s="3"/>
      <c r="F809" s="3"/>
    </row>
    <row r="810" spans="4:6" ht="12.75" customHeight="1" x14ac:dyDescent="0.25">
      <c r="D810" s="3"/>
      <c r="E810" s="3"/>
      <c r="F810" s="3"/>
    </row>
    <row r="811" spans="4:6" ht="12.75" customHeight="1" x14ac:dyDescent="0.25">
      <c r="D811" s="3"/>
      <c r="E811" s="3"/>
      <c r="F811" s="3"/>
    </row>
    <row r="812" spans="4:6" ht="12.75" customHeight="1" x14ac:dyDescent="0.25">
      <c r="D812" s="3"/>
      <c r="E812" s="3"/>
      <c r="F812" s="3"/>
    </row>
    <row r="813" spans="4:6" ht="12.75" customHeight="1" x14ac:dyDescent="0.25">
      <c r="D813" s="3"/>
      <c r="E813" s="3"/>
      <c r="F813" s="3"/>
    </row>
    <row r="814" spans="4:6" ht="12.75" customHeight="1" x14ac:dyDescent="0.25">
      <c r="D814" s="3"/>
      <c r="E814" s="3"/>
      <c r="F814" s="3"/>
    </row>
    <row r="815" spans="4:6" ht="12.75" customHeight="1" x14ac:dyDescent="0.25">
      <c r="D815" s="3"/>
      <c r="E815" s="3"/>
      <c r="F815" s="3"/>
    </row>
    <row r="816" spans="4:6" ht="12.75" customHeight="1" x14ac:dyDescent="0.25">
      <c r="D816" s="3"/>
      <c r="E816" s="3"/>
      <c r="F816" s="3"/>
    </row>
    <row r="817" spans="4:6" ht="12.75" customHeight="1" x14ac:dyDescent="0.25">
      <c r="D817" s="3"/>
      <c r="E817" s="3"/>
      <c r="F817" s="3"/>
    </row>
    <row r="818" spans="4:6" ht="12.75" customHeight="1" x14ac:dyDescent="0.25">
      <c r="D818" s="3"/>
      <c r="E818" s="3"/>
      <c r="F818" s="3"/>
    </row>
    <row r="819" spans="4:6" ht="12.75" customHeight="1" x14ac:dyDescent="0.25">
      <c r="D819" s="3"/>
      <c r="E819" s="3"/>
      <c r="F819" s="3"/>
    </row>
    <row r="820" spans="4:6" ht="12.75" customHeight="1" x14ac:dyDescent="0.25">
      <c r="D820" s="3"/>
      <c r="E820" s="3"/>
      <c r="F820" s="3"/>
    </row>
    <row r="821" spans="4:6" ht="12.75" customHeight="1" x14ac:dyDescent="0.25">
      <c r="D821" s="3"/>
      <c r="E821" s="3"/>
      <c r="F821" s="3"/>
    </row>
    <row r="822" spans="4:6" ht="12.75" customHeight="1" x14ac:dyDescent="0.25">
      <c r="D822" s="3"/>
      <c r="E822" s="3"/>
      <c r="F822" s="3"/>
    </row>
    <row r="823" spans="4:6" ht="12.75" customHeight="1" x14ac:dyDescent="0.25">
      <c r="D823" s="3"/>
      <c r="E823" s="3"/>
      <c r="F823" s="3"/>
    </row>
    <row r="824" spans="4:6" ht="12.75" customHeight="1" x14ac:dyDescent="0.25">
      <c r="D824" s="3"/>
      <c r="E824" s="3"/>
      <c r="F824" s="3"/>
    </row>
    <row r="825" spans="4:6" ht="12.75" customHeight="1" x14ac:dyDescent="0.25">
      <c r="D825" s="3"/>
      <c r="E825" s="3"/>
      <c r="F825" s="3"/>
    </row>
    <row r="826" spans="4:6" ht="12.75" customHeight="1" x14ac:dyDescent="0.25">
      <c r="D826" s="3"/>
      <c r="E826" s="3"/>
      <c r="F826" s="3"/>
    </row>
    <row r="827" spans="4:6" ht="12.75" customHeight="1" x14ac:dyDescent="0.25">
      <c r="D827" s="3"/>
      <c r="E827" s="3"/>
      <c r="F827" s="3"/>
    </row>
    <row r="828" spans="4:6" ht="12.75" customHeight="1" x14ac:dyDescent="0.25">
      <c r="D828" s="3"/>
      <c r="E828" s="3"/>
      <c r="F828" s="3"/>
    </row>
    <row r="829" spans="4:6" ht="12.75" customHeight="1" x14ac:dyDescent="0.25">
      <c r="D829" s="3"/>
      <c r="E829" s="3"/>
      <c r="F829" s="3"/>
    </row>
    <row r="830" spans="4:6" ht="12.75" customHeight="1" x14ac:dyDescent="0.25">
      <c r="D830" s="3"/>
      <c r="E830" s="3"/>
      <c r="F830" s="3"/>
    </row>
    <row r="831" spans="4:6" ht="12.75" customHeight="1" x14ac:dyDescent="0.25">
      <c r="D831" s="3"/>
      <c r="E831" s="3"/>
      <c r="F831" s="3"/>
    </row>
    <row r="832" spans="4:6" ht="12.75" customHeight="1" x14ac:dyDescent="0.25">
      <c r="D832" s="3"/>
      <c r="E832" s="3"/>
      <c r="F832" s="3"/>
    </row>
    <row r="833" spans="4:6" ht="12.75" customHeight="1" x14ac:dyDescent="0.25">
      <c r="D833" s="3"/>
      <c r="E833" s="3"/>
      <c r="F833" s="3"/>
    </row>
    <row r="834" spans="4:6" ht="12.75" customHeight="1" x14ac:dyDescent="0.25">
      <c r="D834" s="3"/>
      <c r="E834" s="3"/>
      <c r="F834" s="3"/>
    </row>
    <row r="835" spans="4:6" ht="12.75" customHeight="1" x14ac:dyDescent="0.25">
      <c r="D835" s="3"/>
      <c r="E835" s="3"/>
      <c r="F835" s="3"/>
    </row>
    <row r="836" spans="4:6" ht="12.75" customHeight="1" x14ac:dyDescent="0.25">
      <c r="D836" s="3"/>
      <c r="E836" s="3"/>
      <c r="F836" s="3"/>
    </row>
    <row r="837" spans="4:6" ht="12.75" customHeight="1" x14ac:dyDescent="0.25">
      <c r="D837" s="3"/>
      <c r="E837" s="3"/>
      <c r="F837" s="3"/>
    </row>
    <row r="838" spans="4:6" ht="12.75" customHeight="1" x14ac:dyDescent="0.25">
      <c r="D838" s="3"/>
      <c r="E838" s="3"/>
      <c r="F838" s="3"/>
    </row>
    <row r="839" spans="4:6" ht="12.75" customHeight="1" x14ac:dyDescent="0.25">
      <c r="D839" s="3"/>
      <c r="E839" s="3"/>
      <c r="F839" s="3"/>
    </row>
    <row r="840" spans="4:6" ht="12.75" customHeight="1" x14ac:dyDescent="0.25">
      <c r="D840" s="3"/>
      <c r="E840" s="3"/>
      <c r="F840" s="3"/>
    </row>
    <row r="841" spans="4:6" ht="12.75" customHeight="1" x14ac:dyDescent="0.25">
      <c r="D841" s="3"/>
      <c r="E841" s="3"/>
      <c r="F841" s="3"/>
    </row>
    <row r="842" spans="4:6" ht="12.75" customHeight="1" x14ac:dyDescent="0.25">
      <c r="D842" s="3"/>
      <c r="E842" s="3"/>
      <c r="F842" s="3"/>
    </row>
    <row r="843" spans="4:6" ht="12.75" customHeight="1" x14ac:dyDescent="0.25">
      <c r="D843" s="3"/>
      <c r="E843" s="3"/>
      <c r="F843" s="3"/>
    </row>
    <row r="844" spans="4:6" ht="12.75" customHeight="1" x14ac:dyDescent="0.25">
      <c r="D844" s="3"/>
      <c r="E844" s="3"/>
      <c r="F844" s="3"/>
    </row>
    <row r="845" spans="4:6" ht="12.75" customHeight="1" x14ac:dyDescent="0.25">
      <c r="D845" s="3"/>
      <c r="E845" s="3"/>
      <c r="F845" s="3"/>
    </row>
    <row r="846" spans="4:6" ht="12.75" customHeight="1" x14ac:dyDescent="0.25">
      <c r="D846" s="3"/>
      <c r="E846" s="3"/>
      <c r="F846" s="3"/>
    </row>
    <row r="847" spans="4:6" ht="12.75" customHeight="1" x14ac:dyDescent="0.25">
      <c r="D847" s="3"/>
      <c r="E847" s="3"/>
      <c r="F847" s="3"/>
    </row>
    <row r="848" spans="4:6" ht="12.75" customHeight="1" x14ac:dyDescent="0.25">
      <c r="D848" s="3"/>
      <c r="E848" s="3"/>
      <c r="F848" s="3"/>
    </row>
    <row r="849" spans="4:6" ht="12.75" customHeight="1" x14ac:dyDescent="0.25">
      <c r="D849" s="3"/>
      <c r="E849" s="3"/>
      <c r="F849" s="3"/>
    </row>
    <row r="850" spans="4:6" ht="12.75" customHeight="1" x14ac:dyDescent="0.25">
      <c r="D850" s="3"/>
      <c r="E850" s="3"/>
      <c r="F850" s="3"/>
    </row>
    <row r="851" spans="4:6" ht="12.75" customHeight="1" x14ac:dyDescent="0.25">
      <c r="D851" s="3"/>
      <c r="E851" s="3"/>
      <c r="F851" s="3"/>
    </row>
    <row r="852" spans="4:6" ht="12.75" customHeight="1" x14ac:dyDescent="0.25">
      <c r="D852" s="3"/>
      <c r="E852" s="3"/>
      <c r="F852" s="3"/>
    </row>
    <row r="853" spans="4:6" ht="12.75" customHeight="1" x14ac:dyDescent="0.25">
      <c r="D853" s="3"/>
      <c r="E853" s="3"/>
      <c r="F853" s="3"/>
    </row>
    <row r="854" spans="4:6" ht="12.75" customHeight="1" x14ac:dyDescent="0.25">
      <c r="D854" s="3"/>
      <c r="E854" s="3"/>
      <c r="F854" s="3"/>
    </row>
    <row r="855" spans="4:6" ht="12.75" customHeight="1" x14ac:dyDescent="0.25">
      <c r="D855" s="3"/>
      <c r="E855" s="3"/>
      <c r="F855" s="3"/>
    </row>
    <row r="856" spans="4:6" ht="12.75" customHeight="1" x14ac:dyDescent="0.25">
      <c r="D856" s="3"/>
      <c r="E856" s="3"/>
      <c r="F856" s="3"/>
    </row>
    <row r="857" spans="4:6" ht="12.75" customHeight="1" x14ac:dyDescent="0.25">
      <c r="D857" s="3"/>
      <c r="E857" s="3"/>
      <c r="F857" s="3"/>
    </row>
    <row r="858" spans="4:6" ht="12.75" customHeight="1" x14ac:dyDescent="0.25">
      <c r="D858" s="3"/>
      <c r="E858" s="3"/>
      <c r="F858" s="3"/>
    </row>
    <row r="859" spans="4:6" ht="12.75" customHeight="1" x14ac:dyDescent="0.25">
      <c r="D859" s="3"/>
      <c r="E859" s="3"/>
      <c r="F859" s="3"/>
    </row>
    <row r="860" spans="4:6" ht="12.75" customHeight="1" x14ac:dyDescent="0.25">
      <c r="D860" s="3"/>
      <c r="E860" s="3"/>
      <c r="F860" s="3"/>
    </row>
    <row r="861" spans="4:6" ht="12.75" customHeight="1" x14ac:dyDescent="0.25">
      <c r="D861" s="3"/>
      <c r="E861" s="3"/>
      <c r="F861" s="3"/>
    </row>
    <row r="862" spans="4:6" ht="12.75" customHeight="1" x14ac:dyDescent="0.25">
      <c r="D862" s="3"/>
      <c r="E862" s="3"/>
      <c r="F862" s="3"/>
    </row>
    <row r="863" spans="4:6" ht="12.75" customHeight="1" x14ac:dyDescent="0.25">
      <c r="D863" s="3"/>
      <c r="E863" s="3"/>
      <c r="F863" s="3"/>
    </row>
    <row r="864" spans="4:6" ht="12.75" customHeight="1" x14ac:dyDescent="0.25">
      <c r="D864" s="3"/>
      <c r="E864" s="3"/>
      <c r="F864" s="3"/>
    </row>
    <row r="865" spans="4:6" ht="12.75" customHeight="1" x14ac:dyDescent="0.25">
      <c r="D865" s="3"/>
      <c r="E865" s="3"/>
      <c r="F865" s="3"/>
    </row>
    <row r="866" spans="4:6" ht="12.75" customHeight="1" x14ac:dyDescent="0.25">
      <c r="D866" s="3"/>
      <c r="E866" s="3"/>
      <c r="F866" s="3"/>
    </row>
    <row r="867" spans="4:6" ht="12.75" customHeight="1" x14ac:dyDescent="0.25">
      <c r="D867" s="3"/>
      <c r="E867" s="3"/>
      <c r="F867" s="3"/>
    </row>
    <row r="868" spans="4:6" ht="12.75" customHeight="1" x14ac:dyDescent="0.25">
      <c r="D868" s="3"/>
      <c r="E868" s="3"/>
      <c r="F868" s="3"/>
    </row>
    <row r="869" spans="4:6" ht="12.75" customHeight="1" x14ac:dyDescent="0.25">
      <c r="D869" s="3"/>
      <c r="E869" s="3"/>
      <c r="F869" s="3"/>
    </row>
    <row r="870" spans="4:6" ht="12.75" customHeight="1" x14ac:dyDescent="0.25">
      <c r="D870" s="3"/>
      <c r="E870" s="3"/>
      <c r="F870" s="3"/>
    </row>
    <row r="871" spans="4:6" ht="12.75" customHeight="1" x14ac:dyDescent="0.25">
      <c r="D871" s="3"/>
      <c r="E871" s="3"/>
      <c r="F871" s="3"/>
    </row>
    <row r="872" spans="4:6" ht="12.75" customHeight="1" x14ac:dyDescent="0.25">
      <c r="D872" s="3"/>
      <c r="E872" s="3"/>
      <c r="F872" s="3"/>
    </row>
    <row r="873" spans="4:6" ht="12.75" customHeight="1" x14ac:dyDescent="0.25">
      <c r="D873" s="3"/>
      <c r="E873" s="3"/>
      <c r="F873" s="3"/>
    </row>
    <row r="874" spans="4:6" ht="12.75" customHeight="1" x14ac:dyDescent="0.25">
      <c r="D874" s="3"/>
      <c r="E874" s="3"/>
      <c r="F874" s="3"/>
    </row>
    <row r="875" spans="4:6" ht="12.75" customHeight="1" x14ac:dyDescent="0.25">
      <c r="D875" s="3"/>
      <c r="E875" s="3"/>
      <c r="F875" s="3"/>
    </row>
    <row r="876" spans="4:6" ht="12.75" customHeight="1" x14ac:dyDescent="0.25">
      <c r="D876" s="3"/>
      <c r="E876" s="3"/>
      <c r="F876" s="3"/>
    </row>
    <row r="877" spans="4:6" ht="12.75" customHeight="1" x14ac:dyDescent="0.25">
      <c r="D877" s="3"/>
      <c r="E877" s="3"/>
      <c r="F877" s="3"/>
    </row>
    <row r="878" spans="4:6" ht="12.75" customHeight="1" x14ac:dyDescent="0.25">
      <c r="D878" s="3"/>
      <c r="E878" s="3"/>
      <c r="F878" s="3"/>
    </row>
    <row r="879" spans="4:6" ht="12.75" customHeight="1" x14ac:dyDescent="0.25">
      <c r="D879" s="3"/>
      <c r="E879" s="3"/>
      <c r="F879" s="3"/>
    </row>
    <row r="880" spans="4:6" ht="12.75" customHeight="1" x14ac:dyDescent="0.25">
      <c r="D880" s="3"/>
      <c r="E880" s="3"/>
      <c r="F880" s="3"/>
    </row>
    <row r="881" spans="4:6" ht="12.75" customHeight="1" x14ac:dyDescent="0.25">
      <c r="D881" s="3"/>
      <c r="E881" s="3"/>
      <c r="F881" s="3"/>
    </row>
    <row r="882" spans="4:6" ht="12.75" customHeight="1" x14ac:dyDescent="0.25">
      <c r="D882" s="3"/>
      <c r="E882" s="3"/>
      <c r="F882" s="3"/>
    </row>
    <row r="883" spans="4:6" ht="12.75" customHeight="1" x14ac:dyDescent="0.25">
      <c r="D883" s="3"/>
      <c r="E883" s="3"/>
      <c r="F883" s="3"/>
    </row>
    <row r="884" spans="4:6" ht="12.75" customHeight="1" x14ac:dyDescent="0.25">
      <c r="D884" s="3"/>
      <c r="E884" s="3"/>
      <c r="F884" s="3"/>
    </row>
    <row r="885" spans="4:6" ht="12.75" customHeight="1" x14ac:dyDescent="0.25">
      <c r="D885" s="3"/>
      <c r="E885" s="3"/>
      <c r="F885" s="3"/>
    </row>
    <row r="886" spans="4:6" ht="12.75" customHeight="1" x14ac:dyDescent="0.25">
      <c r="D886" s="3"/>
      <c r="E886" s="3"/>
      <c r="F886" s="3"/>
    </row>
    <row r="887" spans="4:6" ht="12.75" customHeight="1" x14ac:dyDescent="0.25">
      <c r="D887" s="3"/>
      <c r="E887" s="3"/>
      <c r="F887" s="3"/>
    </row>
    <row r="888" spans="4:6" ht="12.75" customHeight="1" x14ac:dyDescent="0.25">
      <c r="D888" s="3"/>
      <c r="E888" s="3"/>
      <c r="F888" s="3"/>
    </row>
    <row r="889" spans="4:6" ht="12.75" customHeight="1" x14ac:dyDescent="0.25">
      <c r="D889" s="3"/>
      <c r="E889" s="3"/>
      <c r="F889" s="3"/>
    </row>
    <row r="890" spans="4:6" ht="12.75" customHeight="1" x14ac:dyDescent="0.25">
      <c r="D890" s="3"/>
      <c r="E890" s="3"/>
      <c r="F890" s="3"/>
    </row>
    <row r="891" spans="4:6" ht="12.75" customHeight="1" x14ac:dyDescent="0.25">
      <c r="D891" s="3"/>
      <c r="E891" s="3"/>
      <c r="F891" s="3"/>
    </row>
    <row r="892" spans="4:6" ht="12.75" customHeight="1" x14ac:dyDescent="0.25">
      <c r="D892" s="3"/>
      <c r="E892" s="3"/>
      <c r="F892" s="3"/>
    </row>
    <row r="893" spans="4:6" ht="12.75" customHeight="1" x14ac:dyDescent="0.25">
      <c r="D893" s="3"/>
      <c r="E893" s="3"/>
      <c r="F893" s="3"/>
    </row>
    <row r="894" spans="4:6" ht="12.75" customHeight="1" x14ac:dyDescent="0.25">
      <c r="D894" s="3"/>
      <c r="E894" s="3"/>
      <c r="F894" s="3"/>
    </row>
    <row r="895" spans="4:6" ht="12.75" customHeight="1" x14ac:dyDescent="0.25">
      <c r="D895" s="3"/>
      <c r="E895" s="3"/>
      <c r="F895" s="3"/>
    </row>
    <row r="896" spans="4:6" ht="12.75" customHeight="1" x14ac:dyDescent="0.25">
      <c r="D896" s="3"/>
      <c r="E896" s="3"/>
      <c r="F896" s="3"/>
    </row>
    <row r="897" spans="4:6" ht="12.75" customHeight="1" x14ac:dyDescent="0.25">
      <c r="D897" s="3"/>
      <c r="E897" s="3"/>
      <c r="F897" s="3"/>
    </row>
    <row r="898" spans="4:6" ht="12.75" customHeight="1" x14ac:dyDescent="0.25">
      <c r="D898" s="3"/>
      <c r="E898" s="3"/>
      <c r="F898" s="3"/>
    </row>
    <row r="899" spans="4:6" ht="12.75" customHeight="1" x14ac:dyDescent="0.25">
      <c r="D899" s="3"/>
      <c r="E899" s="3"/>
      <c r="F899" s="3"/>
    </row>
    <row r="900" spans="4:6" ht="12.75" customHeight="1" x14ac:dyDescent="0.25">
      <c r="D900" s="3"/>
      <c r="E900" s="3"/>
      <c r="F900" s="3"/>
    </row>
    <row r="901" spans="4:6" ht="12.75" customHeight="1" x14ac:dyDescent="0.25">
      <c r="D901" s="3"/>
      <c r="E901" s="3"/>
      <c r="F901" s="3"/>
    </row>
    <row r="902" spans="4:6" ht="12.75" customHeight="1" x14ac:dyDescent="0.25">
      <c r="D902" s="3"/>
      <c r="E902" s="3"/>
      <c r="F902" s="3"/>
    </row>
    <row r="903" spans="4:6" ht="12.75" customHeight="1" x14ac:dyDescent="0.25">
      <c r="D903" s="3"/>
      <c r="E903" s="3"/>
      <c r="F903" s="3"/>
    </row>
    <row r="904" spans="4:6" ht="12.75" customHeight="1" x14ac:dyDescent="0.25">
      <c r="D904" s="3"/>
      <c r="E904" s="3"/>
      <c r="F904" s="3"/>
    </row>
    <row r="905" spans="4:6" ht="12.75" customHeight="1" x14ac:dyDescent="0.25">
      <c r="D905" s="3"/>
      <c r="E905" s="3"/>
      <c r="F905" s="3"/>
    </row>
    <row r="906" spans="4:6" ht="12.75" customHeight="1" x14ac:dyDescent="0.25">
      <c r="D906" s="3"/>
      <c r="E906" s="3"/>
      <c r="F906" s="3"/>
    </row>
    <row r="907" spans="4:6" ht="12.75" customHeight="1" x14ac:dyDescent="0.25">
      <c r="D907" s="3"/>
      <c r="E907" s="3"/>
      <c r="F907" s="3"/>
    </row>
    <row r="908" spans="4:6" ht="12.75" customHeight="1" x14ac:dyDescent="0.25">
      <c r="D908" s="3"/>
      <c r="E908" s="3"/>
      <c r="F908" s="3"/>
    </row>
    <row r="909" spans="4:6" ht="12.75" customHeight="1" x14ac:dyDescent="0.25">
      <c r="D909" s="3"/>
      <c r="E909" s="3"/>
      <c r="F909" s="3"/>
    </row>
    <row r="910" spans="4:6" ht="12.75" customHeight="1" x14ac:dyDescent="0.25">
      <c r="D910" s="3"/>
      <c r="E910" s="3"/>
      <c r="F910" s="3"/>
    </row>
    <row r="911" spans="4:6" ht="12.75" customHeight="1" x14ac:dyDescent="0.25">
      <c r="D911" s="3"/>
      <c r="E911" s="3"/>
      <c r="F911" s="3"/>
    </row>
    <row r="912" spans="4:6" ht="12.75" customHeight="1" x14ac:dyDescent="0.25">
      <c r="D912" s="3"/>
      <c r="E912" s="3"/>
      <c r="F912" s="3"/>
    </row>
    <row r="913" spans="4:6" ht="12.75" customHeight="1" x14ac:dyDescent="0.25">
      <c r="D913" s="3"/>
      <c r="E913" s="3"/>
      <c r="F913" s="3"/>
    </row>
    <row r="914" spans="4:6" ht="12.75" customHeight="1" x14ac:dyDescent="0.25">
      <c r="D914" s="3"/>
      <c r="E914" s="3"/>
      <c r="F914" s="3"/>
    </row>
    <row r="915" spans="4:6" ht="12.75" customHeight="1" x14ac:dyDescent="0.25">
      <c r="D915" s="3"/>
      <c r="E915" s="3"/>
      <c r="F915" s="3"/>
    </row>
    <row r="916" spans="4:6" ht="12.75" customHeight="1" x14ac:dyDescent="0.25">
      <c r="D916" s="3"/>
      <c r="E916" s="3"/>
      <c r="F916" s="3"/>
    </row>
    <row r="917" spans="4:6" ht="12.75" customHeight="1" x14ac:dyDescent="0.25">
      <c r="D917" s="3"/>
      <c r="E917" s="3"/>
      <c r="F917" s="3"/>
    </row>
    <row r="918" spans="4:6" ht="12.75" customHeight="1" x14ac:dyDescent="0.25">
      <c r="D918" s="3"/>
      <c r="E918" s="3"/>
      <c r="F918" s="3"/>
    </row>
    <row r="919" spans="4:6" ht="12.75" customHeight="1" x14ac:dyDescent="0.25">
      <c r="D919" s="3"/>
      <c r="E919" s="3"/>
      <c r="F919" s="3"/>
    </row>
    <row r="920" spans="4:6" ht="12.75" customHeight="1" x14ac:dyDescent="0.25">
      <c r="D920" s="3"/>
      <c r="E920" s="3"/>
      <c r="F920" s="3"/>
    </row>
    <row r="921" spans="4:6" ht="12.75" customHeight="1" x14ac:dyDescent="0.25">
      <c r="D921" s="3"/>
      <c r="E921" s="3"/>
      <c r="F921" s="3"/>
    </row>
    <row r="922" spans="4:6" ht="12.75" customHeight="1" x14ac:dyDescent="0.25">
      <c r="D922" s="3"/>
      <c r="E922" s="3"/>
      <c r="F922" s="3"/>
    </row>
    <row r="923" spans="4:6" ht="12.75" customHeight="1" x14ac:dyDescent="0.25">
      <c r="D923" s="3"/>
      <c r="E923" s="3"/>
      <c r="F923" s="3"/>
    </row>
    <row r="924" spans="4:6" ht="12.75" customHeight="1" x14ac:dyDescent="0.25">
      <c r="D924" s="3"/>
      <c r="E924" s="3"/>
      <c r="F924" s="3"/>
    </row>
    <row r="925" spans="4:6" ht="12.75" customHeight="1" x14ac:dyDescent="0.25">
      <c r="D925" s="3"/>
      <c r="E925" s="3"/>
      <c r="F925" s="3"/>
    </row>
    <row r="926" spans="4:6" ht="12.75" customHeight="1" x14ac:dyDescent="0.25">
      <c r="D926" s="3"/>
      <c r="E926" s="3"/>
      <c r="F926" s="3"/>
    </row>
    <row r="927" spans="4:6" ht="12.75" customHeight="1" x14ac:dyDescent="0.25">
      <c r="D927" s="3"/>
      <c r="E927" s="3"/>
      <c r="F927" s="3"/>
    </row>
    <row r="928" spans="4:6" ht="12.75" customHeight="1" x14ac:dyDescent="0.25">
      <c r="D928" s="3"/>
      <c r="E928" s="3"/>
      <c r="F928" s="3"/>
    </row>
    <row r="929" spans="4:6" ht="12.75" customHeight="1" x14ac:dyDescent="0.25">
      <c r="D929" s="3"/>
      <c r="E929" s="3"/>
      <c r="F929" s="3"/>
    </row>
    <row r="930" spans="4:6" ht="12.75" customHeight="1" x14ac:dyDescent="0.25">
      <c r="D930" s="3"/>
      <c r="E930" s="3"/>
      <c r="F930" s="3"/>
    </row>
    <row r="931" spans="4:6" ht="12.75" customHeight="1" x14ac:dyDescent="0.25">
      <c r="D931" s="3"/>
      <c r="E931" s="3"/>
      <c r="F931" s="3"/>
    </row>
    <row r="932" spans="4:6" ht="12.75" customHeight="1" x14ac:dyDescent="0.25">
      <c r="D932" s="3"/>
      <c r="E932" s="3"/>
      <c r="F932" s="3"/>
    </row>
    <row r="933" spans="4:6" ht="12.75" customHeight="1" x14ac:dyDescent="0.25">
      <c r="D933" s="3"/>
      <c r="E933" s="3"/>
      <c r="F933" s="3"/>
    </row>
    <row r="934" spans="4:6" ht="12.75" customHeight="1" x14ac:dyDescent="0.25">
      <c r="D934" s="3"/>
      <c r="E934" s="3"/>
      <c r="F934" s="3"/>
    </row>
    <row r="935" spans="4:6" ht="12.75" customHeight="1" x14ac:dyDescent="0.25">
      <c r="D935" s="3"/>
      <c r="E935" s="3"/>
      <c r="F935" s="3"/>
    </row>
    <row r="936" spans="4:6" ht="12.75" customHeight="1" x14ac:dyDescent="0.25">
      <c r="D936" s="3"/>
      <c r="E936" s="3"/>
      <c r="F936" s="3"/>
    </row>
    <row r="937" spans="4:6" ht="12.75" customHeight="1" x14ac:dyDescent="0.25">
      <c r="D937" s="3"/>
      <c r="E937" s="3"/>
      <c r="F937" s="3"/>
    </row>
    <row r="938" spans="4:6" ht="12.75" customHeight="1" x14ac:dyDescent="0.25">
      <c r="D938" s="3"/>
      <c r="E938" s="3"/>
      <c r="F938" s="3"/>
    </row>
    <row r="939" spans="4:6" ht="12.75" customHeight="1" x14ac:dyDescent="0.25">
      <c r="D939" s="3"/>
      <c r="E939" s="3"/>
      <c r="F939" s="3"/>
    </row>
    <row r="940" spans="4:6" ht="12.75" customHeight="1" x14ac:dyDescent="0.25">
      <c r="D940" s="3"/>
      <c r="E940" s="3"/>
      <c r="F940" s="3"/>
    </row>
    <row r="941" spans="4:6" ht="12.75" customHeight="1" x14ac:dyDescent="0.25">
      <c r="D941" s="3"/>
      <c r="E941" s="3"/>
      <c r="F941" s="3"/>
    </row>
    <row r="942" spans="4:6" ht="12.75" customHeight="1" x14ac:dyDescent="0.25">
      <c r="D942" s="3"/>
      <c r="E942" s="3"/>
      <c r="F942" s="3"/>
    </row>
    <row r="943" spans="4:6" ht="12.75" customHeight="1" x14ac:dyDescent="0.25">
      <c r="D943" s="3"/>
      <c r="E943" s="3"/>
      <c r="F943" s="3"/>
    </row>
    <row r="944" spans="4:6" ht="12.75" customHeight="1" x14ac:dyDescent="0.25">
      <c r="D944" s="3"/>
      <c r="E944" s="3"/>
      <c r="F944" s="3"/>
    </row>
    <row r="945" spans="4:6" ht="12.75" customHeight="1" x14ac:dyDescent="0.25">
      <c r="D945" s="3"/>
      <c r="E945" s="3"/>
      <c r="F945" s="3"/>
    </row>
    <row r="946" spans="4:6" ht="12.75" customHeight="1" x14ac:dyDescent="0.25">
      <c r="D946" s="3"/>
      <c r="E946" s="3"/>
      <c r="F946" s="3"/>
    </row>
    <row r="947" spans="4:6" ht="12.75" customHeight="1" x14ac:dyDescent="0.25">
      <c r="D947" s="3"/>
      <c r="E947" s="3"/>
      <c r="F947" s="3"/>
    </row>
    <row r="948" spans="4:6" ht="12.75" customHeight="1" x14ac:dyDescent="0.25">
      <c r="D948" s="3"/>
      <c r="E948" s="3"/>
      <c r="F948" s="3"/>
    </row>
    <row r="949" spans="4:6" ht="12.75" customHeight="1" x14ac:dyDescent="0.25">
      <c r="D949" s="3"/>
      <c r="E949" s="3"/>
      <c r="F949" s="3"/>
    </row>
    <row r="950" spans="4:6" ht="12.75" customHeight="1" x14ac:dyDescent="0.25">
      <c r="D950" s="3"/>
      <c r="E950" s="3"/>
      <c r="F950" s="3"/>
    </row>
    <row r="951" spans="4:6" ht="12.75" customHeight="1" x14ac:dyDescent="0.25">
      <c r="D951" s="3"/>
      <c r="E951" s="3"/>
      <c r="F951" s="3"/>
    </row>
    <row r="952" spans="4:6" ht="12.75" customHeight="1" x14ac:dyDescent="0.25">
      <c r="D952" s="3"/>
      <c r="E952" s="3"/>
      <c r="F952" s="3"/>
    </row>
    <row r="953" spans="4:6" ht="12.75" customHeight="1" x14ac:dyDescent="0.25">
      <c r="D953" s="3"/>
      <c r="E953" s="3"/>
      <c r="F953" s="3"/>
    </row>
    <row r="954" spans="4:6" ht="12.75" customHeight="1" x14ac:dyDescent="0.25">
      <c r="D954" s="3"/>
      <c r="E954" s="3"/>
      <c r="F954" s="3"/>
    </row>
    <row r="955" spans="4:6" ht="12.75" customHeight="1" x14ac:dyDescent="0.25">
      <c r="D955" s="3"/>
      <c r="E955" s="3"/>
      <c r="F955" s="3"/>
    </row>
    <row r="956" spans="4:6" ht="12.75" customHeight="1" x14ac:dyDescent="0.25">
      <c r="D956" s="3"/>
      <c r="E956" s="3"/>
      <c r="F956" s="3"/>
    </row>
    <row r="957" spans="4:6" ht="12.75" customHeight="1" x14ac:dyDescent="0.25">
      <c r="D957" s="3"/>
      <c r="E957" s="3"/>
      <c r="F957" s="3"/>
    </row>
    <row r="958" spans="4:6" ht="12.75" customHeight="1" x14ac:dyDescent="0.25">
      <c r="D958" s="3"/>
      <c r="E958" s="3"/>
      <c r="F958" s="3"/>
    </row>
    <row r="959" spans="4:6" ht="12.75" customHeight="1" x14ac:dyDescent="0.25">
      <c r="D959" s="3"/>
      <c r="E959" s="3"/>
      <c r="F959" s="3"/>
    </row>
    <row r="960" spans="4:6" ht="12.75" customHeight="1" x14ac:dyDescent="0.25">
      <c r="D960" s="3"/>
      <c r="E960" s="3"/>
      <c r="F960" s="3"/>
    </row>
    <row r="961" spans="4:6" ht="12.75" customHeight="1" x14ac:dyDescent="0.25">
      <c r="D961" s="3"/>
      <c r="E961" s="3"/>
      <c r="F961" s="3"/>
    </row>
    <row r="962" spans="4:6" ht="12.75" customHeight="1" x14ac:dyDescent="0.25">
      <c r="D962" s="3"/>
      <c r="E962" s="3"/>
      <c r="F962" s="3"/>
    </row>
    <row r="963" spans="4:6" ht="12.75" customHeight="1" x14ac:dyDescent="0.25">
      <c r="D963" s="3"/>
      <c r="E963" s="3"/>
      <c r="F963" s="3"/>
    </row>
    <row r="964" spans="4:6" ht="12.75" customHeight="1" x14ac:dyDescent="0.25">
      <c r="D964" s="3"/>
      <c r="E964" s="3"/>
      <c r="F964" s="3"/>
    </row>
    <row r="965" spans="4:6" ht="12.75" customHeight="1" x14ac:dyDescent="0.25">
      <c r="D965" s="3"/>
      <c r="E965" s="3"/>
      <c r="F965" s="3"/>
    </row>
    <row r="966" spans="4:6" ht="12.75" customHeight="1" x14ac:dyDescent="0.25">
      <c r="D966" s="3"/>
      <c r="E966" s="3"/>
      <c r="F966" s="3"/>
    </row>
    <row r="967" spans="4:6" ht="12.75" customHeight="1" x14ac:dyDescent="0.25">
      <c r="D967" s="3"/>
      <c r="E967" s="3"/>
      <c r="F967" s="3"/>
    </row>
    <row r="968" spans="4:6" ht="12.75" customHeight="1" x14ac:dyDescent="0.25">
      <c r="D968" s="3"/>
      <c r="E968" s="3"/>
      <c r="F968" s="3"/>
    </row>
    <row r="969" spans="4:6" ht="12.75" customHeight="1" x14ac:dyDescent="0.25">
      <c r="D969" s="3"/>
      <c r="E969" s="3"/>
      <c r="F969" s="3"/>
    </row>
    <row r="970" spans="4:6" ht="12.75" customHeight="1" x14ac:dyDescent="0.25">
      <c r="D970" s="3"/>
      <c r="E970" s="3"/>
      <c r="F970" s="3"/>
    </row>
    <row r="971" spans="4:6" ht="12.75" customHeight="1" x14ac:dyDescent="0.25">
      <c r="D971" s="3"/>
      <c r="E971" s="3"/>
      <c r="F971" s="3"/>
    </row>
    <row r="972" spans="4:6" ht="12.75" customHeight="1" x14ac:dyDescent="0.25">
      <c r="D972" s="3"/>
      <c r="E972" s="3"/>
      <c r="F972" s="3"/>
    </row>
    <row r="973" spans="4:6" ht="12.75" customHeight="1" x14ac:dyDescent="0.25">
      <c r="D973" s="3"/>
      <c r="E973" s="3"/>
      <c r="F973" s="3"/>
    </row>
    <row r="974" spans="4:6" ht="12.75" customHeight="1" x14ac:dyDescent="0.25">
      <c r="D974" s="3"/>
      <c r="E974" s="3"/>
      <c r="F974" s="3"/>
    </row>
    <row r="975" spans="4:6" ht="12.75" customHeight="1" x14ac:dyDescent="0.25">
      <c r="D975" s="3"/>
      <c r="E975" s="3"/>
      <c r="F975" s="3"/>
    </row>
    <row r="976" spans="4:6" ht="12.75" customHeight="1" x14ac:dyDescent="0.25">
      <c r="D976" s="3"/>
      <c r="E976" s="3"/>
      <c r="F976" s="3"/>
    </row>
    <row r="977" spans="4:6" ht="12.75" customHeight="1" x14ac:dyDescent="0.25">
      <c r="D977" s="3"/>
      <c r="E977" s="3"/>
      <c r="F977" s="3"/>
    </row>
    <row r="978" spans="4:6" ht="12.75" customHeight="1" x14ac:dyDescent="0.25">
      <c r="D978" s="3"/>
      <c r="E978" s="3"/>
      <c r="F978" s="3"/>
    </row>
    <row r="979" spans="4:6" ht="12.75" customHeight="1" x14ac:dyDescent="0.25">
      <c r="D979" s="3"/>
      <c r="E979" s="3"/>
      <c r="F979" s="3"/>
    </row>
    <row r="980" spans="4:6" ht="12.75" customHeight="1" x14ac:dyDescent="0.25">
      <c r="D980" s="3"/>
      <c r="E980" s="3"/>
      <c r="F980" s="3"/>
    </row>
    <row r="981" spans="4:6" ht="12.75" customHeight="1" x14ac:dyDescent="0.25">
      <c r="D981" s="3"/>
      <c r="E981" s="3"/>
      <c r="F981" s="3"/>
    </row>
    <row r="982" spans="4:6" ht="12.75" customHeight="1" x14ac:dyDescent="0.25">
      <c r="D982" s="3"/>
      <c r="E982" s="3"/>
      <c r="F982" s="3"/>
    </row>
    <row r="983" spans="4:6" ht="12.75" customHeight="1" x14ac:dyDescent="0.25">
      <c r="D983" s="3"/>
      <c r="E983" s="3"/>
      <c r="F983" s="3"/>
    </row>
    <row r="984" spans="4:6" ht="12.75" customHeight="1" x14ac:dyDescent="0.25">
      <c r="D984" s="3"/>
      <c r="E984" s="3"/>
      <c r="F984" s="3"/>
    </row>
    <row r="985" spans="4:6" ht="12.75" customHeight="1" x14ac:dyDescent="0.25">
      <c r="D985" s="3"/>
      <c r="E985" s="3"/>
      <c r="F985" s="3"/>
    </row>
    <row r="986" spans="4:6" ht="12.75" customHeight="1" x14ac:dyDescent="0.25">
      <c r="D986" s="3"/>
      <c r="E986" s="3"/>
      <c r="F986" s="3"/>
    </row>
    <row r="987" spans="4:6" ht="12.75" customHeight="1" x14ac:dyDescent="0.25">
      <c r="D987" s="3"/>
      <c r="E987" s="3"/>
      <c r="F987" s="3"/>
    </row>
    <row r="988" spans="4:6" ht="12.75" customHeight="1" x14ac:dyDescent="0.25">
      <c r="D988" s="3"/>
      <c r="E988" s="3"/>
      <c r="F988" s="3"/>
    </row>
    <row r="989" spans="4:6" ht="12.75" customHeight="1" x14ac:dyDescent="0.25">
      <c r="D989" s="3"/>
      <c r="E989" s="3"/>
      <c r="F989" s="3"/>
    </row>
    <row r="990" spans="4:6" ht="12.75" customHeight="1" x14ac:dyDescent="0.25">
      <c r="D990" s="3"/>
      <c r="E990" s="3"/>
      <c r="F990" s="3"/>
    </row>
    <row r="991" spans="4:6" ht="12.75" customHeight="1" x14ac:dyDescent="0.25">
      <c r="D991" s="3"/>
      <c r="E991" s="3"/>
      <c r="F991" s="3"/>
    </row>
    <row r="992" spans="4:6" ht="12.75" customHeight="1" x14ac:dyDescent="0.25">
      <c r="D992" s="3"/>
      <c r="E992" s="3"/>
      <c r="F992" s="3"/>
    </row>
    <row r="993" spans="4:6" ht="12.75" customHeight="1" x14ac:dyDescent="0.25">
      <c r="D993" s="3"/>
      <c r="E993" s="3"/>
      <c r="F993" s="3"/>
    </row>
    <row r="994" spans="4:6" ht="12.75" customHeight="1" x14ac:dyDescent="0.25">
      <c r="D994" s="3"/>
      <c r="E994" s="3"/>
      <c r="F994" s="3"/>
    </row>
    <row r="995" spans="4:6" ht="12.75" customHeight="1" x14ac:dyDescent="0.25">
      <c r="D995" s="3"/>
      <c r="E995" s="3"/>
      <c r="F995" s="3"/>
    </row>
    <row r="996" spans="4:6" ht="12.75" customHeight="1" x14ac:dyDescent="0.25">
      <c r="D996" s="3"/>
      <c r="E996" s="3"/>
      <c r="F996" s="3"/>
    </row>
    <row r="997" spans="4:6" ht="12.75" customHeight="1" x14ac:dyDescent="0.25">
      <c r="D997" s="3"/>
      <c r="E997" s="3"/>
      <c r="F997" s="3"/>
    </row>
    <row r="998" spans="4:6" ht="12.75" customHeight="1" x14ac:dyDescent="0.25">
      <c r="D998" s="3"/>
      <c r="E998" s="3"/>
      <c r="F998" s="3"/>
    </row>
    <row r="999" spans="4:6" ht="12.75" customHeight="1" x14ac:dyDescent="0.25">
      <c r="D999" s="3"/>
      <c r="E999" s="3"/>
      <c r="F999" s="3"/>
    </row>
    <row r="1000" spans="4:6" ht="12.75" customHeight="1" x14ac:dyDescent="0.25">
      <c r="D1000" s="3"/>
      <c r="E1000" s="3"/>
      <c r="F1000" s="3"/>
    </row>
  </sheetData>
  <mergeCells count="4">
    <mergeCell ref="I3:M5"/>
    <mergeCell ref="I6:M8"/>
    <mergeCell ref="I10:M12"/>
    <mergeCell ref="I13:M15"/>
  </mergeCells>
  <conditionalFormatting sqref="G3:G15 G17:G1000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G3:G15 G17:G1000">
    <cfRule type="cellIs" dxfId="11" priority="2" stopIfTrue="1" operator="equal">
      <formula>"error"</formula>
    </cfRule>
  </conditionalFormatting>
  <conditionalFormatting sqref="G3:G15 G17:G1000">
    <cfRule type="cellIs" dxfId="10" priority="3" stopIfTrue="1" operator="equal">
      <formula>"OK"</formula>
    </cfRule>
  </conditionalFormatting>
  <conditionalFormatting sqref="I13">
    <cfRule type="colorScale" priority="4">
      <colorScale>
        <cfvo type="formula" val="0.19"/>
        <cfvo type="formula" val="0.2"/>
        <cfvo type="formula" val="0.5"/>
        <color rgb="FF92D050"/>
        <color rgb="FFFFEB84"/>
        <color rgb="FFD99594"/>
      </colorScale>
    </cfRule>
  </conditionalFormatting>
  <conditionalFormatting sqref="I6:M8">
    <cfRule type="colorScale" priority="5">
      <colorScale>
        <cfvo type="formula" val="0.19"/>
        <cfvo type="formula" val="0.2"/>
        <cfvo type="formula" val="0.5"/>
        <color rgb="FF92D050"/>
        <color rgb="FFFFEB84"/>
        <color rgb="FFD99594"/>
      </colorScale>
    </cfRule>
  </conditionalFormatting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00"/>
  <sheetViews>
    <sheetView workbookViewId="0"/>
  </sheetViews>
  <sheetFormatPr baseColWidth="10" defaultColWidth="12.6328125" defaultRowHeight="15" customHeight="1" x14ac:dyDescent="0.25"/>
  <cols>
    <col min="1" max="1" width="10.6328125" customWidth="1"/>
    <col min="2" max="2" width="14.90625" customWidth="1"/>
    <col min="3" max="3" width="12.26953125" customWidth="1"/>
    <col min="4" max="4" width="18" customWidth="1"/>
    <col min="5" max="5" width="3.7265625" hidden="1" customWidth="1"/>
    <col min="6" max="6" width="3.90625" hidden="1" customWidth="1"/>
    <col min="7" max="7" width="20.08984375" customWidth="1"/>
    <col min="8" max="8" width="4" customWidth="1"/>
    <col min="9" max="26" width="10.6328125" customWidth="1"/>
  </cols>
  <sheetData>
    <row r="1" spans="2:13" ht="12.75" customHeight="1" x14ac:dyDescent="0.25">
      <c r="D1" s="3"/>
      <c r="E1" s="3"/>
      <c r="F1" s="3"/>
    </row>
    <row r="2" spans="2:13" ht="12.75" customHeight="1" x14ac:dyDescent="0.25">
      <c r="D2" s="3"/>
      <c r="E2" s="3"/>
      <c r="F2" s="3"/>
    </row>
    <row r="3" spans="2:13" ht="20.25" customHeight="1" x14ac:dyDescent="0.4">
      <c r="B3" s="28" t="s">
        <v>34</v>
      </c>
      <c r="C3" s="21" t="s">
        <v>23</v>
      </c>
      <c r="D3" s="21" t="s">
        <v>24</v>
      </c>
      <c r="E3" s="21"/>
      <c r="F3" s="21"/>
      <c r="G3" s="21"/>
      <c r="H3" s="3"/>
      <c r="I3" s="48" t="s">
        <v>25</v>
      </c>
      <c r="J3" s="49"/>
      <c r="K3" s="49"/>
      <c r="L3" s="49"/>
      <c r="M3" s="50"/>
    </row>
    <row r="4" spans="2:13" ht="20.25" customHeight="1" x14ac:dyDescent="0.4">
      <c r="B4" s="21">
        <v>1</v>
      </c>
      <c r="C4" s="23">
        <v>10</v>
      </c>
      <c r="D4" s="23">
        <v>9</v>
      </c>
      <c r="E4" s="21">
        <f>C4-TOTAL!G4</f>
        <v>0</v>
      </c>
      <c r="F4" s="21">
        <f>D4-TOTAL!H4</f>
        <v>0</v>
      </c>
      <c r="G4" s="21" t="str">
        <f t="shared" ref="G4:G14" si="0">IF(AND(E4=0,F4=0),IF(B4="T","OKPELEA","OK"),IF(B4="T","ERRORPELEA","ERROR"))</f>
        <v>OK</v>
      </c>
      <c r="H4" s="3"/>
      <c r="I4" s="51"/>
      <c r="J4" s="52"/>
      <c r="K4" s="52"/>
      <c r="L4" s="52"/>
      <c r="M4" s="53"/>
    </row>
    <row r="5" spans="2:13" ht="20.25" customHeight="1" x14ac:dyDescent="0.4">
      <c r="B5" s="21">
        <v>2</v>
      </c>
      <c r="C5" s="21">
        <v>10</v>
      </c>
      <c r="D5" s="21">
        <v>9</v>
      </c>
      <c r="E5" s="21">
        <f>C5-TOTAL!G5</f>
        <v>0</v>
      </c>
      <c r="F5" s="21">
        <f>D5-TOTAL!H5</f>
        <v>0</v>
      </c>
      <c r="G5" s="21" t="str">
        <f t="shared" si="0"/>
        <v>OK</v>
      </c>
      <c r="H5" s="3"/>
      <c r="I5" s="54"/>
      <c r="J5" s="55"/>
      <c r="K5" s="55"/>
      <c r="L5" s="55"/>
      <c r="M5" s="56"/>
    </row>
    <row r="6" spans="2:13" ht="20.25" customHeight="1" x14ac:dyDescent="0.4">
      <c r="B6" s="21">
        <v>3</v>
      </c>
      <c r="C6" s="21">
        <v>10</v>
      </c>
      <c r="D6" s="21">
        <v>9</v>
      </c>
      <c r="E6" s="21">
        <f>C6-TOTAL!G6</f>
        <v>0</v>
      </c>
      <c r="F6" s="21">
        <f>D6-TOTAL!H6</f>
        <v>0</v>
      </c>
      <c r="G6" s="21" t="str">
        <f t="shared" si="0"/>
        <v>OK</v>
      </c>
      <c r="H6" s="3"/>
      <c r="I6" s="57">
        <f>COUNTIF(G4:G13,"ERROR")*1/10</f>
        <v>0.1</v>
      </c>
      <c r="J6" s="49"/>
      <c r="K6" s="49"/>
      <c r="L6" s="49"/>
      <c r="M6" s="50"/>
    </row>
    <row r="7" spans="2:13" ht="20.25" customHeight="1" x14ac:dyDescent="0.4">
      <c r="B7" s="21">
        <v>4</v>
      </c>
      <c r="C7" s="21">
        <v>9</v>
      </c>
      <c r="D7" s="21">
        <v>10</v>
      </c>
      <c r="E7" s="21">
        <f>C7-TOTAL!G7</f>
        <v>0</v>
      </c>
      <c r="F7" s="21">
        <f>D7-TOTAL!H7</f>
        <v>0</v>
      </c>
      <c r="G7" s="21" t="str">
        <f t="shared" si="0"/>
        <v>OK</v>
      </c>
      <c r="H7" s="3"/>
      <c r="I7" s="51"/>
      <c r="J7" s="52"/>
      <c r="K7" s="52"/>
      <c r="L7" s="52"/>
      <c r="M7" s="53"/>
    </row>
    <row r="8" spans="2:13" ht="20.25" customHeight="1" x14ac:dyDescent="0.4">
      <c r="B8" s="21">
        <v>5</v>
      </c>
      <c r="C8" s="23">
        <v>10</v>
      </c>
      <c r="D8" s="23">
        <v>9</v>
      </c>
      <c r="E8" s="21">
        <f>C8-TOTAL!G8</f>
        <v>1</v>
      </c>
      <c r="F8" s="21">
        <f>D8-TOTAL!H8</f>
        <v>-1</v>
      </c>
      <c r="G8" s="21" t="str">
        <f t="shared" si="0"/>
        <v>ERROR</v>
      </c>
      <c r="H8" s="3"/>
      <c r="I8" s="54"/>
      <c r="J8" s="55"/>
      <c r="K8" s="55"/>
      <c r="L8" s="55"/>
      <c r="M8" s="56"/>
    </row>
    <row r="9" spans="2:13" ht="20.25" customHeight="1" x14ac:dyDescent="0.4">
      <c r="B9" s="21">
        <v>6</v>
      </c>
      <c r="C9" s="23">
        <v>10</v>
      </c>
      <c r="D9" s="23">
        <v>9</v>
      </c>
      <c r="E9" s="21">
        <f>C9-TOTAL!G9</f>
        <v>0</v>
      </c>
      <c r="F9" s="21">
        <f>D9-TOTAL!H9</f>
        <v>0</v>
      </c>
      <c r="G9" s="21" t="str">
        <f t="shared" si="0"/>
        <v>OK</v>
      </c>
      <c r="H9" s="3"/>
    </row>
    <row r="10" spans="2:13" ht="20.25" customHeight="1" x14ac:dyDescent="0.4">
      <c r="B10" s="21">
        <v>7</v>
      </c>
      <c r="C10" s="21">
        <v>10</v>
      </c>
      <c r="D10" s="21">
        <v>9</v>
      </c>
      <c r="E10" s="21">
        <f>C10-TOTAL!G10</f>
        <v>0</v>
      </c>
      <c r="F10" s="21">
        <f>D10-TOTAL!H10</f>
        <v>0</v>
      </c>
      <c r="G10" s="21" t="str">
        <f t="shared" si="0"/>
        <v>OK</v>
      </c>
      <c r="H10" s="3"/>
      <c r="I10" s="48" t="s">
        <v>31</v>
      </c>
      <c r="J10" s="49"/>
      <c r="K10" s="49"/>
      <c r="L10" s="49"/>
      <c r="M10" s="50"/>
    </row>
    <row r="11" spans="2:13" ht="20.25" customHeight="1" x14ac:dyDescent="0.4">
      <c r="B11" s="21">
        <v>8</v>
      </c>
      <c r="C11" s="21">
        <v>10</v>
      </c>
      <c r="D11" s="21">
        <v>9</v>
      </c>
      <c r="E11" s="21">
        <f>C11-TOTAL!G11</f>
        <v>0</v>
      </c>
      <c r="F11" s="21">
        <f>D11-TOTAL!H11</f>
        <v>0</v>
      </c>
      <c r="G11" s="21" t="str">
        <f t="shared" si="0"/>
        <v>OK</v>
      </c>
      <c r="H11" s="3"/>
      <c r="I11" s="51"/>
      <c r="J11" s="52"/>
      <c r="K11" s="52"/>
      <c r="L11" s="52"/>
      <c r="M11" s="53"/>
    </row>
    <row r="12" spans="2:13" ht="20.25" customHeight="1" x14ac:dyDescent="0.4">
      <c r="B12" s="21">
        <v>9</v>
      </c>
      <c r="C12" s="21">
        <v>10</v>
      </c>
      <c r="D12" s="21">
        <v>9</v>
      </c>
      <c r="E12" s="21">
        <f>C12-TOTAL!G12</f>
        <v>0</v>
      </c>
      <c r="F12" s="21">
        <f>D12-TOTAL!H12</f>
        <v>0</v>
      </c>
      <c r="G12" s="21" t="str">
        <f t="shared" si="0"/>
        <v>OK</v>
      </c>
      <c r="H12" s="3"/>
      <c r="I12" s="54"/>
      <c r="J12" s="55"/>
      <c r="K12" s="55"/>
      <c r="L12" s="55"/>
      <c r="M12" s="56"/>
    </row>
    <row r="13" spans="2:13" ht="20.25" customHeight="1" x14ac:dyDescent="0.4">
      <c r="B13" s="21">
        <v>10</v>
      </c>
      <c r="C13" s="23">
        <v>10</v>
      </c>
      <c r="D13" s="23">
        <v>9</v>
      </c>
      <c r="E13" s="21">
        <f>C13-TOTAL!G13</f>
        <v>0</v>
      </c>
      <c r="F13" s="21">
        <f>D13-TOTAL!H13</f>
        <v>0</v>
      </c>
      <c r="G13" s="21" t="str">
        <f t="shared" si="0"/>
        <v>OK</v>
      </c>
      <c r="H13" s="3"/>
      <c r="I13" s="58">
        <v>0.1</v>
      </c>
      <c r="J13" s="49"/>
      <c r="K13" s="49"/>
      <c r="L13" s="49"/>
      <c r="M13" s="50"/>
    </row>
    <row r="14" spans="2:13" ht="20.25" customHeight="1" x14ac:dyDescent="0.4">
      <c r="B14" s="21" t="s">
        <v>3</v>
      </c>
      <c r="C14" s="21">
        <f t="shared" ref="C14:D14" si="1">SUM(C4:C13)</f>
        <v>99</v>
      </c>
      <c r="D14" s="21">
        <f t="shared" si="1"/>
        <v>91</v>
      </c>
      <c r="E14" s="21">
        <f>C14-TOTAL!G14</f>
        <v>1</v>
      </c>
      <c r="F14" s="21">
        <f>D14-TOTAL!H14</f>
        <v>-1</v>
      </c>
      <c r="G14" s="21" t="str">
        <f t="shared" si="0"/>
        <v>ERRORPELEA</v>
      </c>
      <c r="H14" s="3"/>
      <c r="I14" s="51"/>
      <c r="J14" s="52"/>
      <c r="K14" s="52"/>
      <c r="L14" s="52"/>
      <c r="M14" s="53"/>
    </row>
    <row r="15" spans="2:13" ht="20.25" customHeight="1" x14ac:dyDescent="0.4">
      <c r="B15" s="29"/>
      <c r="C15" s="29"/>
      <c r="D15" s="21" t="s">
        <v>27</v>
      </c>
      <c r="E15" s="21"/>
      <c r="F15" s="21"/>
      <c r="G15" s="21">
        <f>COUNTIF(G4:G13,"error")</f>
        <v>1</v>
      </c>
      <c r="I15" s="54"/>
      <c r="J15" s="55"/>
      <c r="K15" s="55"/>
      <c r="L15" s="55"/>
      <c r="M15" s="56"/>
    </row>
    <row r="16" spans="2:13" ht="12.75" customHeight="1" x14ac:dyDescent="0.25">
      <c r="D16" s="3"/>
      <c r="E16" s="3"/>
      <c r="F16" s="3"/>
    </row>
    <row r="17" spans="4:6" ht="12.75" customHeight="1" x14ac:dyDescent="0.25">
      <c r="D17" s="3"/>
      <c r="E17" s="3"/>
      <c r="F17" s="3"/>
    </row>
    <row r="18" spans="4:6" ht="12.75" customHeight="1" x14ac:dyDescent="0.25">
      <c r="D18" s="3"/>
      <c r="E18" s="3"/>
      <c r="F18" s="3"/>
    </row>
    <row r="19" spans="4:6" ht="12.75" customHeight="1" x14ac:dyDescent="0.25">
      <c r="D19" s="3"/>
      <c r="E19" s="3"/>
      <c r="F19" s="3"/>
    </row>
    <row r="20" spans="4:6" ht="12.75" customHeight="1" x14ac:dyDescent="0.25">
      <c r="D20" s="3"/>
      <c r="E20" s="3"/>
      <c r="F20" s="3"/>
    </row>
    <row r="21" spans="4:6" ht="12.75" customHeight="1" x14ac:dyDescent="0.25">
      <c r="D21" s="3"/>
      <c r="E21" s="3"/>
      <c r="F21" s="3"/>
    </row>
    <row r="22" spans="4:6" ht="12.75" customHeight="1" x14ac:dyDescent="0.25">
      <c r="D22" s="3"/>
      <c r="E22" s="3"/>
      <c r="F22" s="3"/>
    </row>
    <row r="23" spans="4:6" ht="12.75" customHeight="1" x14ac:dyDescent="0.25">
      <c r="D23" s="3"/>
      <c r="E23" s="3"/>
      <c r="F23" s="3"/>
    </row>
    <row r="24" spans="4:6" ht="12.75" customHeight="1" x14ac:dyDescent="0.25">
      <c r="D24" s="3"/>
      <c r="E24" s="3"/>
      <c r="F24" s="3"/>
    </row>
    <row r="25" spans="4:6" ht="12.75" customHeight="1" x14ac:dyDescent="0.25">
      <c r="D25" s="3"/>
      <c r="E25" s="3"/>
      <c r="F25" s="3"/>
    </row>
    <row r="26" spans="4:6" ht="12.75" customHeight="1" x14ac:dyDescent="0.25">
      <c r="D26" s="3"/>
      <c r="E26" s="3"/>
      <c r="F26" s="3"/>
    </row>
    <row r="27" spans="4:6" ht="12.75" customHeight="1" x14ac:dyDescent="0.25">
      <c r="D27" s="3"/>
      <c r="E27" s="3"/>
      <c r="F27" s="3"/>
    </row>
    <row r="28" spans="4:6" ht="12.75" customHeight="1" x14ac:dyDescent="0.25">
      <c r="D28" s="3"/>
      <c r="E28" s="3"/>
      <c r="F28" s="3"/>
    </row>
    <row r="29" spans="4:6" ht="12.75" customHeight="1" x14ac:dyDescent="0.25">
      <c r="D29" s="3"/>
      <c r="E29" s="3"/>
      <c r="F29" s="3"/>
    </row>
    <row r="30" spans="4:6" ht="12.75" customHeight="1" x14ac:dyDescent="0.25">
      <c r="D30" s="3"/>
      <c r="E30" s="3"/>
      <c r="F30" s="3"/>
    </row>
    <row r="31" spans="4:6" ht="12.75" customHeight="1" x14ac:dyDescent="0.25">
      <c r="D31" s="3"/>
      <c r="E31" s="3"/>
      <c r="F31" s="3"/>
    </row>
    <row r="32" spans="4:6" ht="12.75" customHeight="1" x14ac:dyDescent="0.25">
      <c r="D32" s="3"/>
      <c r="E32" s="3"/>
      <c r="F32" s="3"/>
    </row>
    <row r="33" spans="4:6" ht="12.75" customHeight="1" x14ac:dyDescent="0.25">
      <c r="D33" s="3"/>
      <c r="E33" s="3"/>
      <c r="F33" s="3"/>
    </row>
    <row r="34" spans="4:6" ht="12.75" customHeight="1" x14ac:dyDescent="0.25">
      <c r="D34" s="3"/>
      <c r="E34" s="3"/>
      <c r="F34" s="3"/>
    </row>
    <row r="35" spans="4:6" ht="12.75" customHeight="1" x14ac:dyDescent="0.25">
      <c r="D35" s="3"/>
      <c r="E35" s="3"/>
      <c r="F35" s="3"/>
    </row>
    <row r="36" spans="4:6" ht="12.75" customHeight="1" x14ac:dyDescent="0.25">
      <c r="D36" s="3"/>
      <c r="E36" s="3"/>
      <c r="F36" s="3"/>
    </row>
    <row r="37" spans="4:6" ht="12.75" customHeight="1" x14ac:dyDescent="0.25">
      <c r="D37" s="3"/>
      <c r="E37" s="3"/>
      <c r="F37" s="3"/>
    </row>
    <row r="38" spans="4:6" ht="12.75" customHeight="1" x14ac:dyDescent="0.25">
      <c r="D38" s="3"/>
      <c r="E38" s="3"/>
      <c r="F38" s="3"/>
    </row>
    <row r="39" spans="4:6" ht="12.75" customHeight="1" x14ac:dyDescent="0.25">
      <c r="D39" s="3"/>
      <c r="E39" s="3"/>
      <c r="F39" s="3"/>
    </row>
    <row r="40" spans="4:6" ht="12.75" customHeight="1" x14ac:dyDescent="0.25">
      <c r="D40" s="3"/>
      <c r="E40" s="3"/>
      <c r="F40" s="3"/>
    </row>
    <row r="41" spans="4:6" ht="12.75" customHeight="1" x14ac:dyDescent="0.25">
      <c r="D41" s="3"/>
      <c r="E41" s="3"/>
      <c r="F41" s="3"/>
    </row>
    <row r="42" spans="4:6" ht="12.75" customHeight="1" x14ac:dyDescent="0.25">
      <c r="D42" s="3"/>
      <c r="E42" s="3"/>
      <c r="F42" s="3"/>
    </row>
    <row r="43" spans="4:6" ht="12.75" customHeight="1" x14ac:dyDescent="0.25">
      <c r="D43" s="3"/>
      <c r="E43" s="3"/>
      <c r="F43" s="3"/>
    </row>
    <row r="44" spans="4:6" ht="12.75" customHeight="1" x14ac:dyDescent="0.25">
      <c r="D44" s="3"/>
      <c r="E44" s="3"/>
      <c r="F44" s="3"/>
    </row>
    <row r="45" spans="4:6" ht="12.75" customHeight="1" x14ac:dyDescent="0.25">
      <c r="D45" s="3"/>
      <c r="E45" s="3"/>
      <c r="F45" s="3"/>
    </row>
    <row r="46" spans="4:6" ht="12.75" customHeight="1" x14ac:dyDescent="0.25">
      <c r="D46" s="3"/>
      <c r="E46" s="3"/>
      <c r="F46" s="3"/>
    </row>
    <row r="47" spans="4:6" ht="12.75" customHeight="1" x14ac:dyDescent="0.25">
      <c r="D47" s="3"/>
      <c r="E47" s="3"/>
      <c r="F47" s="3"/>
    </row>
    <row r="48" spans="4:6" ht="12.75" customHeight="1" x14ac:dyDescent="0.25">
      <c r="D48" s="3"/>
      <c r="E48" s="3"/>
      <c r="F48" s="3"/>
    </row>
    <row r="49" spans="4:6" ht="12.75" customHeight="1" x14ac:dyDescent="0.25">
      <c r="D49" s="3"/>
      <c r="E49" s="3"/>
      <c r="F49" s="3"/>
    </row>
    <row r="50" spans="4:6" ht="12.75" customHeight="1" x14ac:dyDescent="0.25">
      <c r="D50" s="3"/>
      <c r="E50" s="3"/>
      <c r="F50" s="3"/>
    </row>
    <row r="51" spans="4:6" ht="12.75" customHeight="1" x14ac:dyDescent="0.25">
      <c r="D51" s="3"/>
      <c r="E51" s="3"/>
      <c r="F51" s="3"/>
    </row>
    <row r="52" spans="4:6" ht="12.75" customHeight="1" x14ac:dyDescent="0.25">
      <c r="D52" s="3"/>
      <c r="E52" s="3"/>
      <c r="F52" s="3"/>
    </row>
    <row r="53" spans="4:6" ht="12.75" customHeight="1" x14ac:dyDescent="0.25">
      <c r="D53" s="3"/>
      <c r="E53" s="3"/>
      <c r="F53" s="3"/>
    </row>
    <row r="54" spans="4:6" ht="12.75" customHeight="1" x14ac:dyDescent="0.25">
      <c r="D54" s="3"/>
      <c r="E54" s="3"/>
      <c r="F54" s="3"/>
    </row>
    <row r="55" spans="4:6" ht="12.75" customHeight="1" x14ac:dyDescent="0.25">
      <c r="D55" s="3"/>
      <c r="E55" s="3"/>
      <c r="F55" s="3"/>
    </row>
    <row r="56" spans="4:6" ht="12.75" customHeight="1" x14ac:dyDescent="0.25">
      <c r="D56" s="3"/>
      <c r="E56" s="3"/>
      <c r="F56" s="3"/>
    </row>
    <row r="57" spans="4:6" ht="12.75" customHeight="1" x14ac:dyDescent="0.25">
      <c r="D57" s="3"/>
      <c r="E57" s="3"/>
      <c r="F57" s="3"/>
    </row>
    <row r="58" spans="4:6" ht="12.75" customHeight="1" x14ac:dyDescent="0.25">
      <c r="D58" s="3"/>
      <c r="E58" s="3"/>
      <c r="F58" s="3"/>
    </row>
    <row r="59" spans="4:6" ht="12.75" customHeight="1" x14ac:dyDescent="0.25">
      <c r="D59" s="3"/>
      <c r="E59" s="3"/>
      <c r="F59" s="3"/>
    </row>
    <row r="60" spans="4:6" ht="12.75" customHeight="1" x14ac:dyDescent="0.25">
      <c r="D60" s="3"/>
      <c r="E60" s="3"/>
      <c r="F60" s="3"/>
    </row>
    <row r="61" spans="4:6" ht="12.75" customHeight="1" x14ac:dyDescent="0.25">
      <c r="D61" s="3"/>
      <c r="E61" s="3"/>
      <c r="F61" s="3"/>
    </row>
    <row r="62" spans="4:6" ht="12.75" customHeight="1" x14ac:dyDescent="0.25">
      <c r="D62" s="3"/>
      <c r="E62" s="3"/>
      <c r="F62" s="3"/>
    </row>
    <row r="63" spans="4:6" ht="12.75" customHeight="1" x14ac:dyDescent="0.25">
      <c r="D63" s="3"/>
      <c r="E63" s="3"/>
      <c r="F63" s="3"/>
    </row>
    <row r="64" spans="4:6" ht="12.75" customHeight="1" x14ac:dyDescent="0.25">
      <c r="D64" s="3"/>
      <c r="E64" s="3"/>
      <c r="F64" s="3"/>
    </row>
    <row r="65" spans="4:6" ht="12.75" customHeight="1" x14ac:dyDescent="0.25">
      <c r="D65" s="3"/>
      <c r="E65" s="3"/>
      <c r="F65" s="3"/>
    </row>
    <row r="66" spans="4:6" ht="12.75" customHeight="1" x14ac:dyDescent="0.25">
      <c r="D66" s="3"/>
      <c r="E66" s="3"/>
      <c r="F66" s="3"/>
    </row>
    <row r="67" spans="4:6" ht="12.75" customHeight="1" x14ac:dyDescent="0.25">
      <c r="D67" s="3"/>
      <c r="E67" s="3"/>
      <c r="F67" s="3"/>
    </row>
    <row r="68" spans="4:6" ht="12.75" customHeight="1" x14ac:dyDescent="0.25">
      <c r="D68" s="3"/>
      <c r="E68" s="3"/>
      <c r="F68" s="3"/>
    </row>
    <row r="69" spans="4:6" ht="12.75" customHeight="1" x14ac:dyDescent="0.25">
      <c r="D69" s="3"/>
      <c r="E69" s="3"/>
      <c r="F69" s="3"/>
    </row>
    <row r="70" spans="4:6" ht="12.75" customHeight="1" x14ac:dyDescent="0.25">
      <c r="D70" s="3"/>
      <c r="E70" s="3"/>
      <c r="F70" s="3"/>
    </row>
    <row r="71" spans="4:6" ht="12.75" customHeight="1" x14ac:dyDescent="0.25">
      <c r="D71" s="3"/>
      <c r="E71" s="3"/>
      <c r="F71" s="3"/>
    </row>
    <row r="72" spans="4:6" ht="12.75" customHeight="1" x14ac:dyDescent="0.25">
      <c r="D72" s="3"/>
      <c r="E72" s="3"/>
      <c r="F72" s="3"/>
    </row>
    <row r="73" spans="4:6" ht="12.75" customHeight="1" x14ac:dyDescent="0.25">
      <c r="D73" s="3"/>
      <c r="E73" s="3"/>
      <c r="F73" s="3"/>
    </row>
    <row r="74" spans="4:6" ht="12.75" customHeight="1" x14ac:dyDescent="0.25">
      <c r="D74" s="3"/>
      <c r="E74" s="3"/>
      <c r="F74" s="3"/>
    </row>
    <row r="75" spans="4:6" ht="12.75" customHeight="1" x14ac:dyDescent="0.25">
      <c r="D75" s="3"/>
      <c r="E75" s="3"/>
      <c r="F75" s="3"/>
    </row>
    <row r="76" spans="4:6" ht="12.75" customHeight="1" x14ac:dyDescent="0.25">
      <c r="D76" s="3"/>
      <c r="E76" s="3"/>
      <c r="F76" s="3"/>
    </row>
    <row r="77" spans="4:6" ht="12.75" customHeight="1" x14ac:dyDescent="0.25">
      <c r="D77" s="3"/>
      <c r="E77" s="3"/>
      <c r="F77" s="3"/>
    </row>
    <row r="78" spans="4:6" ht="12.75" customHeight="1" x14ac:dyDescent="0.25">
      <c r="D78" s="3"/>
      <c r="E78" s="3"/>
      <c r="F78" s="3"/>
    </row>
    <row r="79" spans="4:6" ht="12.75" customHeight="1" x14ac:dyDescent="0.25">
      <c r="D79" s="3"/>
      <c r="E79" s="3"/>
      <c r="F79" s="3"/>
    </row>
    <row r="80" spans="4:6" ht="12.75" customHeight="1" x14ac:dyDescent="0.25">
      <c r="D80" s="3"/>
      <c r="E80" s="3"/>
      <c r="F80" s="3"/>
    </row>
    <row r="81" spans="4:6" ht="12.75" customHeight="1" x14ac:dyDescent="0.25">
      <c r="D81" s="3"/>
      <c r="E81" s="3"/>
      <c r="F81" s="3"/>
    </row>
    <row r="82" spans="4:6" ht="12.75" customHeight="1" x14ac:dyDescent="0.25">
      <c r="D82" s="3"/>
      <c r="E82" s="3"/>
      <c r="F82" s="3"/>
    </row>
    <row r="83" spans="4:6" ht="12.75" customHeight="1" x14ac:dyDescent="0.25">
      <c r="D83" s="3"/>
      <c r="E83" s="3"/>
      <c r="F83" s="3"/>
    </row>
    <row r="84" spans="4:6" ht="12.75" customHeight="1" x14ac:dyDescent="0.25">
      <c r="D84" s="3"/>
      <c r="E84" s="3"/>
      <c r="F84" s="3"/>
    </row>
    <row r="85" spans="4:6" ht="12.75" customHeight="1" x14ac:dyDescent="0.25">
      <c r="D85" s="3"/>
      <c r="E85" s="3"/>
      <c r="F85" s="3"/>
    </row>
    <row r="86" spans="4:6" ht="12.75" customHeight="1" x14ac:dyDescent="0.25">
      <c r="D86" s="3"/>
      <c r="E86" s="3"/>
      <c r="F86" s="3"/>
    </row>
    <row r="87" spans="4:6" ht="12.75" customHeight="1" x14ac:dyDescent="0.25">
      <c r="D87" s="3"/>
      <c r="E87" s="3"/>
      <c r="F87" s="3"/>
    </row>
    <row r="88" spans="4:6" ht="12.75" customHeight="1" x14ac:dyDescent="0.25">
      <c r="D88" s="3"/>
      <c r="E88" s="3"/>
      <c r="F88" s="3"/>
    </row>
    <row r="89" spans="4:6" ht="12.75" customHeight="1" x14ac:dyDescent="0.25">
      <c r="D89" s="3"/>
      <c r="E89" s="3"/>
      <c r="F89" s="3"/>
    </row>
    <row r="90" spans="4:6" ht="12.75" customHeight="1" x14ac:dyDescent="0.25">
      <c r="D90" s="3"/>
      <c r="E90" s="3"/>
      <c r="F90" s="3"/>
    </row>
    <row r="91" spans="4:6" ht="12.75" customHeight="1" x14ac:dyDescent="0.25">
      <c r="D91" s="3"/>
      <c r="E91" s="3"/>
      <c r="F91" s="3"/>
    </row>
    <row r="92" spans="4:6" ht="12.75" customHeight="1" x14ac:dyDescent="0.25">
      <c r="D92" s="3"/>
      <c r="E92" s="3"/>
      <c r="F92" s="3"/>
    </row>
    <row r="93" spans="4:6" ht="12.75" customHeight="1" x14ac:dyDescent="0.25">
      <c r="D93" s="3"/>
      <c r="E93" s="3"/>
      <c r="F93" s="3"/>
    </row>
    <row r="94" spans="4:6" ht="12.75" customHeight="1" x14ac:dyDescent="0.25">
      <c r="D94" s="3"/>
      <c r="E94" s="3"/>
      <c r="F94" s="3"/>
    </row>
    <row r="95" spans="4:6" ht="12.75" customHeight="1" x14ac:dyDescent="0.25">
      <c r="D95" s="3"/>
      <c r="E95" s="3"/>
      <c r="F95" s="3"/>
    </row>
    <row r="96" spans="4:6" ht="12.75" customHeight="1" x14ac:dyDescent="0.25">
      <c r="D96" s="3"/>
      <c r="E96" s="3"/>
      <c r="F96" s="3"/>
    </row>
    <row r="97" spans="4:6" ht="12.75" customHeight="1" x14ac:dyDescent="0.25">
      <c r="D97" s="3"/>
      <c r="E97" s="3"/>
      <c r="F97" s="3"/>
    </row>
    <row r="98" spans="4:6" ht="12.75" customHeight="1" x14ac:dyDescent="0.25">
      <c r="D98" s="3"/>
      <c r="E98" s="3"/>
      <c r="F98" s="3"/>
    </row>
    <row r="99" spans="4:6" ht="12.75" customHeight="1" x14ac:dyDescent="0.25">
      <c r="D99" s="3"/>
      <c r="E99" s="3"/>
      <c r="F99" s="3"/>
    </row>
    <row r="100" spans="4:6" ht="12.75" customHeight="1" x14ac:dyDescent="0.25">
      <c r="D100" s="3"/>
      <c r="E100" s="3"/>
      <c r="F100" s="3"/>
    </row>
    <row r="101" spans="4:6" ht="12.75" customHeight="1" x14ac:dyDescent="0.25">
      <c r="D101" s="3"/>
      <c r="E101" s="3"/>
      <c r="F101" s="3"/>
    </row>
    <row r="102" spans="4:6" ht="12.75" customHeight="1" x14ac:dyDescent="0.25">
      <c r="D102" s="3"/>
      <c r="E102" s="3"/>
      <c r="F102" s="3"/>
    </row>
    <row r="103" spans="4:6" ht="12.75" customHeight="1" x14ac:dyDescent="0.25">
      <c r="D103" s="3"/>
      <c r="E103" s="3"/>
      <c r="F103" s="3"/>
    </row>
    <row r="104" spans="4:6" ht="12.75" customHeight="1" x14ac:dyDescent="0.25">
      <c r="D104" s="3"/>
      <c r="E104" s="3"/>
      <c r="F104" s="3"/>
    </row>
    <row r="105" spans="4:6" ht="12.75" customHeight="1" x14ac:dyDescent="0.25">
      <c r="D105" s="3"/>
      <c r="E105" s="3"/>
      <c r="F105" s="3"/>
    </row>
    <row r="106" spans="4:6" ht="12.75" customHeight="1" x14ac:dyDescent="0.25">
      <c r="D106" s="3"/>
      <c r="E106" s="3"/>
      <c r="F106" s="3"/>
    </row>
    <row r="107" spans="4:6" ht="12.75" customHeight="1" x14ac:dyDescent="0.25">
      <c r="D107" s="3"/>
      <c r="E107" s="3"/>
      <c r="F107" s="3"/>
    </row>
    <row r="108" spans="4:6" ht="12.75" customHeight="1" x14ac:dyDescent="0.25">
      <c r="D108" s="3"/>
      <c r="E108" s="3"/>
      <c r="F108" s="3"/>
    </row>
    <row r="109" spans="4:6" ht="12.75" customHeight="1" x14ac:dyDescent="0.25">
      <c r="D109" s="3"/>
      <c r="E109" s="3"/>
      <c r="F109" s="3"/>
    </row>
    <row r="110" spans="4:6" ht="12.75" customHeight="1" x14ac:dyDescent="0.25">
      <c r="D110" s="3"/>
      <c r="E110" s="3"/>
      <c r="F110" s="3"/>
    </row>
    <row r="111" spans="4:6" ht="12.75" customHeight="1" x14ac:dyDescent="0.25">
      <c r="D111" s="3"/>
      <c r="E111" s="3"/>
      <c r="F111" s="3"/>
    </row>
    <row r="112" spans="4:6" ht="12.75" customHeight="1" x14ac:dyDescent="0.25">
      <c r="D112" s="3"/>
      <c r="E112" s="3"/>
      <c r="F112" s="3"/>
    </row>
    <row r="113" spans="4:6" ht="12.75" customHeight="1" x14ac:dyDescent="0.25">
      <c r="D113" s="3"/>
      <c r="E113" s="3"/>
      <c r="F113" s="3"/>
    </row>
    <row r="114" spans="4:6" ht="12.75" customHeight="1" x14ac:dyDescent="0.25">
      <c r="D114" s="3"/>
      <c r="E114" s="3"/>
      <c r="F114" s="3"/>
    </row>
    <row r="115" spans="4:6" ht="12.75" customHeight="1" x14ac:dyDescent="0.25">
      <c r="D115" s="3"/>
      <c r="E115" s="3"/>
      <c r="F115" s="3"/>
    </row>
    <row r="116" spans="4:6" ht="12.75" customHeight="1" x14ac:dyDescent="0.25">
      <c r="D116" s="3"/>
      <c r="E116" s="3"/>
      <c r="F116" s="3"/>
    </row>
    <row r="117" spans="4:6" ht="12.75" customHeight="1" x14ac:dyDescent="0.25">
      <c r="D117" s="3"/>
      <c r="E117" s="3"/>
      <c r="F117" s="3"/>
    </row>
    <row r="118" spans="4:6" ht="12.75" customHeight="1" x14ac:dyDescent="0.25">
      <c r="D118" s="3"/>
      <c r="E118" s="3"/>
      <c r="F118" s="3"/>
    </row>
    <row r="119" spans="4:6" ht="12.75" customHeight="1" x14ac:dyDescent="0.25">
      <c r="D119" s="3"/>
      <c r="E119" s="3"/>
      <c r="F119" s="3"/>
    </row>
    <row r="120" spans="4:6" ht="12.75" customHeight="1" x14ac:dyDescent="0.25">
      <c r="D120" s="3"/>
      <c r="E120" s="3"/>
      <c r="F120" s="3"/>
    </row>
    <row r="121" spans="4:6" ht="12.75" customHeight="1" x14ac:dyDescent="0.25">
      <c r="D121" s="3"/>
      <c r="E121" s="3"/>
      <c r="F121" s="3"/>
    </row>
    <row r="122" spans="4:6" ht="12.75" customHeight="1" x14ac:dyDescent="0.25">
      <c r="D122" s="3"/>
      <c r="E122" s="3"/>
      <c r="F122" s="3"/>
    </row>
    <row r="123" spans="4:6" ht="12.75" customHeight="1" x14ac:dyDescent="0.25">
      <c r="D123" s="3"/>
      <c r="E123" s="3"/>
      <c r="F123" s="3"/>
    </row>
    <row r="124" spans="4:6" ht="12.75" customHeight="1" x14ac:dyDescent="0.25">
      <c r="D124" s="3"/>
      <c r="E124" s="3"/>
      <c r="F124" s="3"/>
    </row>
    <row r="125" spans="4:6" ht="12.75" customHeight="1" x14ac:dyDescent="0.25">
      <c r="D125" s="3"/>
      <c r="E125" s="3"/>
      <c r="F125" s="3"/>
    </row>
    <row r="126" spans="4:6" ht="12.75" customHeight="1" x14ac:dyDescent="0.25">
      <c r="D126" s="3"/>
      <c r="E126" s="3"/>
      <c r="F126" s="3"/>
    </row>
    <row r="127" spans="4:6" ht="12.75" customHeight="1" x14ac:dyDescent="0.25">
      <c r="D127" s="3"/>
      <c r="E127" s="3"/>
      <c r="F127" s="3"/>
    </row>
    <row r="128" spans="4:6" ht="12.75" customHeight="1" x14ac:dyDescent="0.25">
      <c r="D128" s="3"/>
      <c r="E128" s="3"/>
      <c r="F128" s="3"/>
    </row>
    <row r="129" spans="4:6" ht="12.75" customHeight="1" x14ac:dyDescent="0.25">
      <c r="D129" s="3"/>
      <c r="E129" s="3"/>
      <c r="F129" s="3"/>
    </row>
    <row r="130" spans="4:6" ht="12.75" customHeight="1" x14ac:dyDescent="0.25">
      <c r="D130" s="3"/>
      <c r="E130" s="3"/>
      <c r="F130" s="3"/>
    </row>
    <row r="131" spans="4:6" ht="12.75" customHeight="1" x14ac:dyDescent="0.25">
      <c r="D131" s="3"/>
      <c r="E131" s="3"/>
      <c r="F131" s="3"/>
    </row>
    <row r="132" spans="4:6" ht="12.75" customHeight="1" x14ac:dyDescent="0.25">
      <c r="D132" s="3"/>
      <c r="E132" s="3"/>
      <c r="F132" s="3"/>
    </row>
    <row r="133" spans="4:6" ht="12.75" customHeight="1" x14ac:dyDescent="0.25">
      <c r="D133" s="3"/>
      <c r="E133" s="3"/>
      <c r="F133" s="3"/>
    </row>
    <row r="134" spans="4:6" ht="12.75" customHeight="1" x14ac:dyDescent="0.25">
      <c r="D134" s="3"/>
      <c r="E134" s="3"/>
      <c r="F134" s="3"/>
    </row>
    <row r="135" spans="4:6" ht="12.75" customHeight="1" x14ac:dyDescent="0.25">
      <c r="D135" s="3"/>
      <c r="E135" s="3"/>
      <c r="F135" s="3"/>
    </row>
    <row r="136" spans="4:6" ht="12.75" customHeight="1" x14ac:dyDescent="0.25">
      <c r="D136" s="3"/>
      <c r="E136" s="3"/>
      <c r="F136" s="3"/>
    </row>
    <row r="137" spans="4:6" ht="12.75" customHeight="1" x14ac:dyDescent="0.25">
      <c r="D137" s="3"/>
      <c r="E137" s="3"/>
      <c r="F137" s="3"/>
    </row>
    <row r="138" spans="4:6" ht="12.75" customHeight="1" x14ac:dyDescent="0.25">
      <c r="D138" s="3"/>
      <c r="E138" s="3"/>
      <c r="F138" s="3"/>
    </row>
    <row r="139" spans="4:6" ht="12.75" customHeight="1" x14ac:dyDescent="0.25">
      <c r="D139" s="3"/>
      <c r="E139" s="3"/>
      <c r="F139" s="3"/>
    </row>
    <row r="140" spans="4:6" ht="12.75" customHeight="1" x14ac:dyDescent="0.25">
      <c r="D140" s="3"/>
      <c r="E140" s="3"/>
      <c r="F140" s="3"/>
    </row>
    <row r="141" spans="4:6" ht="12.75" customHeight="1" x14ac:dyDescent="0.25">
      <c r="D141" s="3"/>
      <c r="E141" s="3"/>
      <c r="F141" s="3"/>
    </row>
    <row r="142" spans="4:6" ht="12.75" customHeight="1" x14ac:dyDescent="0.25">
      <c r="D142" s="3"/>
      <c r="E142" s="3"/>
      <c r="F142" s="3"/>
    </row>
    <row r="143" spans="4:6" ht="12.75" customHeight="1" x14ac:dyDescent="0.25">
      <c r="D143" s="3"/>
      <c r="E143" s="3"/>
      <c r="F143" s="3"/>
    </row>
    <row r="144" spans="4:6" ht="12.75" customHeight="1" x14ac:dyDescent="0.25">
      <c r="D144" s="3"/>
      <c r="E144" s="3"/>
      <c r="F144" s="3"/>
    </row>
    <row r="145" spans="4:6" ht="12.75" customHeight="1" x14ac:dyDescent="0.25">
      <c r="D145" s="3"/>
      <c r="E145" s="3"/>
      <c r="F145" s="3"/>
    </row>
    <row r="146" spans="4:6" ht="12.75" customHeight="1" x14ac:dyDescent="0.25">
      <c r="D146" s="3"/>
      <c r="E146" s="3"/>
      <c r="F146" s="3"/>
    </row>
    <row r="147" spans="4:6" ht="12.75" customHeight="1" x14ac:dyDescent="0.25">
      <c r="D147" s="3"/>
      <c r="E147" s="3"/>
      <c r="F147" s="3"/>
    </row>
    <row r="148" spans="4:6" ht="12.75" customHeight="1" x14ac:dyDescent="0.25">
      <c r="D148" s="3"/>
      <c r="E148" s="3"/>
      <c r="F148" s="3"/>
    </row>
    <row r="149" spans="4:6" ht="12.75" customHeight="1" x14ac:dyDescent="0.25">
      <c r="D149" s="3"/>
      <c r="E149" s="3"/>
      <c r="F149" s="3"/>
    </row>
    <row r="150" spans="4:6" ht="12.75" customHeight="1" x14ac:dyDescent="0.25">
      <c r="D150" s="3"/>
      <c r="E150" s="3"/>
      <c r="F150" s="3"/>
    </row>
    <row r="151" spans="4:6" ht="12.75" customHeight="1" x14ac:dyDescent="0.25">
      <c r="D151" s="3"/>
      <c r="E151" s="3"/>
      <c r="F151" s="3"/>
    </row>
    <row r="152" spans="4:6" ht="12.75" customHeight="1" x14ac:dyDescent="0.25">
      <c r="D152" s="3"/>
      <c r="E152" s="3"/>
      <c r="F152" s="3"/>
    </row>
    <row r="153" spans="4:6" ht="12.75" customHeight="1" x14ac:dyDescent="0.25">
      <c r="D153" s="3"/>
      <c r="E153" s="3"/>
      <c r="F153" s="3"/>
    </row>
    <row r="154" spans="4:6" ht="12.75" customHeight="1" x14ac:dyDescent="0.25">
      <c r="D154" s="3"/>
      <c r="E154" s="3"/>
      <c r="F154" s="3"/>
    </row>
    <row r="155" spans="4:6" ht="12.75" customHeight="1" x14ac:dyDescent="0.25">
      <c r="D155" s="3"/>
      <c r="E155" s="3"/>
      <c r="F155" s="3"/>
    </row>
    <row r="156" spans="4:6" ht="12.75" customHeight="1" x14ac:dyDescent="0.25">
      <c r="D156" s="3"/>
      <c r="E156" s="3"/>
      <c r="F156" s="3"/>
    </row>
    <row r="157" spans="4:6" ht="12.75" customHeight="1" x14ac:dyDescent="0.25">
      <c r="D157" s="3"/>
      <c r="E157" s="3"/>
      <c r="F157" s="3"/>
    </row>
    <row r="158" spans="4:6" ht="12.75" customHeight="1" x14ac:dyDescent="0.25">
      <c r="D158" s="3"/>
      <c r="E158" s="3"/>
      <c r="F158" s="3"/>
    </row>
    <row r="159" spans="4:6" ht="12.75" customHeight="1" x14ac:dyDescent="0.25">
      <c r="D159" s="3"/>
      <c r="E159" s="3"/>
      <c r="F159" s="3"/>
    </row>
    <row r="160" spans="4:6" ht="12.75" customHeight="1" x14ac:dyDescent="0.25">
      <c r="D160" s="3"/>
      <c r="E160" s="3"/>
      <c r="F160" s="3"/>
    </row>
    <row r="161" spans="4:6" ht="12.75" customHeight="1" x14ac:dyDescent="0.25">
      <c r="D161" s="3"/>
      <c r="E161" s="3"/>
      <c r="F161" s="3"/>
    </row>
    <row r="162" spans="4:6" ht="12.75" customHeight="1" x14ac:dyDescent="0.25">
      <c r="D162" s="3"/>
      <c r="E162" s="3"/>
      <c r="F162" s="3"/>
    </row>
    <row r="163" spans="4:6" ht="12.75" customHeight="1" x14ac:dyDescent="0.25">
      <c r="D163" s="3"/>
      <c r="E163" s="3"/>
      <c r="F163" s="3"/>
    </row>
    <row r="164" spans="4:6" ht="12.75" customHeight="1" x14ac:dyDescent="0.25">
      <c r="D164" s="3"/>
      <c r="E164" s="3"/>
      <c r="F164" s="3"/>
    </row>
    <row r="165" spans="4:6" ht="12.75" customHeight="1" x14ac:dyDescent="0.25">
      <c r="D165" s="3"/>
      <c r="E165" s="3"/>
      <c r="F165" s="3"/>
    </row>
    <row r="166" spans="4:6" ht="12.75" customHeight="1" x14ac:dyDescent="0.25">
      <c r="D166" s="3"/>
      <c r="E166" s="3"/>
      <c r="F166" s="3"/>
    </row>
    <row r="167" spans="4:6" ht="12.75" customHeight="1" x14ac:dyDescent="0.25">
      <c r="D167" s="3"/>
      <c r="E167" s="3"/>
      <c r="F167" s="3"/>
    </row>
    <row r="168" spans="4:6" ht="12.75" customHeight="1" x14ac:dyDescent="0.25">
      <c r="D168" s="3"/>
      <c r="E168" s="3"/>
      <c r="F168" s="3"/>
    </row>
    <row r="169" spans="4:6" ht="12.75" customHeight="1" x14ac:dyDescent="0.25">
      <c r="D169" s="3"/>
      <c r="E169" s="3"/>
      <c r="F169" s="3"/>
    </row>
    <row r="170" spans="4:6" ht="12.75" customHeight="1" x14ac:dyDescent="0.25">
      <c r="D170" s="3"/>
      <c r="E170" s="3"/>
      <c r="F170" s="3"/>
    </row>
    <row r="171" spans="4:6" ht="12.75" customHeight="1" x14ac:dyDescent="0.25">
      <c r="D171" s="3"/>
      <c r="E171" s="3"/>
      <c r="F171" s="3"/>
    </row>
    <row r="172" spans="4:6" ht="12.75" customHeight="1" x14ac:dyDescent="0.25">
      <c r="D172" s="3"/>
      <c r="E172" s="3"/>
      <c r="F172" s="3"/>
    </row>
    <row r="173" spans="4:6" ht="12.75" customHeight="1" x14ac:dyDescent="0.25">
      <c r="D173" s="3"/>
      <c r="E173" s="3"/>
      <c r="F173" s="3"/>
    </row>
    <row r="174" spans="4:6" ht="12.75" customHeight="1" x14ac:dyDescent="0.25">
      <c r="D174" s="3"/>
      <c r="E174" s="3"/>
      <c r="F174" s="3"/>
    </row>
    <row r="175" spans="4:6" ht="12.75" customHeight="1" x14ac:dyDescent="0.25">
      <c r="D175" s="3"/>
      <c r="E175" s="3"/>
      <c r="F175" s="3"/>
    </row>
    <row r="176" spans="4:6" ht="12.75" customHeight="1" x14ac:dyDescent="0.25">
      <c r="D176" s="3"/>
      <c r="E176" s="3"/>
      <c r="F176" s="3"/>
    </row>
    <row r="177" spans="4:6" ht="12.75" customHeight="1" x14ac:dyDescent="0.25">
      <c r="D177" s="3"/>
      <c r="E177" s="3"/>
      <c r="F177" s="3"/>
    </row>
    <row r="178" spans="4:6" ht="12.75" customHeight="1" x14ac:dyDescent="0.25">
      <c r="D178" s="3"/>
      <c r="E178" s="3"/>
      <c r="F178" s="3"/>
    </row>
    <row r="179" spans="4:6" ht="12.75" customHeight="1" x14ac:dyDescent="0.25">
      <c r="D179" s="3"/>
      <c r="E179" s="3"/>
      <c r="F179" s="3"/>
    </row>
    <row r="180" spans="4:6" ht="12.75" customHeight="1" x14ac:dyDescent="0.25">
      <c r="D180" s="3"/>
      <c r="E180" s="3"/>
      <c r="F180" s="3"/>
    </row>
    <row r="181" spans="4:6" ht="12.75" customHeight="1" x14ac:dyDescent="0.25">
      <c r="D181" s="3"/>
      <c r="E181" s="3"/>
      <c r="F181" s="3"/>
    </row>
    <row r="182" spans="4:6" ht="12.75" customHeight="1" x14ac:dyDescent="0.25">
      <c r="D182" s="3"/>
      <c r="E182" s="3"/>
      <c r="F182" s="3"/>
    </row>
    <row r="183" spans="4:6" ht="12.75" customHeight="1" x14ac:dyDescent="0.25">
      <c r="D183" s="3"/>
      <c r="E183" s="3"/>
      <c r="F183" s="3"/>
    </row>
    <row r="184" spans="4:6" ht="12.75" customHeight="1" x14ac:dyDescent="0.25">
      <c r="D184" s="3"/>
      <c r="E184" s="3"/>
      <c r="F184" s="3"/>
    </row>
    <row r="185" spans="4:6" ht="12.75" customHeight="1" x14ac:dyDescent="0.25">
      <c r="D185" s="3"/>
      <c r="E185" s="3"/>
      <c r="F185" s="3"/>
    </row>
    <row r="186" spans="4:6" ht="12.75" customHeight="1" x14ac:dyDescent="0.25">
      <c r="D186" s="3"/>
      <c r="E186" s="3"/>
      <c r="F186" s="3"/>
    </row>
    <row r="187" spans="4:6" ht="12.75" customHeight="1" x14ac:dyDescent="0.25">
      <c r="D187" s="3"/>
      <c r="E187" s="3"/>
      <c r="F187" s="3"/>
    </row>
    <row r="188" spans="4:6" ht="12.75" customHeight="1" x14ac:dyDescent="0.25">
      <c r="D188" s="3"/>
      <c r="E188" s="3"/>
      <c r="F188" s="3"/>
    </row>
    <row r="189" spans="4:6" ht="12.75" customHeight="1" x14ac:dyDescent="0.25">
      <c r="D189" s="3"/>
      <c r="E189" s="3"/>
      <c r="F189" s="3"/>
    </row>
    <row r="190" spans="4:6" ht="12.75" customHeight="1" x14ac:dyDescent="0.25">
      <c r="D190" s="3"/>
      <c r="E190" s="3"/>
      <c r="F190" s="3"/>
    </row>
    <row r="191" spans="4:6" ht="12.75" customHeight="1" x14ac:dyDescent="0.25">
      <c r="D191" s="3"/>
      <c r="E191" s="3"/>
      <c r="F191" s="3"/>
    </row>
    <row r="192" spans="4:6" ht="12.75" customHeight="1" x14ac:dyDescent="0.25">
      <c r="D192" s="3"/>
      <c r="E192" s="3"/>
      <c r="F192" s="3"/>
    </row>
    <row r="193" spans="4:6" ht="12.75" customHeight="1" x14ac:dyDescent="0.25">
      <c r="D193" s="3"/>
      <c r="E193" s="3"/>
      <c r="F193" s="3"/>
    </row>
    <row r="194" spans="4:6" ht="12.75" customHeight="1" x14ac:dyDescent="0.25">
      <c r="D194" s="3"/>
      <c r="E194" s="3"/>
      <c r="F194" s="3"/>
    </row>
    <row r="195" spans="4:6" ht="12.75" customHeight="1" x14ac:dyDescent="0.25">
      <c r="D195" s="3"/>
      <c r="E195" s="3"/>
      <c r="F195" s="3"/>
    </row>
    <row r="196" spans="4:6" ht="12.75" customHeight="1" x14ac:dyDescent="0.25">
      <c r="D196" s="3"/>
      <c r="E196" s="3"/>
      <c r="F196" s="3"/>
    </row>
    <row r="197" spans="4:6" ht="12.75" customHeight="1" x14ac:dyDescent="0.25">
      <c r="D197" s="3"/>
      <c r="E197" s="3"/>
      <c r="F197" s="3"/>
    </row>
    <row r="198" spans="4:6" ht="12.75" customHeight="1" x14ac:dyDescent="0.25">
      <c r="D198" s="3"/>
      <c r="E198" s="3"/>
      <c r="F198" s="3"/>
    </row>
    <row r="199" spans="4:6" ht="12.75" customHeight="1" x14ac:dyDescent="0.25">
      <c r="D199" s="3"/>
      <c r="E199" s="3"/>
      <c r="F199" s="3"/>
    </row>
    <row r="200" spans="4:6" ht="12.75" customHeight="1" x14ac:dyDescent="0.25">
      <c r="D200" s="3"/>
      <c r="E200" s="3"/>
      <c r="F200" s="3"/>
    </row>
    <row r="201" spans="4:6" ht="12.75" customHeight="1" x14ac:dyDescent="0.25">
      <c r="D201" s="3"/>
      <c r="E201" s="3"/>
      <c r="F201" s="3"/>
    </row>
    <row r="202" spans="4:6" ht="12.75" customHeight="1" x14ac:dyDescent="0.25">
      <c r="D202" s="3"/>
      <c r="E202" s="3"/>
      <c r="F202" s="3"/>
    </row>
    <row r="203" spans="4:6" ht="12.75" customHeight="1" x14ac:dyDescent="0.25">
      <c r="D203" s="3"/>
      <c r="E203" s="3"/>
      <c r="F203" s="3"/>
    </row>
    <row r="204" spans="4:6" ht="12.75" customHeight="1" x14ac:dyDescent="0.25">
      <c r="D204" s="3"/>
      <c r="E204" s="3"/>
      <c r="F204" s="3"/>
    </row>
    <row r="205" spans="4:6" ht="12.75" customHeight="1" x14ac:dyDescent="0.25">
      <c r="D205" s="3"/>
      <c r="E205" s="3"/>
      <c r="F205" s="3"/>
    </row>
    <row r="206" spans="4:6" ht="12.75" customHeight="1" x14ac:dyDescent="0.25">
      <c r="D206" s="3"/>
      <c r="E206" s="3"/>
      <c r="F206" s="3"/>
    </row>
    <row r="207" spans="4:6" ht="12.75" customHeight="1" x14ac:dyDescent="0.25">
      <c r="D207" s="3"/>
      <c r="E207" s="3"/>
      <c r="F207" s="3"/>
    </row>
    <row r="208" spans="4:6" ht="12.75" customHeight="1" x14ac:dyDescent="0.25">
      <c r="D208" s="3"/>
      <c r="E208" s="3"/>
      <c r="F208" s="3"/>
    </row>
    <row r="209" spans="4:6" ht="12.75" customHeight="1" x14ac:dyDescent="0.25">
      <c r="D209" s="3"/>
      <c r="E209" s="3"/>
      <c r="F209" s="3"/>
    </row>
    <row r="210" spans="4:6" ht="12.75" customHeight="1" x14ac:dyDescent="0.25">
      <c r="D210" s="3"/>
      <c r="E210" s="3"/>
      <c r="F210" s="3"/>
    </row>
    <row r="211" spans="4:6" ht="12.75" customHeight="1" x14ac:dyDescent="0.25">
      <c r="D211" s="3"/>
      <c r="E211" s="3"/>
      <c r="F211" s="3"/>
    </row>
    <row r="212" spans="4:6" ht="12.75" customHeight="1" x14ac:dyDescent="0.25">
      <c r="D212" s="3"/>
      <c r="E212" s="3"/>
      <c r="F212" s="3"/>
    </row>
    <row r="213" spans="4:6" ht="12.75" customHeight="1" x14ac:dyDescent="0.25">
      <c r="D213" s="3"/>
      <c r="E213" s="3"/>
      <c r="F213" s="3"/>
    </row>
    <row r="214" spans="4:6" ht="12.75" customHeight="1" x14ac:dyDescent="0.25">
      <c r="D214" s="3"/>
      <c r="E214" s="3"/>
      <c r="F214" s="3"/>
    </row>
    <row r="215" spans="4:6" ht="12.75" customHeight="1" x14ac:dyDescent="0.25">
      <c r="D215" s="3"/>
      <c r="E215" s="3"/>
      <c r="F215" s="3"/>
    </row>
    <row r="216" spans="4:6" ht="12.75" customHeight="1" x14ac:dyDescent="0.25">
      <c r="D216" s="3"/>
      <c r="E216" s="3"/>
      <c r="F216" s="3"/>
    </row>
    <row r="217" spans="4:6" ht="12.75" customHeight="1" x14ac:dyDescent="0.25">
      <c r="D217" s="3"/>
      <c r="E217" s="3"/>
      <c r="F217" s="3"/>
    </row>
    <row r="218" spans="4:6" ht="12.75" customHeight="1" x14ac:dyDescent="0.25">
      <c r="D218" s="3"/>
      <c r="E218" s="3"/>
      <c r="F218" s="3"/>
    </row>
    <row r="219" spans="4:6" ht="12.75" customHeight="1" x14ac:dyDescent="0.25">
      <c r="D219" s="3"/>
      <c r="E219" s="3"/>
      <c r="F219" s="3"/>
    </row>
    <row r="220" spans="4:6" ht="12.75" customHeight="1" x14ac:dyDescent="0.25">
      <c r="D220" s="3"/>
      <c r="E220" s="3"/>
      <c r="F220" s="3"/>
    </row>
    <row r="221" spans="4:6" ht="12.75" customHeight="1" x14ac:dyDescent="0.25">
      <c r="D221" s="3"/>
      <c r="E221" s="3"/>
      <c r="F221" s="3"/>
    </row>
    <row r="222" spans="4:6" ht="12.75" customHeight="1" x14ac:dyDescent="0.25">
      <c r="D222" s="3"/>
      <c r="E222" s="3"/>
      <c r="F222" s="3"/>
    </row>
    <row r="223" spans="4:6" ht="12.75" customHeight="1" x14ac:dyDescent="0.25">
      <c r="D223" s="3"/>
      <c r="E223" s="3"/>
      <c r="F223" s="3"/>
    </row>
    <row r="224" spans="4:6" ht="12.75" customHeight="1" x14ac:dyDescent="0.25">
      <c r="D224" s="3"/>
      <c r="E224" s="3"/>
      <c r="F224" s="3"/>
    </row>
    <row r="225" spans="4:6" ht="12.75" customHeight="1" x14ac:dyDescent="0.25">
      <c r="D225" s="3"/>
      <c r="E225" s="3"/>
      <c r="F225" s="3"/>
    </row>
    <row r="226" spans="4:6" ht="12.75" customHeight="1" x14ac:dyDescent="0.25">
      <c r="D226" s="3"/>
      <c r="E226" s="3"/>
      <c r="F226" s="3"/>
    </row>
    <row r="227" spans="4:6" ht="12.75" customHeight="1" x14ac:dyDescent="0.25">
      <c r="D227" s="3"/>
      <c r="E227" s="3"/>
      <c r="F227" s="3"/>
    </row>
    <row r="228" spans="4:6" ht="12.75" customHeight="1" x14ac:dyDescent="0.25">
      <c r="D228" s="3"/>
      <c r="E228" s="3"/>
      <c r="F228" s="3"/>
    </row>
    <row r="229" spans="4:6" ht="12.75" customHeight="1" x14ac:dyDescent="0.25">
      <c r="D229" s="3"/>
      <c r="E229" s="3"/>
      <c r="F229" s="3"/>
    </row>
    <row r="230" spans="4:6" ht="12.75" customHeight="1" x14ac:dyDescent="0.25">
      <c r="D230" s="3"/>
      <c r="E230" s="3"/>
      <c r="F230" s="3"/>
    </row>
    <row r="231" spans="4:6" ht="12.75" customHeight="1" x14ac:dyDescent="0.25">
      <c r="D231" s="3"/>
      <c r="E231" s="3"/>
      <c r="F231" s="3"/>
    </row>
    <row r="232" spans="4:6" ht="12.75" customHeight="1" x14ac:dyDescent="0.25">
      <c r="D232" s="3"/>
      <c r="E232" s="3"/>
      <c r="F232" s="3"/>
    </row>
    <row r="233" spans="4:6" ht="12.75" customHeight="1" x14ac:dyDescent="0.25">
      <c r="D233" s="3"/>
      <c r="E233" s="3"/>
      <c r="F233" s="3"/>
    </row>
    <row r="234" spans="4:6" ht="12.75" customHeight="1" x14ac:dyDescent="0.25">
      <c r="D234" s="3"/>
      <c r="E234" s="3"/>
      <c r="F234" s="3"/>
    </row>
    <row r="235" spans="4:6" ht="12.75" customHeight="1" x14ac:dyDescent="0.25">
      <c r="D235" s="3"/>
      <c r="E235" s="3"/>
      <c r="F235" s="3"/>
    </row>
    <row r="236" spans="4:6" ht="12.75" customHeight="1" x14ac:dyDescent="0.25">
      <c r="D236" s="3"/>
      <c r="E236" s="3"/>
      <c r="F236" s="3"/>
    </row>
    <row r="237" spans="4:6" ht="12.75" customHeight="1" x14ac:dyDescent="0.25">
      <c r="D237" s="3"/>
      <c r="E237" s="3"/>
      <c r="F237" s="3"/>
    </row>
    <row r="238" spans="4:6" ht="12.75" customHeight="1" x14ac:dyDescent="0.25">
      <c r="D238" s="3"/>
      <c r="E238" s="3"/>
      <c r="F238" s="3"/>
    </row>
    <row r="239" spans="4:6" ht="12.75" customHeight="1" x14ac:dyDescent="0.25">
      <c r="D239" s="3"/>
      <c r="E239" s="3"/>
      <c r="F239" s="3"/>
    </row>
    <row r="240" spans="4:6" ht="12.75" customHeight="1" x14ac:dyDescent="0.25">
      <c r="D240" s="3"/>
      <c r="E240" s="3"/>
      <c r="F240" s="3"/>
    </row>
    <row r="241" spans="4:6" ht="12.75" customHeight="1" x14ac:dyDescent="0.25">
      <c r="D241" s="3"/>
      <c r="E241" s="3"/>
      <c r="F241" s="3"/>
    </row>
    <row r="242" spans="4:6" ht="12.75" customHeight="1" x14ac:dyDescent="0.25">
      <c r="D242" s="3"/>
      <c r="E242" s="3"/>
      <c r="F242" s="3"/>
    </row>
    <row r="243" spans="4:6" ht="12.75" customHeight="1" x14ac:dyDescent="0.25">
      <c r="D243" s="3"/>
      <c r="E243" s="3"/>
      <c r="F243" s="3"/>
    </row>
    <row r="244" spans="4:6" ht="12.75" customHeight="1" x14ac:dyDescent="0.25">
      <c r="D244" s="3"/>
      <c r="E244" s="3"/>
      <c r="F244" s="3"/>
    </row>
    <row r="245" spans="4:6" ht="12.75" customHeight="1" x14ac:dyDescent="0.25">
      <c r="D245" s="3"/>
      <c r="E245" s="3"/>
      <c r="F245" s="3"/>
    </row>
    <row r="246" spans="4:6" ht="12.75" customHeight="1" x14ac:dyDescent="0.25">
      <c r="D246" s="3"/>
      <c r="E246" s="3"/>
      <c r="F246" s="3"/>
    </row>
    <row r="247" spans="4:6" ht="12.75" customHeight="1" x14ac:dyDescent="0.25">
      <c r="D247" s="3"/>
      <c r="E247" s="3"/>
      <c r="F247" s="3"/>
    </row>
    <row r="248" spans="4:6" ht="12.75" customHeight="1" x14ac:dyDescent="0.25">
      <c r="D248" s="3"/>
      <c r="E248" s="3"/>
      <c r="F248" s="3"/>
    </row>
    <row r="249" spans="4:6" ht="12.75" customHeight="1" x14ac:dyDescent="0.25">
      <c r="D249" s="3"/>
      <c r="E249" s="3"/>
      <c r="F249" s="3"/>
    </row>
    <row r="250" spans="4:6" ht="12.75" customHeight="1" x14ac:dyDescent="0.25">
      <c r="D250" s="3"/>
      <c r="E250" s="3"/>
      <c r="F250" s="3"/>
    </row>
    <row r="251" spans="4:6" ht="12.75" customHeight="1" x14ac:dyDescent="0.25">
      <c r="D251" s="3"/>
      <c r="E251" s="3"/>
      <c r="F251" s="3"/>
    </row>
    <row r="252" spans="4:6" ht="12.75" customHeight="1" x14ac:dyDescent="0.25">
      <c r="D252" s="3"/>
      <c r="E252" s="3"/>
      <c r="F252" s="3"/>
    </row>
    <row r="253" spans="4:6" ht="12.75" customHeight="1" x14ac:dyDescent="0.25">
      <c r="D253" s="3"/>
      <c r="E253" s="3"/>
      <c r="F253" s="3"/>
    </row>
    <row r="254" spans="4:6" ht="12.75" customHeight="1" x14ac:dyDescent="0.25">
      <c r="D254" s="3"/>
      <c r="E254" s="3"/>
      <c r="F254" s="3"/>
    </row>
    <row r="255" spans="4:6" ht="12.75" customHeight="1" x14ac:dyDescent="0.25">
      <c r="D255" s="3"/>
      <c r="E255" s="3"/>
      <c r="F255" s="3"/>
    </row>
    <row r="256" spans="4:6" ht="12.75" customHeight="1" x14ac:dyDescent="0.25">
      <c r="D256" s="3"/>
      <c r="E256" s="3"/>
      <c r="F256" s="3"/>
    </row>
    <row r="257" spans="4:6" ht="12.75" customHeight="1" x14ac:dyDescent="0.25">
      <c r="D257" s="3"/>
      <c r="E257" s="3"/>
      <c r="F257" s="3"/>
    </row>
    <row r="258" spans="4:6" ht="12.75" customHeight="1" x14ac:dyDescent="0.25">
      <c r="D258" s="3"/>
      <c r="E258" s="3"/>
      <c r="F258" s="3"/>
    </row>
    <row r="259" spans="4:6" ht="12.75" customHeight="1" x14ac:dyDescent="0.25">
      <c r="D259" s="3"/>
      <c r="E259" s="3"/>
      <c r="F259" s="3"/>
    </row>
    <row r="260" spans="4:6" ht="12.75" customHeight="1" x14ac:dyDescent="0.25">
      <c r="D260" s="3"/>
      <c r="E260" s="3"/>
      <c r="F260" s="3"/>
    </row>
    <row r="261" spans="4:6" ht="12.75" customHeight="1" x14ac:dyDescent="0.25">
      <c r="D261" s="3"/>
      <c r="E261" s="3"/>
      <c r="F261" s="3"/>
    </row>
    <row r="262" spans="4:6" ht="12.75" customHeight="1" x14ac:dyDescent="0.25">
      <c r="D262" s="3"/>
      <c r="E262" s="3"/>
      <c r="F262" s="3"/>
    </row>
    <row r="263" spans="4:6" ht="12.75" customHeight="1" x14ac:dyDescent="0.25">
      <c r="D263" s="3"/>
      <c r="E263" s="3"/>
      <c r="F263" s="3"/>
    </row>
    <row r="264" spans="4:6" ht="12.75" customHeight="1" x14ac:dyDescent="0.25">
      <c r="D264" s="3"/>
      <c r="E264" s="3"/>
      <c r="F264" s="3"/>
    </row>
    <row r="265" spans="4:6" ht="12.75" customHeight="1" x14ac:dyDescent="0.25">
      <c r="D265" s="3"/>
      <c r="E265" s="3"/>
      <c r="F265" s="3"/>
    </row>
    <row r="266" spans="4:6" ht="12.75" customHeight="1" x14ac:dyDescent="0.25">
      <c r="D266" s="3"/>
      <c r="E266" s="3"/>
      <c r="F266" s="3"/>
    </row>
    <row r="267" spans="4:6" ht="12.75" customHeight="1" x14ac:dyDescent="0.25">
      <c r="D267" s="3"/>
      <c r="E267" s="3"/>
      <c r="F267" s="3"/>
    </row>
    <row r="268" spans="4:6" ht="12.75" customHeight="1" x14ac:dyDescent="0.25">
      <c r="D268" s="3"/>
      <c r="E268" s="3"/>
      <c r="F268" s="3"/>
    </row>
    <row r="269" spans="4:6" ht="12.75" customHeight="1" x14ac:dyDescent="0.25">
      <c r="D269" s="3"/>
      <c r="E269" s="3"/>
      <c r="F269" s="3"/>
    </row>
    <row r="270" spans="4:6" ht="12.75" customHeight="1" x14ac:dyDescent="0.25">
      <c r="D270" s="3"/>
      <c r="E270" s="3"/>
      <c r="F270" s="3"/>
    </row>
    <row r="271" spans="4:6" ht="12.75" customHeight="1" x14ac:dyDescent="0.25">
      <c r="D271" s="3"/>
      <c r="E271" s="3"/>
      <c r="F271" s="3"/>
    </row>
    <row r="272" spans="4:6" ht="12.75" customHeight="1" x14ac:dyDescent="0.25">
      <c r="D272" s="3"/>
      <c r="E272" s="3"/>
      <c r="F272" s="3"/>
    </row>
    <row r="273" spans="4:6" ht="12.75" customHeight="1" x14ac:dyDescent="0.25">
      <c r="D273" s="3"/>
      <c r="E273" s="3"/>
      <c r="F273" s="3"/>
    </row>
    <row r="274" spans="4:6" ht="12.75" customHeight="1" x14ac:dyDescent="0.25">
      <c r="D274" s="3"/>
      <c r="E274" s="3"/>
      <c r="F274" s="3"/>
    </row>
    <row r="275" spans="4:6" ht="12.75" customHeight="1" x14ac:dyDescent="0.25">
      <c r="D275" s="3"/>
      <c r="E275" s="3"/>
      <c r="F275" s="3"/>
    </row>
    <row r="276" spans="4:6" ht="12.75" customHeight="1" x14ac:dyDescent="0.25">
      <c r="D276" s="3"/>
      <c r="E276" s="3"/>
      <c r="F276" s="3"/>
    </row>
    <row r="277" spans="4:6" ht="12.75" customHeight="1" x14ac:dyDescent="0.25">
      <c r="D277" s="3"/>
      <c r="E277" s="3"/>
      <c r="F277" s="3"/>
    </row>
    <row r="278" spans="4:6" ht="12.75" customHeight="1" x14ac:dyDescent="0.25">
      <c r="D278" s="3"/>
      <c r="E278" s="3"/>
      <c r="F278" s="3"/>
    </row>
    <row r="279" spans="4:6" ht="12.75" customHeight="1" x14ac:dyDescent="0.25">
      <c r="D279" s="3"/>
      <c r="E279" s="3"/>
      <c r="F279" s="3"/>
    </row>
    <row r="280" spans="4:6" ht="12.75" customHeight="1" x14ac:dyDescent="0.25">
      <c r="D280" s="3"/>
      <c r="E280" s="3"/>
      <c r="F280" s="3"/>
    </row>
    <row r="281" spans="4:6" ht="12.75" customHeight="1" x14ac:dyDescent="0.25">
      <c r="D281" s="3"/>
      <c r="E281" s="3"/>
      <c r="F281" s="3"/>
    </row>
    <row r="282" spans="4:6" ht="12.75" customHeight="1" x14ac:dyDescent="0.25">
      <c r="D282" s="3"/>
      <c r="E282" s="3"/>
      <c r="F282" s="3"/>
    </row>
    <row r="283" spans="4:6" ht="12.75" customHeight="1" x14ac:dyDescent="0.25">
      <c r="D283" s="3"/>
      <c r="E283" s="3"/>
      <c r="F283" s="3"/>
    </row>
    <row r="284" spans="4:6" ht="12.75" customHeight="1" x14ac:dyDescent="0.25">
      <c r="D284" s="3"/>
      <c r="E284" s="3"/>
      <c r="F284" s="3"/>
    </row>
    <row r="285" spans="4:6" ht="12.75" customHeight="1" x14ac:dyDescent="0.25">
      <c r="D285" s="3"/>
      <c r="E285" s="3"/>
      <c r="F285" s="3"/>
    </row>
    <row r="286" spans="4:6" ht="12.75" customHeight="1" x14ac:dyDescent="0.25">
      <c r="D286" s="3"/>
      <c r="E286" s="3"/>
      <c r="F286" s="3"/>
    </row>
    <row r="287" spans="4:6" ht="12.75" customHeight="1" x14ac:dyDescent="0.25">
      <c r="D287" s="3"/>
      <c r="E287" s="3"/>
      <c r="F287" s="3"/>
    </row>
    <row r="288" spans="4:6" ht="12.75" customHeight="1" x14ac:dyDescent="0.25">
      <c r="D288" s="3"/>
      <c r="E288" s="3"/>
      <c r="F288" s="3"/>
    </row>
    <row r="289" spans="4:6" ht="12.75" customHeight="1" x14ac:dyDescent="0.25">
      <c r="D289" s="3"/>
      <c r="E289" s="3"/>
      <c r="F289" s="3"/>
    </row>
    <row r="290" spans="4:6" ht="12.75" customHeight="1" x14ac:dyDescent="0.25">
      <c r="D290" s="3"/>
      <c r="E290" s="3"/>
      <c r="F290" s="3"/>
    </row>
    <row r="291" spans="4:6" ht="12.75" customHeight="1" x14ac:dyDescent="0.25">
      <c r="D291" s="3"/>
      <c r="E291" s="3"/>
      <c r="F291" s="3"/>
    </row>
    <row r="292" spans="4:6" ht="12.75" customHeight="1" x14ac:dyDescent="0.25">
      <c r="D292" s="3"/>
      <c r="E292" s="3"/>
      <c r="F292" s="3"/>
    </row>
    <row r="293" spans="4:6" ht="12.75" customHeight="1" x14ac:dyDescent="0.25">
      <c r="D293" s="3"/>
      <c r="E293" s="3"/>
      <c r="F293" s="3"/>
    </row>
    <row r="294" spans="4:6" ht="12.75" customHeight="1" x14ac:dyDescent="0.25">
      <c r="D294" s="3"/>
      <c r="E294" s="3"/>
      <c r="F294" s="3"/>
    </row>
    <row r="295" spans="4:6" ht="12.75" customHeight="1" x14ac:dyDescent="0.25">
      <c r="D295" s="3"/>
      <c r="E295" s="3"/>
      <c r="F295" s="3"/>
    </row>
    <row r="296" spans="4:6" ht="12.75" customHeight="1" x14ac:dyDescent="0.25">
      <c r="D296" s="3"/>
      <c r="E296" s="3"/>
      <c r="F296" s="3"/>
    </row>
    <row r="297" spans="4:6" ht="12.75" customHeight="1" x14ac:dyDescent="0.25">
      <c r="D297" s="3"/>
      <c r="E297" s="3"/>
      <c r="F297" s="3"/>
    </row>
    <row r="298" spans="4:6" ht="12.75" customHeight="1" x14ac:dyDescent="0.25">
      <c r="D298" s="3"/>
      <c r="E298" s="3"/>
      <c r="F298" s="3"/>
    </row>
    <row r="299" spans="4:6" ht="12.75" customHeight="1" x14ac:dyDescent="0.25">
      <c r="D299" s="3"/>
      <c r="E299" s="3"/>
      <c r="F299" s="3"/>
    </row>
    <row r="300" spans="4:6" ht="12.75" customHeight="1" x14ac:dyDescent="0.25">
      <c r="D300" s="3"/>
      <c r="E300" s="3"/>
      <c r="F300" s="3"/>
    </row>
    <row r="301" spans="4:6" ht="12.75" customHeight="1" x14ac:dyDescent="0.25">
      <c r="D301" s="3"/>
      <c r="E301" s="3"/>
      <c r="F301" s="3"/>
    </row>
    <row r="302" spans="4:6" ht="12.75" customHeight="1" x14ac:dyDescent="0.25">
      <c r="D302" s="3"/>
      <c r="E302" s="3"/>
      <c r="F302" s="3"/>
    </row>
    <row r="303" spans="4:6" ht="12.75" customHeight="1" x14ac:dyDescent="0.25">
      <c r="D303" s="3"/>
      <c r="E303" s="3"/>
      <c r="F303" s="3"/>
    </row>
    <row r="304" spans="4:6" ht="12.75" customHeight="1" x14ac:dyDescent="0.25">
      <c r="D304" s="3"/>
      <c r="E304" s="3"/>
      <c r="F304" s="3"/>
    </row>
    <row r="305" spans="4:6" ht="12.75" customHeight="1" x14ac:dyDescent="0.25">
      <c r="D305" s="3"/>
      <c r="E305" s="3"/>
      <c r="F305" s="3"/>
    </row>
    <row r="306" spans="4:6" ht="12.75" customHeight="1" x14ac:dyDescent="0.25">
      <c r="D306" s="3"/>
      <c r="E306" s="3"/>
      <c r="F306" s="3"/>
    </row>
    <row r="307" spans="4:6" ht="12.75" customHeight="1" x14ac:dyDescent="0.25">
      <c r="D307" s="3"/>
      <c r="E307" s="3"/>
      <c r="F307" s="3"/>
    </row>
    <row r="308" spans="4:6" ht="12.75" customHeight="1" x14ac:dyDescent="0.25">
      <c r="D308" s="3"/>
      <c r="E308" s="3"/>
      <c r="F308" s="3"/>
    </row>
    <row r="309" spans="4:6" ht="12.75" customHeight="1" x14ac:dyDescent="0.25">
      <c r="D309" s="3"/>
      <c r="E309" s="3"/>
      <c r="F309" s="3"/>
    </row>
    <row r="310" spans="4:6" ht="12.75" customHeight="1" x14ac:dyDescent="0.25">
      <c r="D310" s="3"/>
      <c r="E310" s="3"/>
      <c r="F310" s="3"/>
    </row>
    <row r="311" spans="4:6" ht="12.75" customHeight="1" x14ac:dyDescent="0.25">
      <c r="D311" s="3"/>
      <c r="E311" s="3"/>
      <c r="F311" s="3"/>
    </row>
    <row r="312" spans="4:6" ht="12.75" customHeight="1" x14ac:dyDescent="0.25">
      <c r="D312" s="3"/>
      <c r="E312" s="3"/>
      <c r="F312" s="3"/>
    </row>
    <row r="313" spans="4:6" ht="12.75" customHeight="1" x14ac:dyDescent="0.25">
      <c r="D313" s="3"/>
      <c r="E313" s="3"/>
      <c r="F313" s="3"/>
    </row>
    <row r="314" spans="4:6" ht="12.75" customHeight="1" x14ac:dyDescent="0.25">
      <c r="D314" s="3"/>
      <c r="E314" s="3"/>
      <c r="F314" s="3"/>
    </row>
    <row r="315" spans="4:6" ht="12.75" customHeight="1" x14ac:dyDescent="0.25">
      <c r="D315" s="3"/>
      <c r="E315" s="3"/>
      <c r="F315" s="3"/>
    </row>
    <row r="316" spans="4:6" ht="12.75" customHeight="1" x14ac:dyDescent="0.25">
      <c r="D316" s="3"/>
      <c r="E316" s="3"/>
      <c r="F316" s="3"/>
    </row>
    <row r="317" spans="4:6" ht="12.75" customHeight="1" x14ac:dyDescent="0.25">
      <c r="D317" s="3"/>
      <c r="E317" s="3"/>
      <c r="F317" s="3"/>
    </row>
    <row r="318" spans="4:6" ht="12.75" customHeight="1" x14ac:dyDescent="0.25">
      <c r="D318" s="3"/>
      <c r="E318" s="3"/>
      <c r="F318" s="3"/>
    </row>
    <row r="319" spans="4:6" ht="12.75" customHeight="1" x14ac:dyDescent="0.25">
      <c r="D319" s="3"/>
      <c r="E319" s="3"/>
      <c r="F319" s="3"/>
    </row>
    <row r="320" spans="4:6" ht="12.75" customHeight="1" x14ac:dyDescent="0.25">
      <c r="D320" s="3"/>
      <c r="E320" s="3"/>
      <c r="F320" s="3"/>
    </row>
    <row r="321" spans="4:6" ht="12.75" customHeight="1" x14ac:dyDescent="0.25">
      <c r="D321" s="3"/>
      <c r="E321" s="3"/>
      <c r="F321" s="3"/>
    </row>
    <row r="322" spans="4:6" ht="12.75" customHeight="1" x14ac:dyDescent="0.25">
      <c r="D322" s="3"/>
      <c r="E322" s="3"/>
      <c r="F322" s="3"/>
    </row>
    <row r="323" spans="4:6" ht="12.75" customHeight="1" x14ac:dyDescent="0.25">
      <c r="D323" s="3"/>
      <c r="E323" s="3"/>
      <c r="F323" s="3"/>
    </row>
    <row r="324" spans="4:6" ht="12.75" customHeight="1" x14ac:dyDescent="0.25">
      <c r="D324" s="3"/>
      <c r="E324" s="3"/>
      <c r="F324" s="3"/>
    </row>
    <row r="325" spans="4:6" ht="12.75" customHeight="1" x14ac:dyDescent="0.25">
      <c r="D325" s="3"/>
      <c r="E325" s="3"/>
      <c r="F325" s="3"/>
    </row>
    <row r="326" spans="4:6" ht="12.75" customHeight="1" x14ac:dyDescent="0.25">
      <c r="D326" s="3"/>
      <c r="E326" s="3"/>
      <c r="F326" s="3"/>
    </row>
    <row r="327" spans="4:6" ht="12.75" customHeight="1" x14ac:dyDescent="0.25">
      <c r="D327" s="3"/>
      <c r="E327" s="3"/>
      <c r="F327" s="3"/>
    </row>
    <row r="328" spans="4:6" ht="12.75" customHeight="1" x14ac:dyDescent="0.25">
      <c r="D328" s="3"/>
      <c r="E328" s="3"/>
      <c r="F328" s="3"/>
    </row>
    <row r="329" spans="4:6" ht="12.75" customHeight="1" x14ac:dyDescent="0.25">
      <c r="D329" s="3"/>
      <c r="E329" s="3"/>
      <c r="F329" s="3"/>
    </row>
    <row r="330" spans="4:6" ht="12.75" customHeight="1" x14ac:dyDescent="0.25">
      <c r="D330" s="3"/>
      <c r="E330" s="3"/>
      <c r="F330" s="3"/>
    </row>
    <row r="331" spans="4:6" ht="12.75" customHeight="1" x14ac:dyDescent="0.25">
      <c r="D331" s="3"/>
      <c r="E331" s="3"/>
      <c r="F331" s="3"/>
    </row>
    <row r="332" spans="4:6" ht="12.75" customHeight="1" x14ac:dyDescent="0.25">
      <c r="D332" s="3"/>
      <c r="E332" s="3"/>
      <c r="F332" s="3"/>
    </row>
    <row r="333" spans="4:6" ht="12.75" customHeight="1" x14ac:dyDescent="0.25">
      <c r="D333" s="3"/>
      <c r="E333" s="3"/>
      <c r="F333" s="3"/>
    </row>
    <row r="334" spans="4:6" ht="12.75" customHeight="1" x14ac:dyDescent="0.25">
      <c r="D334" s="3"/>
      <c r="E334" s="3"/>
      <c r="F334" s="3"/>
    </row>
    <row r="335" spans="4:6" ht="12.75" customHeight="1" x14ac:dyDescent="0.25">
      <c r="D335" s="3"/>
      <c r="E335" s="3"/>
      <c r="F335" s="3"/>
    </row>
    <row r="336" spans="4:6" ht="12.75" customHeight="1" x14ac:dyDescent="0.25">
      <c r="D336" s="3"/>
      <c r="E336" s="3"/>
      <c r="F336" s="3"/>
    </row>
    <row r="337" spans="4:6" ht="12.75" customHeight="1" x14ac:dyDescent="0.25">
      <c r="D337" s="3"/>
      <c r="E337" s="3"/>
      <c r="F337" s="3"/>
    </row>
    <row r="338" spans="4:6" ht="12.75" customHeight="1" x14ac:dyDescent="0.25">
      <c r="D338" s="3"/>
      <c r="E338" s="3"/>
      <c r="F338" s="3"/>
    </row>
    <row r="339" spans="4:6" ht="12.75" customHeight="1" x14ac:dyDescent="0.25">
      <c r="D339" s="3"/>
      <c r="E339" s="3"/>
      <c r="F339" s="3"/>
    </row>
    <row r="340" spans="4:6" ht="12.75" customHeight="1" x14ac:dyDescent="0.25">
      <c r="D340" s="3"/>
      <c r="E340" s="3"/>
      <c r="F340" s="3"/>
    </row>
    <row r="341" spans="4:6" ht="12.75" customHeight="1" x14ac:dyDescent="0.25">
      <c r="D341" s="3"/>
      <c r="E341" s="3"/>
      <c r="F341" s="3"/>
    </row>
    <row r="342" spans="4:6" ht="12.75" customHeight="1" x14ac:dyDescent="0.25">
      <c r="D342" s="3"/>
      <c r="E342" s="3"/>
      <c r="F342" s="3"/>
    </row>
    <row r="343" spans="4:6" ht="12.75" customHeight="1" x14ac:dyDescent="0.25">
      <c r="D343" s="3"/>
      <c r="E343" s="3"/>
      <c r="F343" s="3"/>
    </row>
    <row r="344" spans="4:6" ht="12.75" customHeight="1" x14ac:dyDescent="0.25">
      <c r="D344" s="3"/>
      <c r="E344" s="3"/>
      <c r="F344" s="3"/>
    </row>
    <row r="345" spans="4:6" ht="12.75" customHeight="1" x14ac:dyDescent="0.25">
      <c r="D345" s="3"/>
      <c r="E345" s="3"/>
      <c r="F345" s="3"/>
    </row>
    <row r="346" spans="4:6" ht="12.75" customHeight="1" x14ac:dyDescent="0.25">
      <c r="D346" s="3"/>
      <c r="E346" s="3"/>
      <c r="F346" s="3"/>
    </row>
    <row r="347" spans="4:6" ht="12.75" customHeight="1" x14ac:dyDescent="0.25">
      <c r="D347" s="3"/>
      <c r="E347" s="3"/>
      <c r="F347" s="3"/>
    </row>
    <row r="348" spans="4:6" ht="12.75" customHeight="1" x14ac:dyDescent="0.25">
      <c r="D348" s="3"/>
      <c r="E348" s="3"/>
      <c r="F348" s="3"/>
    </row>
    <row r="349" spans="4:6" ht="12.75" customHeight="1" x14ac:dyDescent="0.25">
      <c r="D349" s="3"/>
      <c r="E349" s="3"/>
      <c r="F349" s="3"/>
    </row>
    <row r="350" spans="4:6" ht="12.75" customHeight="1" x14ac:dyDescent="0.25">
      <c r="D350" s="3"/>
      <c r="E350" s="3"/>
      <c r="F350" s="3"/>
    </row>
    <row r="351" spans="4:6" ht="12.75" customHeight="1" x14ac:dyDescent="0.25">
      <c r="D351" s="3"/>
      <c r="E351" s="3"/>
      <c r="F351" s="3"/>
    </row>
    <row r="352" spans="4:6" ht="12.75" customHeight="1" x14ac:dyDescent="0.25">
      <c r="D352" s="3"/>
      <c r="E352" s="3"/>
      <c r="F352" s="3"/>
    </row>
    <row r="353" spans="4:6" ht="12.75" customHeight="1" x14ac:dyDescent="0.25">
      <c r="D353" s="3"/>
      <c r="E353" s="3"/>
      <c r="F353" s="3"/>
    </row>
    <row r="354" spans="4:6" ht="12.75" customHeight="1" x14ac:dyDescent="0.25">
      <c r="D354" s="3"/>
      <c r="E354" s="3"/>
      <c r="F354" s="3"/>
    </row>
    <row r="355" spans="4:6" ht="12.75" customHeight="1" x14ac:dyDescent="0.25">
      <c r="D355" s="3"/>
      <c r="E355" s="3"/>
      <c r="F355" s="3"/>
    </row>
    <row r="356" spans="4:6" ht="12.75" customHeight="1" x14ac:dyDescent="0.25">
      <c r="D356" s="3"/>
      <c r="E356" s="3"/>
      <c r="F356" s="3"/>
    </row>
    <row r="357" spans="4:6" ht="12.75" customHeight="1" x14ac:dyDescent="0.25">
      <c r="D357" s="3"/>
      <c r="E357" s="3"/>
      <c r="F357" s="3"/>
    </row>
    <row r="358" spans="4:6" ht="12.75" customHeight="1" x14ac:dyDescent="0.25">
      <c r="D358" s="3"/>
      <c r="E358" s="3"/>
      <c r="F358" s="3"/>
    </row>
    <row r="359" spans="4:6" ht="12.75" customHeight="1" x14ac:dyDescent="0.25">
      <c r="D359" s="3"/>
      <c r="E359" s="3"/>
      <c r="F359" s="3"/>
    </row>
    <row r="360" spans="4:6" ht="12.75" customHeight="1" x14ac:dyDescent="0.25">
      <c r="D360" s="3"/>
      <c r="E360" s="3"/>
      <c r="F360" s="3"/>
    </row>
    <row r="361" spans="4:6" ht="12.75" customHeight="1" x14ac:dyDescent="0.25">
      <c r="D361" s="3"/>
      <c r="E361" s="3"/>
      <c r="F361" s="3"/>
    </row>
    <row r="362" spans="4:6" ht="12.75" customHeight="1" x14ac:dyDescent="0.25">
      <c r="D362" s="3"/>
      <c r="E362" s="3"/>
      <c r="F362" s="3"/>
    </row>
    <row r="363" spans="4:6" ht="12.75" customHeight="1" x14ac:dyDescent="0.25">
      <c r="D363" s="3"/>
      <c r="E363" s="3"/>
      <c r="F363" s="3"/>
    </row>
    <row r="364" spans="4:6" ht="12.75" customHeight="1" x14ac:dyDescent="0.25">
      <c r="D364" s="3"/>
      <c r="E364" s="3"/>
      <c r="F364" s="3"/>
    </row>
    <row r="365" spans="4:6" ht="12.75" customHeight="1" x14ac:dyDescent="0.25">
      <c r="D365" s="3"/>
      <c r="E365" s="3"/>
      <c r="F365" s="3"/>
    </row>
    <row r="366" spans="4:6" ht="12.75" customHeight="1" x14ac:dyDescent="0.25">
      <c r="D366" s="3"/>
      <c r="E366" s="3"/>
      <c r="F366" s="3"/>
    </row>
    <row r="367" spans="4:6" ht="12.75" customHeight="1" x14ac:dyDescent="0.25">
      <c r="D367" s="3"/>
      <c r="E367" s="3"/>
      <c r="F367" s="3"/>
    </row>
    <row r="368" spans="4:6" ht="12.75" customHeight="1" x14ac:dyDescent="0.25">
      <c r="D368" s="3"/>
      <c r="E368" s="3"/>
      <c r="F368" s="3"/>
    </row>
    <row r="369" spans="4:6" ht="12.75" customHeight="1" x14ac:dyDescent="0.25">
      <c r="D369" s="3"/>
      <c r="E369" s="3"/>
      <c r="F369" s="3"/>
    </row>
    <row r="370" spans="4:6" ht="12.75" customHeight="1" x14ac:dyDescent="0.25">
      <c r="D370" s="3"/>
      <c r="E370" s="3"/>
      <c r="F370" s="3"/>
    </row>
    <row r="371" spans="4:6" ht="12.75" customHeight="1" x14ac:dyDescent="0.25">
      <c r="D371" s="3"/>
      <c r="E371" s="3"/>
      <c r="F371" s="3"/>
    </row>
    <row r="372" spans="4:6" ht="12.75" customHeight="1" x14ac:dyDescent="0.25">
      <c r="D372" s="3"/>
      <c r="E372" s="3"/>
      <c r="F372" s="3"/>
    </row>
    <row r="373" spans="4:6" ht="12.75" customHeight="1" x14ac:dyDescent="0.25">
      <c r="D373" s="3"/>
      <c r="E373" s="3"/>
      <c r="F373" s="3"/>
    </row>
    <row r="374" spans="4:6" ht="12.75" customHeight="1" x14ac:dyDescent="0.25">
      <c r="D374" s="3"/>
      <c r="E374" s="3"/>
      <c r="F374" s="3"/>
    </row>
    <row r="375" spans="4:6" ht="12.75" customHeight="1" x14ac:dyDescent="0.25">
      <c r="D375" s="3"/>
      <c r="E375" s="3"/>
      <c r="F375" s="3"/>
    </row>
    <row r="376" spans="4:6" ht="12.75" customHeight="1" x14ac:dyDescent="0.25">
      <c r="D376" s="3"/>
      <c r="E376" s="3"/>
      <c r="F376" s="3"/>
    </row>
    <row r="377" spans="4:6" ht="12.75" customHeight="1" x14ac:dyDescent="0.25">
      <c r="D377" s="3"/>
      <c r="E377" s="3"/>
      <c r="F377" s="3"/>
    </row>
    <row r="378" spans="4:6" ht="12.75" customHeight="1" x14ac:dyDescent="0.25">
      <c r="D378" s="3"/>
      <c r="E378" s="3"/>
      <c r="F378" s="3"/>
    </row>
    <row r="379" spans="4:6" ht="12.75" customHeight="1" x14ac:dyDescent="0.25">
      <c r="D379" s="3"/>
      <c r="E379" s="3"/>
      <c r="F379" s="3"/>
    </row>
    <row r="380" spans="4:6" ht="12.75" customHeight="1" x14ac:dyDescent="0.25">
      <c r="D380" s="3"/>
      <c r="E380" s="3"/>
      <c r="F380" s="3"/>
    </row>
    <row r="381" spans="4:6" ht="12.75" customHeight="1" x14ac:dyDescent="0.25">
      <c r="D381" s="3"/>
      <c r="E381" s="3"/>
      <c r="F381" s="3"/>
    </row>
    <row r="382" spans="4:6" ht="12.75" customHeight="1" x14ac:dyDescent="0.25">
      <c r="D382" s="3"/>
      <c r="E382" s="3"/>
      <c r="F382" s="3"/>
    </row>
    <row r="383" spans="4:6" ht="12.75" customHeight="1" x14ac:dyDescent="0.25">
      <c r="D383" s="3"/>
      <c r="E383" s="3"/>
      <c r="F383" s="3"/>
    </row>
    <row r="384" spans="4:6" ht="12.75" customHeight="1" x14ac:dyDescent="0.25">
      <c r="D384" s="3"/>
      <c r="E384" s="3"/>
      <c r="F384" s="3"/>
    </row>
    <row r="385" spans="4:6" ht="12.75" customHeight="1" x14ac:dyDescent="0.25">
      <c r="D385" s="3"/>
      <c r="E385" s="3"/>
      <c r="F385" s="3"/>
    </row>
    <row r="386" spans="4:6" ht="12.75" customHeight="1" x14ac:dyDescent="0.25">
      <c r="D386" s="3"/>
      <c r="E386" s="3"/>
      <c r="F386" s="3"/>
    </row>
    <row r="387" spans="4:6" ht="12.75" customHeight="1" x14ac:dyDescent="0.25">
      <c r="D387" s="3"/>
      <c r="E387" s="3"/>
      <c r="F387" s="3"/>
    </row>
    <row r="388" spans="4:6" ht="12.75" customHeight="1" x14ac:dyDescent="0.25">
      <c r="D388" s="3"/>
      <c r="E388" s="3"/>
      <c r="F388" s="3"/>
    </row>
    <row r="389" spans="4:6" ht="12.75" customHeight="1" x14ac:dyDescent="0.25">
      <c r="D389" s="3"/>
      <c r="E389" s="3"/>
      <c r="F389" s="3"/>
    </row>
    <row r="390" spans="4:6" ht="12.75" customHeight="1" x14ac:dyDescent="0.25">
      <c r="D390" s="3"/>
      <c r="E390" s="3"/>
      <c r="F390" s="3"/>
    </row>
    <row r="391" spans="4:6" ht="12.75" customHeight="1" x14ac:dyDescent="0.25">
      <c r="D391" s="3"/>
      <c r="E391" s="3"/>
      <c r="F391" s="3"/>
    </row>
    <row r="392" spans="4:6" ht="12.75" customHeight="1" x14ac:dyDescent="0.25">
      <c r="D392" s="3"/>
      <c r="E392" s="3"/>
      <c r="F392" s="3"/>
    </row>
    <row r="393" spans="4:6" ht="12.75" customHeight="1" x14ac:dyDescent="0.25">
      <c r="D393" s="3"/>
      <c r="E393" s="3"/>
      <c r="F393" s="3"/>
    </row>
    <row r="394" spans="4:6" ht="12.75" customHeight="1" x14ac:dyDescent="0.25">
      <c r="D394" s="3"/>
      <c r="E394" s="3"/>
      <c r="F394" s="3"/>
    </row>
    <row r="395" spans="4:6" ht="12.75" customHeight="1" x14ac:dyDescent="0.25">
      <c r="D395" s="3"/>
      <c r="E395" s="3"/>
      <c r="F395" s="3"/>
    </row>
    <row r="396" spans="4:6" ht="12.75" customHeight="1" x14ac:dyDescent="0.25">
      <c r="D396" s="3"/>
      <c r="E396" s="3"/>
      <c r="F396" s="3"/>
    </row>
    <row r="397" spans="4:6" ht="12.75" customHeight="1" x14ac:dyDescent="0.25">
      <c r="D397" s="3"/>
      <c r="E397" s="3"/>
      <c r="F397" s="3"/>
    </row>
    <row r="398" spans="4:6" ht="12.75" customHeight="1" x14ac:dyDescent="0.25">
      <c r="D398" s="3"/>
      <c r="E398" s="3"/>
      <c r="F398" s="3"/>
    </row>
    <row r="399" spans="4:6" ht="12.75" customHeight="1" x14ac:dyDescent="0.25">
      <c r="D399" s="3"/>
      <c r="E399" s="3"/>
      <c r="F399" s="3"/>
    </row>
    <row r="400" spans="4:6" ht="12.75" customHeight="1" x14ac:dyDescent="0.25">
      <c r="D400" s="3"/>
      <c r="E400" s="3"/>
      <c r="F400" s="3"/>
    </row>
    <row r="401" spans="4:6" ht="12.75" customHeight="1" x14ac:dyDescent="0.25">
      <c r="D401" s="3"/>
      <c r="E401" s="3"/>
      <c r="F401" s="3"/>
    </row>
    <row r="402" spans="4:6" ht="12.75" customHeight="1" x14ac:dyDescent="0.25">
      <c r="D402" s="3"/>
      <c r="E402" s="3"/>
      <c r="F402" s="3"/>
    </row>
    <row r="403" spans="4:6" ht="12.75" customHeight="1" x14ac:dyDescent="0.25">
      <c r="D403" s="3"/>
      <c r="E403" s="3"/>
      <c r="F403" s="3"/>
    </row>
    <row r="404" spans="4:6" ht="12.75" customHeight="1" x14ac:dyDescent="0.25">
      <c r="D404" s="3"/>
      <c r="E404" s="3"/>
      <c r="F404" s="3"/>
    </row>
    <row r="405" spans="4:6" ht="12.75" customHeight="1" x14ac:dyDescent="0.25">
      <c r="D405" s="3"/>
      <c r="E405" s="3"/>
      <c r="F405" s="3"/>
    </row>
    <row r="406" spans="4:6" ht="12.75" customHeight="1" x14ac:dyDescent="0.25">
      <c r="D406" s="3"/>
      <c r="E406" s="3"/>
      <c r="F406" s="3"/>
    </row>
    <row r="407" spans="4:6" ht="12.75" customHeight="1" x14ac:dyDescent="0.25">
      <c r="D407" s="3"/>
      <c r="E407" s="3"/>
      <c r="F407" s="3"/>
    </row>
    <row r="408" spans="4:6" ht="12.75" customHeight="1" x14ac:dyDescent="0.25">
      <c r="D408" s="3"/>
      <c r="E408" s="3"/>
      <c r="F408" s="3"/>
    </row>
    <row r="409" spans="4:6" ht="12.75" customHeight="1" x14ac:dyDescent="0.25">
      <c r="D409" s="3"/>
      <c r="E409" s="3"/>
      <c r="F409" s="3"/>
    </row>
    <row r="410" spans="4:6" ht="12.75" customHeight="1" x14ac:dyDescent="0.25">
      <c r="D410" s="3"/>
      <c r="E410" s="3"/>
      <c r="F410" s="3"/>
    </row>
    <row r="411" spans="4:6" ht="12.75" customHeight="1" x14ac:dyDescent="0.25">
      <c r="D411" s="3"/>
      <c r="E411" s="3"/>
      <c r="F411" s="3"/>
    </row>
    <row r="412" spans="4:6" ht="12.75" customHeight="1" x14ac:dyDescent="0.25">
      <c r="D412" s="3"/>
      <c r="E412" s="3"/>
      <c r="F412" s="3"/>
    </row>
    <row r="413" spans="4:6" ht="12.75" customHeight="1" x14ac:dyDescent="0.25">
      <c r="D413" s="3"/>
      <c r="E413" s="3"/>
      <c r="F413" s="3"/>
    </row>
    <row r="414" spans="4:6" ht="12.75" customHeight="1" x14ac:dyDescent="0.25">
      <c r="D414" s="3"/>
      <c r="E414" s="3"/>
      <c r="F414" s="3"/>
    </row>
    <row r="415" spans="4:6" ht="12.75" customHeight="1" x14ac:dyDescent="0.25">
      <c r="D415" s="3"/>
      <c r="E415" s="3"/>
      <c r="F415" s="3"/>
    </row>
    <row r="416" spans="4:6" ht="12.75" customHeight="1" x14ac:dyDescent="0.25">
      <c r="D416" s="3"/>
      <c r="E416" s="3"/>
      <c r="F416" s="3"/>
    </row>
    <row r="417" spans="4:6" ht="12.75" customHeight="1" x14ac:dyDescent="0.25">
      <c r="D417" s="3"/>
      <c r="E417" s="3"/>
      <c r="F417" s="3"/>
    </row>
    <row r="418" spans="4:6" ht="12.75" customHeight="1" x14ac:dyDescent="0.25">
      <c r="D418" s="3"/>
      <c r="E418" s="3"/>
      <c r="F418" s="3"/>
    </row>
    <row r="419" spans="4:6" ht="12.75" customHeight="1" x14ac:dyDescent="0.25">
      <c r="D419" s="3"/>
      <c r="E419" s="3"/>
      <c r="F419" s="3"/>
    </row>
    <row r="420" spans="4:6" ht="12.75" customHeight="1" x14ac:dyDescent="0.25">
      <c r="D420" s="3"/>
      <c r="E420" s="3"/>
      <c r="F420" s="3"/>
    </row>
    <row r="421" spans="4:6" ht="12.75" customHeight="1" x14ac:dyDescent="0.25">
      <c r="D421" s="3"/>
      <c r="E421" s="3"/>
      <c r="F421" s="3"/>
    </row>
    <row r="422" spans="4:6" ht="12.75" customHeight="1" x14ac:dyDescent="0.25">
      <c r="D422" s="3"/>
      <c r="E422" s="3"/>
      <c r="F422" s="3"/>
    </row>
    <row r="423" spans="4:6" ht="12.75" customHeight="1" x14ac:dyDescent="0.25">
      <c r="D423" s="3"/>
      <c r="E423" s="3"/>
      <c r="F423" s="3"/>
    </row>
    <row r="424" spans="4:6" ht="12.75" customHeight="1" x14ac:dyDescent="0.25">
      <c r="D424" s="3"/>
      <c r="E424" s="3"/>
      <c r="F424" s="3"/>
    </row>
    <row r="425" spans="4:6" ht="12.75" customHeight="1" x14ac:dyDescent="0.25">
      <c r="D425" s="3"/>
      <c r="E425" s="3"/>
      <c r="F425" s="3"/>
    </row>
    <row r="426" spans="4:6" ht="12.75" customHeight="1" x14ac:dyDescent="0.25">
      <c r="D426" s="3"/>
      <c r="E426" s="3"/>
      <c r="F426" s="3"/>
    </row>
    <row r="427" spans="4:6" ht="12.75" customHeight="1" x14ac:dyDescent="0.25">
      <c r="D427" s="3"/>
      <c r="E427" s="3"/>
      <c r="F427" s="3"/>
    </row>
    <row r="428" spans="4:6" ht="12.75" customHeight="1" x14ac:dyDescent="0.25">
      <c r="D428" s="3"/>
      <c r="E428" s="3"/>
      <c r="F428" s="3"/>
    </row>
    <row r="429" spans="4:6" ht="12.75" customHeight="1" x14ac:dyDescent="0.25">
      <c r="D429" s="3"/>
      <c r="E429" s="3"/>
      <c r="F429" s="3"/>
    </row>
    <row r="430" spans="4:6" ht="12.75" customHeight="1" x14ac:dyDescent="0.25">
      <c r="D430" s="3"/>
      <c r="E430" s="3"/>
      <c r="F430" s="3"/>
    </row>
    <row r="431" spans="4:6" ht="12.75" customHeight="1" x14ac:dyDescent="0.25">
      <c r="D431" s="3"/>
      <c r="E431" s="3"/>
      <c r="F431" s="3"/>
    </row>
    <row r="432" spans="4:6" ht="12.75" customHeight="1" x14ac:dyDescent="0.25">
      <c r="D432" s="3"/>
      <c r="E432" s="3"/>
      <c r="F432" s="3"/>
    </row>
    <row r="433" spans="4:6" ht="12.75" customHeight="1" x14ac:dyDescent="0.25">
      <c r="D433" s="3"/>
      <c r="E433" s="3"/>
      <c r="F433" s="3"/>
    </row>
    <row r="434" spans="4:6" ht="12.75" customHeight="1" x14ac:dyDescent="0.25">
      <c r="D434" s="3"/>
      <c r="E434" s="3"/>
      <c r="F434" s="3"/>
    </row>
    <row r="435" spans="4:6" ht="12.75" customHeight="1" x14ac:dyDescent="0.25">
      <c r="D435" s="3"/>
      <c r="E435" s="3"/>
      <c r="F435" s="3"/>
    </row>
    <row r="436" spans="4:6" ht="12.75" customHeight="1" x14ac:dyDescent="0.25">
      <c r="D436" s="3"/>
      <c r="E436" s="3"/>
      <c r="F436" s="3"/>
    </row>
    <row r="437" spans="4:6" ht="12.75" customHeight="1" x14ac:dyDescent="0.25">
      <c r="D437" s="3"/>
      <c r="E437" s="3"/>
      <c r="F437" s="3"/>
    </row>
    <row r="438" spans="4:6" ht="12.75" customHeight="1" x14ac:dyDescent="0.25">
      <c r="D438" s="3"/>
      <c r="E438" s="3"/>
      <c r="F438" s="3"/>
    </row>
    <row r="439" spans="4:6" ht="12.75" customHeight="1" x14ac:dyDescent="0.25">
      <c r="D439" s="3"/>
      <c r="E439" s="3"/>
      <c r="F439" s="3"/>
    </row>
    <row r="440" spans="4:6" ht="12.75" customHeight="1" x14ac:dyDescent="0.25">
      <c r="D440" s="3"/>
      <c r="E440" s="3"/>
      <c r="F440" s="3"/>
    </row>
    <row r="441" spans="4:6" ht="12.75" customHeight="1" x14ac:dyDescent="0.25">
      <c r="D441" s="3"/>
      <c r="E441" s="3"/>
      <c r="F441" s="3"/>
    </row>
    <row r="442" spans="4:6" ht="12.75" customHeight="1" x14ac:dyDescent="0.25">
      <c r="D442" s="3"/>
      <c r="E442" s="3"/>
      <c r="F442" s="3"/>
    </row>
    <row r="443" spans="4:6" ht="12.75" customHeight="1" x14ac:dyDescent="0.25">
      <c r="D443" s="3"/>
      <c r="E443" s="3"/>
      <c r="F443" s="3"/>
    </row>
    <row r="444" spans="4:6" ht="12.75" customHeight="1" x14ac:dyDescent="0.25">
      <c r="D444" s="3"/>
      <c r="E444" s="3"/>
      <c r="F444" s="3"/>
    </row>
    <row r="445" spans="4:6" ht="12.75" customHeight="1" x14ac:dyDescent="0.25">
      <c r="D445" s="3"/>
      <c r="E445" s="3"/>
      <c r="F445" s="3"/>
    </row>
    <row r="446" spans="4:6" ht="12.75" customHeight="1" x14ac:dyDescent="0.25">
      <c r="D446" s="3"/>
      <c r="E446" s="3"/>
      <c r="F446" s="3"/>
    </row>
    <row r="447" spans="4:6" ht="12.75" customHeight="1" x14ac:dyDescent="0.25">
      <c r="D447" s="3"/>
      <c r="E447" s="3"/>
      <c r="F447" s="3"/>
    </row>
    <row r="448" spans="4:6" ht="12.75" customHeight="1" x14ac:dyDescent="0.25">
      <c r="D448" s="3"/>
      <c r="E448" s="3"/>
      <c r="F448" s="3"/>
    </row>
    <row r="449" spans="4:6" ht="12.75" customHeight="1" x14ac:dyDescent="0.25">
      <c r="D449" s="3"/>
      <c r="E449" s="3"/>
      <c r="F449" s="3"/>
    </row>
    <row r="450" spans="4:6" ht="12.75" customHeight="1" x14ac:dyDescent="0.25">
      <c r="D450" s="3"/>
      <c r="E450" s="3"/>
      <c r="F450" s="3"/>
    </row>
    <row r="451" spans="4:6" ht="12.75" customHeight="1" x14ac:dyDescent="0.25">
      <c r="D451" s="3"/>
      <c r="E451" s="3"/>
      <c r="F451" s="3"/>
    </row>
    <row r="452" spans="4:6" ht="12.75" customHeight="1" x14ac:dyDescent="0.25">
      <c r="D452" s="3"/>
      <c r="E452" s="3"/>
      <c r="F452" s="3"/>
    </row>
    <row r="453" spans="4:6" ht="12.75" customHeight="1" x14ac:dyDescent="0.25">
      <c r="D453" s="3"/>
      <c r="E453" s="3"/>
      <c r="F453" s="3"/>
    </row>
    <row r="454" spans="4:6" ht="12.75" customHeight="1" x14ac:dyDescent="0.25">
      <c r="D454" s="3"/>
      <c r="E454" s="3"/>
      <c r="F454" s="3"/>
    </row>
    <row r="455" spans="4:6" ht="12.75" customHeight="1" x14ac:dyDescent="0.25">
      <c r="D455" s="3"/>
      <c r="E455" s="3"/>
      <c r="F455" s="3"/>
    </row>
    <row r="456" spans="4:6" ht="12.75" customHeight="1" x14ac:dyDescent="0.25">
      <c r="D456" s="3"/>
      <c r="E456" s="3"/>
      <c r="F456" s="3"/>
    </row>
    <row r="457" spans="4:6" ht="12.75" customHeight="1" x14ac:dyDescent="0.25">
      <c r="D457" s="3"/>
      <c r="E457" s="3"/>
      <c r="F457" s="3"/>
    </row>
    <row r="458" spans="4:6" ht="12.75" customHeight="1" x14ac:dyDescent="0.25">
      <c r="D458" s="3"/>
      <c r="E458" s="3"/>
      <c r="F458" s="3"/>
    </row>
    <row r="459" spans="4:6" ht="12.75" customHeight="1" x14ac:dyDescent="0.25">
      <c r="D459" s="3"/>
      <c r="E459" s="3"/>
      <c r="F459" s="3"/>
    </row>
    <row r="460" spans="4:6" ht="12.75" customHeight="1" x14ac:dyDescent="0.25">
      <c r="D460" s="3"/>
      <c r="E460" s="3"/>
      <c r="F460" s="3"/>
    </row>
    <row r="461" spans="4:6" ht="12.75" customHeight="1" x14ac:dyDescent="0.25">
      <c r="D461" s="3"/>
      <c r="E461" s="3"/>
      <c r="F461" s="3"/>
    </row>
    <row r="462" spans="4:6" ht="12.75" customHeight="1" x14ac:dyDescent="0.25">
      <c r="D462" s="3"/>
      <c r="E462" s="3"/>
      <c r="F462" s="3"/>
    </row>
    <row r="463" spans="4:6" ht="12.75" customHeight="1" x14ac:dyDescent="0.25">
      <c r="D463" s="3"/>
      <c r="E463" s="3"/>
      <c r="F463" s="3"/>
    </row>
    <row r="464" spans="4:6" ht="12.75" customHeight="1" x14ac:dyDescent="0.25">
      <c r="D464" s="3"/>
      <c r="E464" s="3"/>
      <c r="F464" s="3"/>
    </row>
    <row r="465" spans="4:6" ht="12.75" customHeight="1" x14ac:dyDescent="0.25">
      <c r="D465" s="3"/>
      <c r="E465" s="3"/>
      <c r="F465" s="3"/>
    </row>
    <row r="466" spans="4:6" ht="12.75" customHeight="1" x14ac:dyDescent="0.25">
      <c r="D466" s="3"/>
      <c r="E466" s="3"/>
      <c r="F466" s="3"/>
    </row>
    <row r="467" spans="4:6" ht="12.75" customHeight="1" x14ac:dyDescent="0.25">
      <c r="D467" s="3"/>
      <c r="E467" s="3"/>
      <c r="F467" s="3"/>
    </row>
    <row r="468" spans="4:6" ht="12.75" customHeight="1" x14ac:dyDescent="0.25">
      <c r="D468" s="3"/>
      <c r="E468" s="3"/>
      <c r="F468" s="3"/>
    </row>
    <row r="469" spans="4:6" ht="12.75" customHeight="1" x14ac:dyDescent="0.25">
      <c r="D469" s="3"/>
      <c r="E469" s="3"/>
      <c r="F469" s="3"/>
    </row>
    <row r="470" spans="4:6" ht="12.75" customHeight="1" x14ac:dyDescent="0.25">
      <c r="D470" s="3"/>
      <c r="E470" s="3"/>
      <c r="F470" s="3"/>
    </row>
    <row r="471" spans="4:6" ht="12.75" customHeight="1" x14ac:dyDescent="0.25">
      <c r="D471" s="3"/>
      <c r="E471" s="3"/>
      <c r="F471" s="3"/>
    </row>
    <row r="472" spans="4:6" ht="12.75" customHeight="1" x14ac:dyDescent="0.25">
      <c r="D472" s="3"/>
      <c r="E472" s="3"/>
      <c r="F472" s="3"/>
    </row>
    <row r="473" spans="4:6" ht="12.75" customHeight="1" x14ac:dyDescent="0.25">
      <c r="D473" s="3"/>
      <c r="E473" s="3"/>
      <c r="F473" s="3"/>
    </row>
    <row r="474" spans="4:6" ht="12.75" customHeight="1" x14ac:dyDescent="0.25">
      <c r="D474" s="3"/>
      <c r="E474" s="3"/>
      <c r="F474" s="3"/>
    </row>
    <row r="475" spans="4:6" ht="12.75" customHeight="1" x14ac:dyDescent="0.25">
      <c r="D475" s="3"/>
      <c r="E475" s="3"/>
      <c r="F475" s="3"/>
    </row>
    <row r="476" spans="4:6" ht="12.75" customHeight="1" x14ac:dyDescent="0.25">
      <c r="D476" s="3"/>
      <c r="E476" s="3"/>
      <c r="F476" s="3"/>
    </row>
    <row r="477" spans="4:6" ht="12.75" customHeight="1" x14ac:dyDescent="0.25">
      <c r="D477" s="3"/>
      <c r="E477" s="3"/>
      <c r="F477" s="3"/>
    </row>
    <row r="478" spans="4:6" ht="12.75" customHeight="1" x14ac:dyDescent="0.25">
      <c r="D478" s="3"/>
      <c r="E478" s="3"/>
      <c r="F478" s="3"/>
    </row>
    <row r="479" spans="4:6" ht="12.75" customHeight="1" x14ac:dyDescent="0.25">
      <c r="D479" s="3"/>
      <c r="E479" s="3"/>
      <c r="F479" s="3"/>
    </row>
    <row r="480" spans="4:6" ht="12.75" customHeight="1" x14ac:dyDescent="0.25">
      <c r="D480" s="3"/>
      <c r="E480" s="3"/>
      <c r="F480" s="3"/>
    </row>
    <row r="481" spans="4:6" ht="12.75" customHeight="1" x14ac:dyDescent="0.25">
      <c r="D481" s="3"/>
      <c r="E481" s="3"/>
      <c r="F481" s="3"/>
    </row>
    <row r="482" spans="4:6" ht="12.75" customHeight="1" x14ac:dyDescent="0.25">
      <c r="D482" s="3"/>
      <c r="E482" s="3"/>
      <c r="F482" s="3"/>
    </row>
    <row r="483" spans="4:6" ht="12.75" customHeight="1" x14ac:dyDescent="0.25">
      <c r="D483" s="3"/>
      <c r="E483" s="3"/>
      <c r="F483" s="3"/>
    </row>
    <row r="484" spans="4:6" ht="12.75" customHeight="1" x14ac:dyDescent="0.25">
      <c r="D484" s="3"/>
      <c r="E484" s="3"/>
      <c r="F484" s="3"/>
    </row>
    <row r="485" spans="4:6" ht="12.75" customHeight="1" x14ac:dyDescent="0.25">
      <c r="D485" s="3"/>
      <c r="E485" s="3"/>
      <c r="F485" s="3"/>
    </row>
    <row r="486" spans="4:6" ht="12.75" customHeight="1" x14ac:dyDescent="0.25">
      <c r="D486" s="3"/>
      <c r="E486" s="3"/>
      <c r="F486" s="3"/>
    </row>
    <row r="487" spans="4:6" ht="12.75" customHeight="1" x14ac:dyDescent="0.25">
      <c r="D487" s="3"/>
      <c r="E487" s="3"/>
      <c r="F487" s="3"/>
    </row>
    <row r="488" spans="4:6" ht="12.75" customHeight="1" x14ac:dyDescent="0.25">
      <c r="D488" s="3"/>
      <c r="E488" s="3"/>
      <c r="F488" s="3"/>
    </row>
    <row r="489" spans="4:6" ht="12.75" customHeight="1" x14ac:dyDescent="0.25">
      <c r="D489" s="3"/>
      <c r="E489" s="3"/>
      <c r="F489" s="3"/>
    </row>
    <row r="490" spans="4:6" ht="12.75" customHeight="1" x14ac:dyDescent="0.25">
      <c r="D490" s="3"/>
      <c r="E490" s="3"/>
      <c r="F490" s="3"/>
    </row>
    <row r="491" spans="4:6" ht="12.75" customHeight="1" x14ac:dyDescent="0.25">
      <c r="D491" s="3"/>
      <c r="E491" s="3"/>
      <c r="F491" s="3"/>
    </row>
    <row r="492" spans="4:6" ht="12.75" customHeight="1" x14ac:dyDescent="0.25">
      <c r="D492" s="3"/>
      <c r="E492" s="3"/>
      <c r="F492" s="3"/>
    </row>
    <row r="493" spans="4:6" ht="12.75" customHeight="1" x14ac:dyDescent="0.25">
      <c r="D493" s="3"/>
      <c r="E493" s="3"/>
      <c r="F493" s="3"/>
    </row>
    <row r="494" spans="4:6" ht="12.75" customHeight="1" x14ac:dyDescent="0.25">
      <c r="D494" s="3"/>
      <c r="E494" s="3"/>
      <c r="F494" s="3"/>
    </row>
    <row r="495" spans="4:6" ht="12.75" customHeight="1" x14ac:dyDescent="0.25">
      <c r="D495" s="3"/>
      <c r="E495" s="3"/>
      <c r="F495" s="3"/>
    </row>
    <row r="496" spans="4:6" ht="12.75" customHeight="1" x14ac:dyDescent="0.25">
      <c r="D496" s="3"/>
      <c r="E496" s="3"/>
      <c r="F496" s="3"/>
    </row>
    <row r="497" spans="4:6" ht="12.75" customHeight="1" x14ac:dyDescent="0.25">
      <c r="D497" s="3"/>
      <c r="E497" s="3"/>
      <c r="F497" s="3"/>
    </row>
    <row r="498" spans="4:6" ht="12.75" customHeight="1" x14ac:dyDescent="0.25">
      <c r="D498" s="3"/>
      <c r="E498" s="3"/>
      <c r="F498" s="3"/>
    </row>
    <row r="499" spans="4:6" ht="12.75" customHeight="1" x14ac:dyDescent="0.25">
      <c r="D499" s="3"/>
      <c r="E499" s="3"/>
      <c r="F499" s="3"/>
    </row>
    <row r="500" spans="4:6" ht="12.75" customHeight="1" x14ac:dyDescent="0.25">
      <c r="D500" s="3"/>
      <c r="E500" s="3"/>
      <c r="F500" s="3"/>
    </row>
    <row r="501" spans="4:6" ht="12.75" customHeight="1" x14ac:dyDescent="0.25">
      <c r="D501" s="3"/>
      <c r="E501" s="3"/>
      <c r="F501" s="3"/>
    </row>
    <row r="502" spans="4:6" ht="12.75" customHeight="1" x14ac:dyDescent="0.25">
      <c r="D502" s="3"/>
      <c r="E502" s="3"/>
      <c r="F502" s="3"/>
    </row>
    <row r="503" spans="4:6" ht="12.75" customHeight="1" x14ac:dyDescent="0.25">
      <c r="D503" s="3"/>
      <c r="E503" s="3"/>
      <c r="F503" s="3"/>
    </row>
    <row r="504" spans="4:6" ht="12.75" customHeight="1" x14ac:dyDescent="0.25">
      <c r="D504" s="3"/>
      <c r="E504" s="3"/>
      <c r="F504" s="3"/>
    </row>
    <row r="505" spans="4:6" ht="12.75" customHeight="1" x14ac:dyDescent="0.25">
      <c r="D505" s="3"/>
      <c r="E505" s="3"/>
      <c r="F505" s="3"/>
    </row>
    <row r="506" spans="4:6" ht="12.75" customHeight="1" x14ac:dyDescent="0.25">
      <c r="D506" s="3"/>
      <c r="E506" s="3"/>
      <c r="F506" s="3"/>
    </row>
    <row r="507" spans="4:6" ht="12.75" customHeight="1" x14ac:dyDescent="0.25">
      <c r="D507" s="3"/>
      <c r="E507" s="3"/>
      <c r="F507" s="3"/>
    </row>
    <row r="508" spans="4:6" ht="12.75" customHeight="1" x14ac:dyDescent="0.25">
      <c r="D508" s="3"/>
      <c r="E508" s="3"/>
      <c r="F508" s="3"/>
    </row>
    <row r="509" spans="4:6" ht="12.75" customHeight="1" x14ac:dyDescent="0.25">
      <c r="D509" s="3"/>
      <c r="E509" s="3"/>
      <c r="F509" s="3"/>
    </row>
    <row r="510" spans="4:6" ht="12.75" customHeight="1" x14ac:dyDescent="0.25">
      <c r="D510" s="3"/>
      <c r="E510" s="3"/>
      <c r="F510" s="3"/>
    </row>
    <row r="511" spans="4:6" ht="12.75" customHeight="1" x14ac:dyDescent="0.25">
      <c r="D511" s="3"/>
      <c r="E511" s="3"/>
      <c r="F511" s="3"/>
    </row>
    <row r="512" spans="4:6" ht="12.75" customHeight="1" x14ac:dyDescent="0.25">
      <c r="D512" s="3"/>
      <c r="E512" s="3"/>
      <c r="F512" s="3"/>
    </row>
    <row r="513" spans="4:6" ht="12.75" customHeight="1" x14ac:dyDescent="0.25">
      <c r="D513" s="3"/>
      <c r="E513" s="3"/>
      <c r="F513" s="3"/>
    </row>
    <row r="514" spans="4:6" ht="12.75" customHeight="1" x14ac:dyDescent="0.25">
      <c r="D514" s="3"/>
      <c r="E514" s="3"/>
      <c r="F514" s="3"/>
    </row>
    <row r="515" spans="4:6" ht="12.75" customHeight="1" x14ac:dyDescent="0.25">
      <c r="D515" s="3"/>
      <c r="E515" s="3"/>
      <c r="F515" s="3"/>
    </row>
    <row r="516" spans="4:6" ht="12.75" customHeight="1" x14ac:dyDescent="0.25">
      <c r="D516" s="3"/>
      <c r="E516" s="3"/>
      <c r="F516" s="3"/>
    </row>
    <row r="517" spans="4:6" ht="12.75" customHeight="1" x14ac:dyDescent="0.25">
      <c r="D517" s="3"/>
      <c r="E517" s="3"/>
      <c r="F517" s="3"/>
    </row>
    <row r="518" spans="4:6" ht="12.75" customHeight="1" x14ac:dyDescent="0.25">
      <c r="D518" s="3"/>
      <c r="E518" s="3"/>
      <c r="F518" s="3"/>
    </row>
    <row r="519" spans="4:6" ht="12.75" customHeight="1" x14ac:dyDescent="0.25">
      <c r="D519" s="3"/>
      <c r="E519" s="3"/>
      <c r="F519" s="3"/>
    </row>
    <row r="520" spans="4:6" ht="12.75" customHeight="1" x14ac:dyDescent="0.25">
      <c r="D520" s="3"/>
      <c r="E520" s="3"/>
      <c r="F520" s="3"/>
    </row>
    <row r="521" spans="4:6" ht="12.75" customHeight="1" x14ac:dyDescent="0.25">
      <c r="D521" s="3"/>
      <c r="E521" s="3"/>
      <c r="F521" s="3"/>
    </row>
    <row r="522" spans="4:6" ht="12.75" customHeight="1" x14ac:dyDescent="0.25">
      <c r="D522" s="3"/>
      <c r="E522" s="3"/>
      <c r="F522" s="3"/>
    </row>
    <row r="523" spans="4:6" ht="12.75" customHeight="1" x14ac:dyDescent="0.25">
      <c r="D523" s="3"/>
      <c r="E523" s="3"/>
      <c r="F523" s="3"/>
    </row>
    <row r="524" spans="4:6" ht="12.75" customHeight="1" x14ac:dyDescent="0.25">
      <c r="D524" s="3"/>
      <c r="E524" s="3"/>
      <c r="F524" s="3"/>
    </row>
    <row r="525" spans="4:6" ht="12.75" customHeight="1" x14ac:dyDescent="0.25">
      <c r="D525" s="3"/>
      <c r="E525" s="3"/>
      <c r="F525" s="3"/>
    </row>
    <row r="526" spans="4:6" ht="12.75" customHeight="1" x14ac:dyDescent="0.25">
      <c r="D526" s="3"/>
      <c r="E526" s="3"/>
      <c r="F526" s="3"/>
    </row>
    <row r="527" spans="4:6" ht="12.75" customHeight="1" x14ac:dyDescent="0.25">
      <c r="D527" s="3"/>
      <c r="E527" s="3"/>
      <c r="F527" s="3"/>
    </row>
    <row r="528" spans="4:6" ht="12.75" customHeight="1" x14ac:dyDescent="0.25">
      <c r="D528" s="3"/>
      <c r="E528" s="3"/>
      <c r="F528" s="3"/>
    </row>
    <row r="529" spans="4:6" ht="12.75" customHeight="1" x14ac:dyDescent="0.25">
      <c r="D529" s="3"/>
      <c r="E529" s="3"/>
      <c r="F529" s="3"/>
    </row>
    <row r="530" spans="4:6" ht="12.75" customHeight="1" x14ac:dyDescent="0.25">
      <c r="D530" s="3"/>
      <c r="E530" s="3"/>
      <c r="F530" s="3"/>
    </row>
    <row r="531" spans="4:6" ht="12.75" customHeight="1" x14ac:dyDescent="0.25">
      <c r="D531" s="3"/>
      <c r="E531" s="3"/>
      <c r="F531" s="3"/>
    </row>
    <row r="532" spans="4:6" ht="12.75" customHeight="1" x14ac:dyDescent="0.25">
      <c r="D532" s="3"/>
      <c r="E532" s="3"/>
      <c r="F532" s="3"/>
    </row>
    <row r="533" spans="4:6" ht="12.75" customHeight="1" x14ac:dyDescent="0.25">
      <c r="D533" s="3"/>
      <c r="E533" s="3"/>
      <c r="F533" s="3"/>
    </row>
    <row r="534" spans="4:6" ht="12.75" customHeight="1" x14ac:dyDescent="0.25">
      <c r="D534" s="3"/>
      <c r="E534" s="3"/>
      <c r="F534" s="3"/>
    </row>
    <row r="535" spans="4:6" ht="12.75" customHeight="1" x14ac:dyDescent="0.25">
      <c r="D535" s="3"/>
      <c r="E535" s="3"/>
      <c r="F535" s="3"/>
    </row>
    <row r="536" spans="4:6" ht="12.75" customHeight="1" x14ac:dyDescent="0.25">
      <c r="D536" s="3"/>
      <c r="E536" s="3"/>
      <c r="F536" s="3"/>
    </row>
    <row r="537" spans="4:6" ht="12.75" customHeight="1" x14ac:dyDescent="0.25">
      <c r="D537" s="3"/>
      <c r="E537" s="3"/>
      <c r="F537" s="3"/>
    </row>
    <row r="538" spans="4:6" ht="12.75" customHeight="1" x14ac:dyDescent="0.25">
      <c r="D538" s="3"/>
      <c r="E538" s="3"/>
      <c r="F538" s="3"/>
    </row>
    <row r="539" spans="4:6" ht="12.75" customHeight="1" x14ac:dyDescent="0.25">
      <c r="D539" s="3"/>
      <c r="E539" s="3"/>
      <c r="F539" s="3"/>
    </row>
    <row r="540" spans="4:6" ht="12.75" customHeight="1" x14ac:dyDescent="0.25">
      <c r="D540" s="3"/>
      <c r="E540" s="3"/>
      <c r="F540" s="3"/>
    </row>
    <row r="541" spans="4:6" ht="12.75" customHeight="1" x14ac:dyDescent="0.25">
      <c r="D541" s="3"/>
      <c r="E541" s="3"/>
      <c r="F541" s="3"/>
    </row>
    <row r="542" spans="4:6" ht="12.75" customHeight="1" x14ac:dyDescent="0.25">
      <c r="D542" s="3"/>
      <c r="E542" s="3"/>
      <c r="F542" s="3"/>
    </row>
    <row r="543" spans="4:6" ht="12.75" customHeight="1" x14ac:dyDescent="0.25">
      <c r="D543" s="3"/>
      <c r="E543" s="3"/>
      <c r="F543" s="3"/>
    </row>
    <row r="544" spans="4:6" ht="12.75" customHeight="1" x14ac:dyDescent="0.25">
      <c r="D544" s="3"/>
      <c r="E544" s="3"/>
      <c r="F544" s="3"/>
    </row>
    <row r="545" spans="4:6" ht="12.75" customHeight="1" x14ac:dyDescent="0.25">
      <c r="D545" s="3"/>
      <c r="E545" s="3"/>
      <c r="F545" s="3"/>
    </row>
    <row r="546" spans="4:6" ht="12.75" customHeight="1" x14ac:dyDescent="0.25">
      <c r="D546" s="3"/>
      <c r="E546" s="3"/>
      <c r="F546" s="3"/>
    </row>
    <row r="547" spans="4:6" ht="12.75" customHeight="1" x14ac:dyDescent="0.25">
      <c r="D547" s="3"/>
      <c r="E547" s="3"/>
      <c r="F547" s="3"/>
    </row>
    <row r="548" spans="4:6" ht="12.75" customHeight="1" x14ac:dyDescent="0.25">
      <c r="D548" s="3"/>
      <c r="E548" s="3"/>
      <c r="F548" s="3"/>
    </row>
    <row r="549" spans="4:6" ht="12.75" customHeight="1" x14ac:dyDescent="0.25">
      <c r="D549" s="3"/>
      <c r="E549" s="3"/>
      <c r="F549" s="3"/>
    </row>
    <row r="550" spans="4:6" ht="12.75" customHeight="1" x14ac:dyDescent="0.25">
      <c r="D550" s="3"/>
      <c r="E550" s="3"/>
      <c r="F550" s="3"/>
    </row>
    <row r="551" spans="4:6" ht="12.75" customHeight="1" x14ac:dyDescent="0.25">
      <c r="D551" s="3"/>
      <c r="E551" s="3"/>
      <c r="F551" s="3"/>
    </row>
    <row r="552" spans="4:6" ht="12.75" customHeight="1" x14ac:dyDescent="0.25">
      <c r="D552" s="3"/>
      <c r="E552" s="3"/>
      <c r="F552" s="3"/>
    </row>
    <row r="553" spans="4:6" ht="12.75" customHeight="1" x14ac:dyDescent="0.25">
      <c r="D553" s="3"/>
      <c r="E553" s="3"/>
      <c r="F553" s="3"/>
    </row>
    <row r="554" spans="4:6" ht="12.75" customHeight="1" x14ac:dyDescent="0.25">
      <c r="D554" s="3"/>
      <c r="E554" s="3"/>
      <c r="F554" s="3"/>
    </row>
    <row r="555" spans="4:6" ht="12.75" customHeight="1" x14ac:dyDescent="0.25">
      <c r="D555" s="3"/>
      <c r="E555" s="3"/>
      <c r="F555" s="3"/>
    </row>
    <row r="556" spans="4:6" ht="12.75" customHeight="1" x14ac:dyDescent="0.25">
      <c r="D556" s="3"/>
      <c r="E556" s="3"/>
      <c r="F556" s="3"/>
    </row>
    <row r="557" spans="4:6" ht="12.75" customHeight="1" x14ac:dyDescent="0.25">
      <c r="D557" s="3"/>
      <c r="E557" s="3"/>
      <c r="F557" s="3"/>
    </row>
    <row r="558" spans="4:6" ht="12.75" customHeight="1" x14ac:dyDescent="0.25">
      <c r="D558" s="3"/>
      <c r="E558" s="3"/>
      <c r="F558" s="3"/>
    </row>
    <row r="559" spans="4:6" ht="12.75" customHeight="1" x14ac:dyDescent="0.25">
      <c r="D559" s="3"/>
      <c r="E559" s="3"/>
      <c r="F559" s="3"/>
    </row>
    <row r="560" spans="4:6" ht="12.75" customHeight="1" x14ac:dyDescent="0.25">
      <c r="D560" s="3"/>
      <c r="E560" s="3"/>
      <c r="F560" s="3"/>
    </row>
    <row r="561" spans="4:6" ht="12.75" customHeight="1" x14ac:dyDescent="0.25">
      <c r="D561" s="3"/>
      <c r="E561" s="3"/>
      <c r="F561" s="3"/>
    </row>
    <row r="562" spans="4:6" ht="12.75" customHeight="1" x14ac:dyDescent="0.25">
      <c r="D562" s="3"/>
      <c r="E562" s="3"/>
      <c r="F562" s="3"/>
    </row>
    <row r="563" spans="4:6" ht="12.75" customHeight="1" x14ac:dyDescent="0.25">
      <c r="D563" s="3"/>
      <c r="E563" s="3"/>
      <c r="F563" s="3"/>
    </row>
    <row r="564" spans="4:6" ht="12.75" customHeight="1" x14ac:dyDescent="0.25">
      <c r="D564" s="3"/>
      <c r="E564" s="3"/>
      <c r="F564" s="3"/>
    </row>
    <row r="565" spans="4:6" ht="12.75" customHeight="1" x14ac:dyDescent="0.25">
      <c r="D565" s="3"/>
      <c r="E565" s="3"/>
      <c r="F565" s="3"/>
    </row>
    <row r="566" spans="4:6" ht="12.75" customHeight="1" x14ac:dyDescent="0.25">
      <c r="D566" s="3"/>
      <c r="E566" s="3"/>
      <c r="F566" s="3"/>
    </row>
    <row r="567" spans="4:6" ht="12.75" customHeight="1" x14ac:dyDescent="0.25">
      <c r="D567" s="3"/>
      <c r="E567" s="3"/>
      <c r="F567" s="3"/>
    </row>
    <row r="568" spans="4:6" ht="12.75" customHeight="1" x14ac:dyDescent="0.25">
      <c r="D568" s="3"/>
      <c r="E568" s="3"/>
      <c r="F568" s="3"/>
    </row>
    <row r="569" spans="4:6" ht="12.75" customHeight="1" x14ac:dyDescent="0.25">
      <c r="D569" s="3"/>
      <c r="E569" s="3"/>
      <c r="F569" s="3"/>
    </row>
    <row r="570" spans="4:6" ht="12.75" customHeight="1" x14ac:dyDescent="0.25">
      <c r="D570" s="3"/>
      <c r="E570" s="3"/>
      <c r="F570" s="3"/>
    </row>
    <row r="571" spans="4:6" ht="12.75" customHeight="1" x14ac:dyDescent="0.25">
      <c r="D571" s="3"/>
      <c r="E571" s="3"/>
      <c r="F571" s="3"/>
    </row>
    <row r="572" spans="4:6" ht="12.75" customHeight="1" x14ac:dyDescent="0.25">
      <c r="D572" s="3"/>
      <c r="E572" s="3"/>
      <c r="F572" s="3"/>
    </row>
    <row r="573" spans="4:6" ht="12.75" customHeight="1" x14ac:dyDescent="0.25">
      <c r="D573" s="3"/>
      <c r="E573" s="3"/>
      <c r="F573" s="3"/>
    </row>
    <row r="574" spans="4:6" ht="12.75" customHeight="1" x14ac:dyDescent="0.25">
      <c r="D574" s="3"/>
      <c r="E574" s="3"/>
      <c r="F574" s="3"/>
    </row>
    <row r="575" spans="4:6" ht="12.75" customHeight="1" x14ac:dyDescent="0.25">
      <c r="D575" s="3"/>
      <c r="E575" s="3"/>
      <c r="F575" s="3"/>
    </row>
    <row r="576" spans="4:6" ht="12.75" customHeight="1" x14ac:dyDescent="0.25">
      <c r="D576" s="3"/>
      <c r="E576" s="3"/>
      <c r="F576" s="3"/>
    </row>
    <row r="577" spans="4:6" ht="12.75" customHeight="1" x14ac:dyDescent="0.25">
      <c r="D577" s="3"/>
      <c r="E577" s="3"/>
      <c r="F577" s="3"/>
    </row>
    <row r="578" spans="4:6" ht="12.75" customHeight="1" x14ac:dyDescent="0.25">
      <c r="D578" s="3"/>
      <c r="E578" s="3"/>
      <c r="F578" s="3"/>
    </row>
    <row r="579" spans="4:6" ht="12.75" customHeight="1" x14ac:dyDescent="0.25">
      <c r="D579" s="3"/>
      <c r="E579" s="3"/>
      <c r="F579" s="3"/>
    </row>
    <row r="580" spans="4:6" ht="12.75" customHeight="1" x14ac:dyDescent="0.25">
      <c r="D580" s="3"/>
      <c r="E580" s="3"/>
      <c r="F580" s="3"/>
    </row>
    <row r="581" spans="4:6" ht="12.75" customHeight="1" x14ac:dyDescent="0.25">
      <c r="D581" s="3"/>
      <c r="E581" s="3"/>
      <c r="F581" s="3"/>
    </row>
    <row r="582" spans="4:6" ht="12.75" customHeight="1" x14ac:dyDescent="0.25">
      <c r="D582" s="3"/>
      <c r="E582" s="3"/>
      <c r="F582" s="3"/>
    </row>
    <row r="583" spans="4:6" ht="12.75" customHeight="1" x14ac:dyDescent="0.25">
      <c r="D583" s="3"/>
      <c r="E583" s="3"/>
      <c r="F583" s="3"/>
    </row>
    <row r="584" spans="4:6" ht="12.75" customHeight="1" x14ac:dyDescent="0.25">
      <c r="D584" s="3"/>
      <c r="E584" s="3"/>
      <c r="F584" s="3"/>
    </row>
    <row r="585" spans="4:6" ht="12.75" customHeight="1" x14ac:dyDescent="0.25">
      <c r="D585" s="3"/>
      <c r="E585" s="3"/>
      <c r="F585" s="3"/>
    </row>
    <row r="586" spans="4:6" ht="12.75" customHeight="1" x14ac:dyDescent="0.25">
      <c r="D586" s="3"/>
      <c r="E586" s="3"/>
      <c r="F586" s="3"/>
    </row>
    <row r="587" spans="4:6" ht="12.75" customHeight="1" x14ac:dyDescent="0.25">
      <c r="D587" s="3"/>
      <c r="E587" s="3"/>
      <c r="F587" s="3"/>
    </row>
    <row r="588" spans="4:6" ht="12.75" customHeight="1" x14ac:dyDescent="0.25">
      <c r="D588" s="3"/>
      <c r="E588" s="3"/>
      <c r="F588" s="3"/>
    </row>
    <row r="589" spans="4:6" ht="12.75" customHeight="1" x14ac:dyDescent="0.25">
      <c r="D589" s="3"/>
      <c r="E589" s="3"/>
      <c r="F589" s="3"/>
    </row>
    <row r="590" spans="4:6" ht="12.75" customHeight="1" x14ac:dyDescent="0.25">
      <c r="D590" s="3"/>
      <c r="E590" s="3"/>
      <c r="F590" s="3"/>
    </row>
    <row r="591" spans="4:6" ht="12.75" customHeight="1" x14ac:dyDescent="0.25">
      <c r="D591" s="3"/>
      <c r="E591" s="3"/>
      <c r="F591" s="3"/>
    </row>
    <row r="592" spans="4:6" ht="12.75" customHeight="1" x14ac:dyDescent="0.25">
      <c r="D592" s="3"/>
      <c r="E592" s="3"/>
      <c r="F592" s="3"/>
    </row>
    <row r="593" spans="4:6" ht="12.75" customHeight="1" x14ac:dyDescent="0.25">
      <c r="D593" s="3"/>
      <c r="E593" s="3"/>
      <c r="F593" s="3"/>
    </row>
    <row r="594" spans="4:6" ht="12.75" customHeight="1" x14ac:dyDescent="0.25">
      <c r="D594" s="3"/>
      <c r="E594" s="3"/>
      <c r="F594" s="3"/>
    </row>
    <row r="595" spans="4:6" ht="12.75" customHeight="1" x14ac:dyDescent="0.25">
      <c r="D595" s="3"/>
      <c r="E595" s="3"/>
      <c r="F595" s="3"/>
    </row>
    <row r="596" spans="4:6" ht="12.75" customHeight="1" x14ac:dyDescent="0.25">
      <c r="D596" s="3"/>
      <c r="E596" s="3"/>
      <c r="F596" s="3"/>
    </row>
    <row r="597" spans="4:6" ht="12.75" customHeight="1" x14ac:dyDescent="0.25">
      <c r="D597" s="3"/>
      <c r="E597" s="3"/>
      <c r="F597" s="3"/>
    </row>
    <row r="598" spans="4:6" ht="12.75" customHeight="1" x14ac:dyDescent="0.25">
      <c r="D598" s="3"/>
      <c r="E598" s="3"/>
      <c r="F598" s="3"/>
    </row>
    <row r="599" spans="4:6" ht="12.75" customHeight="1" x14ac:dyDescent="0.25">
      <c r="D599" s="3"/>
      <c r="E599" s="3"/>
      <c r="F599" s="3"/>
    </row>
    <row r="600" spans="4:6" ht="12.75" customHeight="1" x14ac:dyDescent="0.25">
      <c r="D600" s="3"/>
      <c r="E600" s="3"/>
      <c r="F600" s="3"/>
    </row>
    <row r="601" spans="4:6" ht="12.75" customHeight="1" x14ac:dyDescent="0.25">
      <c r="D601" s="3"/>
      <c r="E601" s="3"/>
      <c r="F601" s="3"/>
    </row>
    <row r="602" spans="4:6" ht="12.75" customHeight="1" x14ac:dyDescent="0.25">
      <c r="D602" s="3"/>
      <c r="E602" s="3"/>
      <c r="F602" s="3"/>
    </row>
    <row r="603" spans="4:6" ht="12.75" customHeight="1" x14ac:dyDescent="0.25">
      <c r="D603" s="3"/>
      <c r="E603" s="3"/>
      <c r="F603" s="3"/>
    </row>
    <row r="604" spans="4:6" ht="12.75" customHeight="1" x14ac:dyDescent="0.25">
      <c r="D604" s="3"/>
      <c r="E604" s="3"/>
      <c r="F604" s="3"/>
    </row>
    <row r="605" spans="4:6" ht="12.75" customHeight="1" x14ac:dyDescent="0.25">
      <c r="D605" s="3"/>
      <c r="E605" s="3"/>
      <c r="F605" s="3"/>
    </row>
    <row r="606" spans="4:6" ht="12.75" customHeight="1" x14ac:dyDescent="0.25">
      <c r="D606" s="3"/>
      <c r="E606" s="3"/>
      <c r="F606" s="3"/>
    </row>
    <row r="607" spans="4:6" ht="12.75" customHeight="1" x14ac:dyDescent="0.25">
      <c r="D607" s="3"/>
      <c r="E607" s="3"/>
      <c r="F607" s="3"/>
    </row>
    <row r="608" spans="4:6" ht="12.75" customHeight="1" x14ac:dyDescent="0.25">
      <c r="D608" s="3"/>
      <c r="E608" s="3"/>
      <c r="F608" s="3"/>
    </row>
    <row r="609" spans="4:6" ht="12.75" customHeight="1" x14ac:dyDescent="0.25">
      <c r="D609" s="3"/>
      <c r="E609" s="3"/>
      <c r="F609" s="3"/>
    </row>
    <row r="610" spans="4:6" ht="12.75" customHeight="1" x14ac:dyDescent="0.25">
      <c r="D610" s="3"/>
      <c r="E610" s="3"/>
      <c r="F610" s="3"/>
    </row>
    <row r="611" spans="4:6" ht="12.75" customHeight="1" x14ac:dyDescent="0.25">
      <c r="D611" s="3"/>
      <c r="E611" s="3"/>
      <c r="F611" s="3"/>
    </row>
    <row r="612" spans="4:6" ht="12.75" customHeight="1" x14ac:dyDescent="0.25">
      <c r="D612" s="3"/>
      <c r="E612" s="3"/>
      <c r="F612" s="3"/>
    </row>
    <row r="613" spans="4:6" ht="12.75" customHeight="1" x14ac:dyDescent="0.25">
      <c r="D613" s="3"/>
      <c r="E613" s="3"/>
      <c r="F613" s="3"/>
    </row>
    <row r="614" spans="4:6" ht="12.75" customHeight="1" x14ac:dyDescent="0.25">
      <c r="D614" s="3"/>
      <c r="E614" s="3"/>
      <c r="F614" s="3"/>
    </row>
    <row r="615" spans="4:6" ht="12.75" customHeight="1" x14ac:dyDescent="0.25">
      <c r="D615" s="3"/>
      <c r="E615" s="3"/>
      <c r="F615" s="3"/>
    </row>
    <row r="616" spans="4:6" ht="12.75" customHeight="1" x14ac:dyDescent="0.25">
      <c r="D616" s="3"/>
      <c r="E616" s="3"/>
      <c r="F616" s="3"/>
    </row>
    <row r="617" spans="4:6" ht="12.75" customHeight="1" x14ac:dyDescent="0.25">
      <c r="D617" s="3"/>
      <c r="E617" s="3"/>
      <c r="F617" s="3"/>
    </row>
    <row r="618" spans="4:6" ht="12.75" customHeight="1" x14ac:dyDescent="0.25">
      <c r="D618" s="3"/>
      <c r="E618" s="3"/>
      <c r="F618" s="3"/>
    </row>
    <row r="619" spans="4:6" ht="12.75" customHeight="1" x14ac:dyDescent="0.25">
      <c r="D619" s="3"/>
      <c r="E619" s="3"/>
      <c r="F619" s="3"/>
    </row>
    <row r="620" spans="4:6" ht="12.75" customHeight="1" x14ac:dyDescent="0.25">
      <c r="D620" s="3"/>
      <c r="E620" s="3"/>
      <c r="F620" s="3"/>
    </row>
    <row r="621" spans="4:6" ht="12.75" customHeight="1" x14ac:dyDescent="0.25">
      <c r="D621" s="3"/>
      <c r="E621" s="3"/>
      <c r="F621" s="3"/>
    </row>
    <row r="622" spans="4:6" ht="12.75" customHeight="1" x14ac:dyDescent="0.25">
      <c r="D622" s="3"/>
      <c r="E622" s="3"/>
      <c r="F622" s="3"/>
    </row>
    <row r="623" spans="4:6" ht="12.75" customHeight="1" x14ac:dyDescent="0.25">
      <c r="D623" s="3"/>
      <c r="E623" s="3"/>
      <c r="F623" s="3"/>
    </row>
    <row r="624" spans="4:6" ht="12.75" customHeight="1" x14ac:dyDescent="0.25">
      <c r="D624" s="3"/>
      <c r="E624" s="3"/>
      <c r="F624" s="3"/>
    </row>
    <row r="625" spans="4:6" ht="12.75" customHeight="1" x14ac:dyDescent="0.25">
      <c r="D625" s="3"/>
      <c r="E625" s="3"/>
      <c r="F625" s="3"/>
    </row>
    <row r="626" spans="4:6" ht="12.75" customHeight="1" x14ac:dyDescent="0.25">
      <c r="D626" s="3"/>
      <c r="E626" s="3"/>
      <c r="F626" s="3"/>
    </row>
    <row r="627" spans="4:6" ht="12.75" customHeight="1" x14ac:dyDescent="0.25">
      <c r="D627" s="3"/>
      <c r="E627" s="3"/>
      <c r="F627" s="3"/>
    </row>
    <row r="628" spans="4:6" ht="12.75" customHeight="1" x14ac:dyDescent="0.25">
      <c r="D628" s="3"/>
      <c r="E628" s="3"/>
      <c r="F628" s="3"/>
    </row>
    <row r="629" spans="4:6" ht="12.75" customHeight="1" x14ac:dyDescent="0.25">
      <c r="D629" s="3"/>
      <c r="E629" s="3"/>
      <c r="F629" s="3"/>
    </row>
    <row r="630" spans="4:6" ht="12.75" customHeight="1" x14ac:dyDescent="0.25">
      <c r="D630" s="3"/>
      <c r="E630" s="3"/>
      <c r="F630" s="3"/>
    </row>
    <row r="631" spans="4:6" ht="12.75" customHeight="1" x14ac:dyDescent="0.25">
      <c r="D631" s="3"/>
      <c r="E631" s="3"/>
      <c r="F631" s="3"/>
    </row>
    <row r="632" spans="4:6" ht="12.75" customHeight="1" x14ac:dyDescent="0.25">
      <c r="D632" s="3"/>
      <c r="E632" s="3"/>
      <c r="F632" s="3"/>
    </row>
    <row r="633" spans="4:6" ht="12.75" customHeight="1" x14ac:dyDescent="0.25">
      <c r="D633" s="3"/>
      <c r="E633" s="3"/>
      <c r="F633" s="3"/>
    </row>
    <row r="634" spans="4:6" ht="12.75" customHeight="1" x14ac:dyDescent="0.25">
      <c r="D634" s="3"/>
      <c r="E634" s="3"/>
      <c r="F634" s="3"/>
    </row>
    <row r="635" spans="4:6" ht="12.75" customHeight="1" x14ac:dyDescent="0.25">
      <c r="D635" s="3"/>
      <c r="E635" s="3"/>
      <c r="F635" s="3"/>
    </row>
    <row r="636" spans="4:6" ht="12.75" customHeight="1" x14ac:dyDescent="0.25">
      <c r="D636" s="3"/>
      <c r="E636" s="3"/>
      <c r="F636" s="3"/>
    </row>
    <row r="637" spans="4:6" ht="12.75" customHeight="1" x14ac:dyDescent="0.25">
      <c r="D637" s="3"/>
      <c r="E637" s="3"/>
      <c r="F637" s="3"/>
    </row>
    <row r="638" spans="4:6" ht="12.75" customHeight="1" x14ac:dyDescent="0.25">
      <c r="D638" s="3"/>
      <c r="E638" s="3"/>
      <c r="F638" s="3"/>
    </row>
    <row r="639" spans="4:6" ht="12.75" customHeight="1" x14ac:dyDescent="0.25">
      <c r="D639" s="3"/>
      <c r="E639" s="3"/>
      <c r="F639" s="3"/>
    </row>
    <row r="640" spans="4:6" ht="12.75" customHeight="1" x14ac:dyDescent="0.25">
      <c r="D640" s="3"/>
      <c r="E640" s="3"/>
      <c r="F640" s="3"/>
    </row>
    <row r="641" spans="4:6" ht="12.75" customHeight="1" x14ac:dyDescent="0.25">
      <c r="D641" s="3"/>
      <c r="E641" s="3"/>
      <c r="F641" s="3"/>
    </row>
    <row r="642" spans="4:6" ht="12.75" customHeight="1" x14ac:dyDescent="0.25">
      <c r="D642" s="3"/>
      <c r="E642" s="3"/>
      <c r="F642" s="3"/>
    </row>
    <row r="643" spans="4:6" ht="12.75" customHeight="1" x14ac:dyDescent="0.25">
      <c r="D643" s="3"/>
      <c r="E643" s="3"/>
      <c r="F643" s="3"/>
    </row>
    <row r="644" spans="4:6" ht="12.75" customHeight="1" x14ac:dyDescent="0.25">
      <c r="D644" s="3"/>
      <c r="E644" s="3"/>
      <c r="F644" s="3"/>
    </row>
    <row r="645" spans="4:6" ht="12.75" customHeight="1" x14ac:dyDescent="0.25">
      <c r="D645" s="3"/>
      <c r="E645" s="3"/>
      <c r="F645" s="3"/>
    </row>
    <row r="646" spans="4:6" ht="12.75" customHeight="1" x14ac:dyDescent="0.25">
      <c r="D646" s="3"/>
      <c r="E646" s="3"/>
      <c r="F646" s="3"/>
    </row>
    <row r="647" spans="4:6" ht="12.75" customHeight="1" x14ac:dyDescent="0.25">
      <c r="D647" s="3"/>
      <c r="E647" s="3"/>
      <c r="F647" s="3"/>
    </row>
    <row r="648" spans="4:6" ht="12.75" customHeight="1" x14ac:dyDescent="0.25">
      <c r="D648" s="3"/>
      <c r="E648" s="3"/>
      <c r="F648" s="3"/>
    </row>
    <row r="649" spans="4:6" ht="12.75" customHeight="1" x14ac:dyDescent="0.25">
      <c r="D649" s="3"/>
      <c r="E649" s="3"/>
      <c r="F649" s="3"/>
    </row>
    <row r="650" spans="4:6" ht="12.75" customHeight="1" x14ac:dyDescent="0.25">
      <c r="D650" s="3"/>
      <c r="E650" s="3"/>
      <c r="F650" s="3"/>
    </row>
    <row r="651" spans="4:6" ht="12.75" customHeight="1" x14ac:dyDescent="0.25">
      <c r="D651" s="3"/>
      <c r="E651" s="3"/>
      <c r="F651" s="3"/>
    </row>
    <row r="652" spans="4:6" ht="12.75" customHeight="1" x14ac:dyDescent="0.25">
      <c r="D652" s="3"/>
      <c r="E652" s="3"/>
      <c r="F652" s="3"/>
    </row>
    <row r="653" spans="4:6" ht="12.75" customHeight="1" x14ac:dyDescent="0.25">
      <c r="D653" s="3"/>
      <c r="E653" s="3"/>
      <c r="F653" s="3"/>
    </row>
    <row r="654" spans="4:6" ht="12.75" customHeight="1" x14ac:dyDescent="0.25">
      <c r="D654" s="3"/>
      <c r="E654" s="3"/>
      <c r="F654" s="3"/>
    </row>
    <row r="655" spans="4:6" ht="12.75" customHeight="1" x14ac:dyDescent="0.25">
      <c r="D655" s="3"/>
      <c r="E655" s="3"/>
      <c r="F655" s="3"/>
    </row>
    <row r="656" spans="4:6" ht="12.75" customHeight="1" x14ac:dyDescent="0.25">
      <c r="D656" s="3"/>
      <c r="E656" s="3"/>
      <c r="F656" s="3"/>
    </row>
    <row r="657" spans="4:6" ht="12.75" customHeight="1" x14ac:dyDescent="0.25">
      <c r="D657" s="3"/>
      <c r="E657" s="3"/>
      <c r="F657" s="3"/>
    </row>
    <row r="658" spans="4:6" ht="12.75" customHeight="1" x14ac:dyDescent="0.25">
      <c r="D658" s="3"/>
      <c r="E658" s="3"/>
      <c r="F658" s="3"/>
    </row>
    <row r="659" spans="4:6" ht="12.75" customHeight="1" x14ac:dyDescent="0.25">
      <c r="D659" s="3"/>
      <c r="E659" s="3"/>
      <c r="F659" s="3"/>
    </row>
    <row r="660" spans="4:6" ht="12.75" customHeight="1" x14ac:dyDescent="0.25">
      <c r="D660" s="3"/>
      <c r="E660" s="3"/>
      <c r="F660" s="3"/>
    </row>
    <row r="661" spans="4:6" ht="12.75" customHeight="1" x14ac:dyDescent="0.25">
      <c r="D661" s="3"/>
      <c r="E661" s="3"/>
      <c r="F661" s="3"/>
    </row>
    <row r="662" spans="4:6" ht="12.75" customHeight="1" x14ac:dyDescent="0.25">
      <c r="D662" s="3"/>
      <c r="E662" s="3"/>
      <c r="F662" s="3"/>
    </row>
    <row r="663" spans="4:6" ht="12.75" customHeight="1" x14ac:dyDescent="0.25">
      <c r="D663" s="3"/>
      <c r="E663" s="3"/>
      <c r="F663" s="3"/>
    </row>
    <row r="664" spans="4:6" ht="12.75" customHeight="1" x14ac:dyDescent="0.25">
      <c r="D664" s="3"/>
      <c r="E664" s="3"/>
      <c r="F664" s="3"/>
    </row>
    <row r="665" spans="4:6" ht="12.75" customHeight="1" x14ac:dyDescent="0.25">
      <c r="D665" s="3"/>
      <c r="E665" s="3"/>
      <c r="F665" s="3"/>
    </row>
    <row r="666" spans="4:6" ht="12.75" customHeight="1" x14ac:dyDescent="0.25">
      <c r="D666" s="3"/>
      <c r="E666" s="3"/>
      <c r="F666" s="3"/>
    </row>
    <row r="667" spans="4:6" ht="12.75" customHeight="1" x14ac:dyDescent="0.25">
      <c r="D667" s="3"/>
      <c r="E667" s="3"/>
      <c r="F667" s="3"/>
    </row>
    <row r="668" spans="4:6" ht="12.75" customHeight="1" x14ac:dyDescent="0.25">
      <c r="D668" s="3"/>
      <c r="E668" s="3"/>
      <c r="F668" s="3"/>
    </row>
    <row r="669" spans="4:6" ht="12.75" customHeight="1" x14ac:dyDescent="0.25">
      <c r="D669" s="3"/>
      <c r="E669" s="3"/>
      <c r="F669" s="3"/>
    </row>
    <row r="670" spans="4:6" ht="12.75" customHeight="1" x14ac:dyDescent="0.25">
      <c r="D670" s="3"/>
      <c r="E670" s="3"/>
      <c r="F670" s="3"/>
    </row>
    <row r="671" spans="4:6" ht="12.75" customHeight="1" x14ac:dyDescent="0.25">
      <c r="D671" s="3"/>
      <c r="E671" s="3"/>
      <c r="F671" s="3"/>
    </row>
    <row r="672" spans="4:6" ht="12.75" customHeight="1" x14ac:dyDescent="0.25">
      <c r="D672" s="3"/>
      <c r="E672" s="3"/>
      <c r="F672" s="3"/>
    </row>
    <row r="673" spans="4:6" ht="12.75" customHeight="1" x14ac:dyDescent="0.25">
      <c r="D673" s="3"/>
      <c r="E673" s="3"/>
      <c r="F673" s="3"/>
    </row>
    <row r="674" spans="4:6" ht="12.75" customHeight="1" x14ac:dyDescent="0.25">
      <c r="D674" s="3"/>
      <c r="E674" s="3"/>
      <c r="F674" s="3"/>
    </row>
    <row r="675" spans="4:6" ht="12.75" customHeight="1" x14ac:dyDescent="0.25">
      <c r="D675" s="3"/>
      <c r="E675" s="3"/>
      <c r="F675" s="3"/>
    </row>
    <row r="676" spans="4:6" ht="12.75" customHeight="1" x14ac:dyDescent="0.25">
      <c r="D676" s="3"/>
      <c r="E676" s="3"/>
      <c r="F676" s="3"/>
    </row>
    <row r="677" spans="4:6" ht="12.75" customHeight="1" x14ac:dyDescent="0.25">
      <c r="D677" s="3"/>
      <c r="E677" s="3"/>
      <c r="F677" s="3"/>
    </row>
    <row r="678" spans="4:6" ht="12.75" customHeight="1" x14ac:dyDescent="0.25">
      <c r="D678" s="3"/>
      <c r="E678" s="3"/>
      <c r="F678" s="3"/>
    </row>
    <row r="679" spans="4:6" ht="12.75" customHeight="1" x14ac:dyDescent="0.25">
      <c r="D679" s="3"/>
      <c r="E679" s="3"/>
      <c r="F679" s="3"/>
    </row>
    <row r="680" spans="4:6" ht="12.75" customHeight="1" x14ac:dyDescent="0.25">
      <c r="D680" s="3"/>
      <c r="E680" s="3"/>
      <c r="F680" s="3"/>
    </row>
    <row r="681" spans="4:6" ht="12.75" customHeight="1" x14ac:dyDescent="0.25">
      <c r="D681" s="3"/>
      <c r="E681" s="3"/>
      <c r="F681" s="3"/>
    </row>
    <row r="682" spans="4:6" ht="12.75" customHeight="1" x14ac:dyDescent="0.25">
      <c r="D682" s="3"/>
      <c r="E682" s="3"/>
      <c r="F682" s="3"/>
    </row>
    <row r="683" spans="4:6" ht="12.75" customHeight="1" x14ac:dyDescent="0.25">
      <c r="D683" s="3"/>
      <c r="E683" s="3"/>
      <c r="F683" s="3"/>
    </row>
    <row r="684" spans="4:6" ht="12.75" customHeight="1" x14ac:dyDescent="0.25">
      <c r="D684" s="3"/>
      <c r="E684" s="3"/>
      <c r="F684" s="3"/>
    </row>
    <row r="685" spans="4:6" ht="12.75" customHeight="1" x14ac:dyDescent="0.25">
      <c r="D685" s="3"/>
      <c r="E685" s="3"/>
      <c r="F685" s="3"/>
    </row>
    <row r="686" spans="4:6" ht="12.75" customHeight="1" x14ac:dyDescent="0.25">
      <c r="D686" s="3"/>
      <c r="E686" s="3"/>
      <c r="F686" s="3"/>
    </row>
    <row r="687" spans="4:6" ht="12.75" customHeight="1" x14ac:dyDescent="0.25">
      <c r="D687" s="3"/>
      <c r="E687" s="3"/>
      <c r="F687" s="3"/>
    </row>
    <row r="688" spans="4:6" ht="12.75" customHeight="1" x14ac:dyDescent="0.25">
      <c r="D688" s="3"/>
      <c r="E688" s="3"/>
      <c r="F688" s="3"/>
    </row>
    <row r="689" spans="4:6" ht="12.75" customHeight="1" x14ac:dyDescent="0.25">
      <c r="D689" s="3"/>
      <c r="E689" s="3"/>
      <c r="F689" s="3"/>
    </row>
    <row r="690" spans="4:6" ht="12.75" customHeight="1" x14ac:dyDescent="0.25">
      <c r="D690" s="3"/>
      <c r="E690" s="3"/>
      <c r="F690" s="3"/>
    </row>
    <row r="691" spans="4:6" ht="12.75" customHeight="1" x14ac:dyDescent="0.25">
      <c r="D691" s="3"/>
      <c r="E691" s="3"/>
      <c r="F691" s="3"/>
    </row>
    <row r="692" spans="4:6" ht="12.75" customHeight="1" x14ac:dyDescent="0.25">
      <c r="D692" s="3"/>
      <c r="E692" s="3"/>
      <c r="F692" s="3"/>
    </row>
    <row r="693" spans="4:6" ht="12.75" customHeight="1" x14ac:dyDescent="0.25">
      <c r="D693" s="3"/>
      <c r="E693" s="3"/>
      <c r="F693" s="3"/>
    </row>
    <row r="694" spans="4:6" ht="12.75" customHeight="1" x14ac:dyDescent="0.25">
      <c r="D694" s="3"/>
      <c r="E694" s="3"/>
      <c r="F694" s="3"/>
    </row>
    <row r="695" spans="4:6" ht="12.75" customHeight="1" x14ac:dyDescent="0.25">
      <c r="D695" s="3"/>
      <c r="E695" s="3"/>
      <c r="F695" s="3"/>
    </row>
    <row r="696" spans="4:6" ht="12.75" customHeight="1" x14ac:dyDescent="0.25">
      <c r="D696" s="3"/>
      <c r="E696" s="3"/>
      <c r="F696" s="3"/>
    </row>
    <row r="697" spans="4:6" ht="12.75" customHeight="1" x14ac:dyDescent="0.25">
      <c r="D697" s="3"/>
      <c r="E697" s="3"/>
      <c r="F697" s="3"/>
    </row>
    <row r="698" spans="4:6" ht="12.75" customHeight="1" x14ac:dyDescent="0.25">
      <c r="D698" s="3"/>
      <c r="E698" s="3"/>
      <c r="F698" s="3"/>
    </row>
    <row r="699" spans="4:6" ht="12.75" customHeight="1" x14ac:dyDescent="0.25">
      <c r="D699" s="3"/>
      <c r="E699" s="3"/>
      <c r="F699" s="3"/>
    </row>
    <row r="700" spans="4:6" ht="12.75" customHeight="1" x14ac:dyDescent="0.25">
      <c r="D700" s="3"/>
      <c r="E700" s="3"/>
      <c r="F700" s="3"/>
    </row>
    <row r="701" spans="4:6" ht="12.75" customHeight="1" x14ac:dyDescent="0.25">
      <c r="D701" s="3"/>
      <c r="E701" s="3"/>
      <c r="F701" s="3"/>
    </row>
    <row r="702" spans="4:6" ht="12.75" customHeight="1" x14ac:dyDescent="0.25">
      <c r="D702" s="3"/>
      <c r="E702" s="3"/>
      <c r="F702" s="3"/>
    </row>
    <row r="703" spans="4:6" ht="12.75" customHeight="1" x14ac:dyDescent="0.25">
      <c r="D703" s="3"/>
      <c r="E703" s="3"/>
      <c r="F703" s="3"/>
    </row>
    <row r="704" spans="4:6" ht="12.75" customHeight="1" x14ac:dyDescent="0.25">
      <c r="D704" s="3"/>
      <c r="E704" s="3"/>
      <c r="F704" s="3"/>
    </row>
    <row r="705" spans="4:6" ht="12.75" customHeight="1" x14ac:dyDescent="0.25">
      <c r="D705" s="3"/>
      <c r="E705" s="3"/>
      <c r="F705" s="3"/>
    </row>
    <row r="706" spans="4:6" ht="12.75" customHeight="1" x14ac:dyDescent="0.25">
      <c r="D706" s="3"/>
      <c r="E706" s="3"/>
      <c r="F706" s="3"/>
    </row>
    <row r="707" spans="4:6" ht="12.75" customHeight="1" x14ac:dyDescent="0.25">
      <c r="D707" s="3"/>
      <c r="E707" s="3"/>
      <c r="F707" s="3"/>
    </row>
    <row r="708" spans="4:6" ht="12.75" customHeight="1" x14ac:dyDescent="0.25">
      <c r="D708" s="3"/>
      <c r="E708" s="3"/>
      <c r="F708" s="3"/>
    </row>
    <row r="709" spans="4:6" ht="12.75" customHeight="1" x14ac:dyDescent="0.25">
      <c r="D709" s="3"/>
      <c r="E709" s="3"/>
      <c r="F709" s="3"/>
    </row>
    <row r="710" spans="4:6" ht="12.75" customHeight="1" x14ac:dyDescent="0.25">
      <c r="D710" s="3"/>
      <c r="E710" s="3"/>
      <c r="F710" s="3"/>
    </row>
    <row r="711" spans="4:6" ht="12.75" customHeight="1" x14ac:dyDescent="0.25">
      <c r="D711" s="3"/>
      <c r="E711" s="3"/>
      <c r="F711" s="3"/>
    </row>
    <row r="712" spans="4:6" ht="12.75" customHeight="1" x14ac:dyDescent="0.25">
      <c r="D712" s="3"/>
      <c r="E712" s="3"/>
      <c r="F712" s="3"/>
    </row>
    <row r="713" spans="4:6" ht="12.75" customHeight="1" x14ac:dyDescent="0.25">
      <c r="D713" s="3"/>
      <c r="E713" s="3"/>
      <c r="F713" s="3"/>
    </row>
    <row r="714" spans="4:6" ht="12.75" customHeight="1" x14ac:dyDescent="0.25">
      <c r="D714" s="3"/>
      <c r="E714" s="3"/>
      <c r="F714" s="3"/>
    </row>
    <row r="715" spans="4:6" ht="12.75" customHeight="1" x14ac:dyDescent="0.25">
      <c r="D715" s="3"/>
      <c r="E715" s="3"/>
      <c r="F715" s="3"/>
    </row>
    <row r="716" spans="4:6" ht="12.75" customHeight="1" x14ac:dyDescent="0.25">
      <c r="D716" s="3"/>
      <c r="E716" s="3"/>
      <c r="F716" s="3"/>
    </row>
    <row r="717" spans="4:6" ht="12.75" customHeight="1" x14ac:dyDescent="0.25">
      <c r="D717" s="3"/>
      <c r="E717" s="3"/>
      <c r="F717" s="3"/>
    </row>
    <row r="718" spans="4:6" ht="12.75" customHeight="1" x14ac:dyDescent="0.25">
      <c r="D718" s="3"/>
      <c r="E718" s="3"/>
      <c r="F718" s="3"/>
    </row>
    <row r="719" spans="4:6" ht="12.75" customHeight="1" x14ac:dyDescent="0.25">
      <c r="D719" s="3"/>
      <c r="E719" s="3"/>
      <c r="F719" s="3"/>
    </row>
    <row r="720" spans="4:6" ht="12.75" customHeight="1" x14ac:dyDescent="0.25">
      <c r="D720" s="3"/>
      <c r="E720" s="3"/>
      <c r="F720" s="3"/>
    </row>
    <row r="721" spans="4:6" ht="12.75" customHeight="1" x14ac:dyDescent="0.25">
      <c r="D721" s="3"/>
      <c r="E721" s="3"/>
      <c r="F721" s="3"/>
    </row>
    <row r="722" spans="4:6" ht="12.75" customHeight="1" x14ac:dyDescent="0.25">
      <c r="D722" s="3"/>
      <c r="E722" s="3"/>
      <c r="F722" s="3"/>
    </row>
    <row r="723" spans="4:6" ht="12.75" customHeight="1" x14ac:dyDescent="0.25">
      <c r="D723" s="3"/>
      <c r="E723" s="3"/>
      <c r="F723" s="3"/>
    </row>
    <row r="724" spans="4:6" ht="12.75" customHeight="1" x14ac:dyDescent="0.25">
      <c r="D724" s="3"/>
      <c r="E724" s="3"/>
      <c r="F724" s="3"/>
    </row>
    <row r="725" spans="4:6" ht="12.75" customHeight="1" x14ac:dyDescent="0.25">
      <c r="D725" s="3"/>
      <c r="E725" s="3"/>
      <c r="F725" s="3"/>
    </row>
    <row r="726" spans="4:6" ht="12.75" customHeight="1" x14ac:dyDescent="0.25">
      <c r="D726" s="3"/>
      <c r="E726" s="3"/>
      <c r="F726" s="3"/>
    </row>
    <row r="727" spans="4:6" ht="12.75" customHeight="1" x14ac:dyDescent="0.25">
      <c r="D727" s="3"/>
      <c r="E727" s="3"/>
      <c r="F727" s="3"/>
    </row>
    <row r="728" spans="4:6" ht="12.75" customHeight="1" x14ac:dyDescent="0.25">
      <c r="D728" s="3"/>
      <c r="E728" s="3"/>
      <c r="F728" s="3"/>
    </row>
    <row r="729" spans="4:6" ht="12.75" customHeight="1" x14ac:dyDescent="0.25">
      <c r="D729" s="3"/>
      <c r="E729" s="3"/>
      <c r="F729" s="3"/>
    </row>
    <row r="730" spans="4:6" ht="12.75" customHeight="1" x14ac:dyDescent="0.25">
      <c r="D730" s="3"/>
      <c r="E730" s="3"/>
      <c r="F730" s="3"/>
    </row>
    <row r="731" spans="4:6" ht="12.75" customHeight="1" x14ac:dyDescent="0.25">
      <c r="D731" s="3"/>
      <c r="E731" s="3"/>
      <c r="F731" s="3"/>
    </row>
    <row r="732" spans="4:6" ht="12.75" customHeight="1" x14ac:dyDescent="0.25">
      <c r="D732" s="3"/>
      <c r="E732" s="3"/>
      <c r="F732" s="3"/>
    </row>
    <row r="733" spans="4:6" ht="12.75" customHeight="1" x14ac:dyDescent="0.25">
      <c r="D733" s="3"/>
      <c r="E733" s="3"/>
      <c r="F733" s="3"/>
    </row>
    <row r="734" spans="4:6" ht="12.75" customHeight="1" x14ac:dyDescent="0.25">
      <c r="D734" s="3"/>
      <c r="E734" s="3"/>
      <c r="F734" s="3"/>
    </row>
    <row r="735" spans="4:6" ht="12.75" customHeight="1" x14ac:dyDescent="0.25">
      <c r="D735" s="3"/>
      <c r="E735" s="3"/>
      <c r="F735" s="3"/>
    </row>
    <row r="736" spans="4:6" ht="12.75" customHeight="1" x14ac:dyDescent="0.25">
      <c r="D736" s="3"/>
      <c r="E736" s="3"/>
      <c r="F736" s="3"/>
    </row>
    <row r="737" spans="4:6" ht="12.75" customHeight="1" x14ac:dyDescent="0.25">
      <c r="D737" s="3"/>
      <c r="E737" s="3"/>
      <c r="F737" s="3"/>
    </row>
    <row r="738" spans="4:6" ht="12.75" customHeight="1" x14ac:dyDescent="0.25">
      <c r="D738" s="3"/>
      <c r="E738" s="3"/>
      <c r="F738" s="3"/>
    </row>
    <row r="739" spans="4:6" ht="12.75" customHeight="1" x14ac:dyDescent="0.25">
      <c r="D739" s="3"/>
      <c r="E739" s="3"/>
      <c r="F739" s="3"/>
    </row>
    <row r="740" spans="4:6" ht="12.75" customHeight="1" x14ac:dyDescent="0.25">
      <c r="D740" s="3"/>
      <c r="E740" s="3"/>
      <c r="F740" s="3"/>
    </row>
    <row r="741" spans="4:6" ht="12.75" customHeight="1" x14ac:dyDescent="0.25">
      <c r="D741" s="3"/>
      <c r="E741" s="3"/>
      <c r="F741" s="3"/>
    </row>
    <row r="742" spans="4:6" ht="12.75" customHeight="1" x14ac:dyDescent="0.25">
      <c r="D742" s="3"/>
      <c r="E742" s="3"/>
      <c r="F742" s="3"/>
    </row>
    <row r="743" spans="4:6" ht="12.75" customHeight="1" x14ac:dyDescent="0.25">
      <c r="D743" s="3"/>
      <c r="E743" s="3"/>
      <c r="F743" s="3"/>
    </row>
    <row r="744" spans="4:6" ht="12.75" customHeight="1" x14ac:dyDescent="0.25">
      <c r="D744" s="3"/>
      <c r="E744" s="3"/>
      <c r="F744" s="3"/>
    </row>
    <row r="745" spans="4:6" ht="12.75" customHeight="1" x14ac:dyDescent="0.25">
      <c r="D745" s="3"/>
      <c r="E745" s="3"/>
      <c r="F745" s="3"/>
    </row>
    <row r="746" spans="4:6" ht="12.75" customHeight="1" x14ac:dyDescent="0.25">
      <c r="D746" s="3"/>
      <c r="E746" s="3"/>
      <c r="F746" s="3"/>
    </row>
    <row r="747" spans="4:6" ht="12.75" customHeight="1" x14ac:dyDescent="0.25">
      <c r="D747" s="3"/>
      <c r="E747" s="3"/>
      <c r="F747" s="3"/>
    </row>
    <row r="748" spans="4:6" ht="12.75" customHeight="1" x14ac:dyDescent="0.25">
      <c r="D748" s="3"/>
      <c r="E748" s="3"/>
      <c r="F748" s="3"/>
    </row>
    <row r="749" spans="4:6" ht="12.75" customHeight="1" x14ac:dyDescent="0.25">
      <c r="D749" s="3"/>
      <c r="E749" s="3"/>
      <c r="F749" s="3"/>
    </row>
    <row r="750" spans="4:6" ht="12.75" customHeight="1" x14ac:dyDescent="0.25">
      <c r="D750" s="3"/>
      <c r="E750" s="3"/>
      <c r="F750" s="3"/>
    </row>
    <row r="751" spans="4:6" ht="12.75" customHeight="1" x14ac:dyDescent="0.25">
      <c r="D751" s="3"/>
      <c r="E751" s="3"/>
      <c r="F751" s="3"/>
    </row>
    <row r="752" spans="4:6" ht="12.75" customHeight="1" x14ac:dyDescent="0.25">
      <c r="D752" s="3"/>
      <c r="E752" s="3"/>
      <c r="F752" s="3"/>
    </row>
    <row r="753" spans="4:6" ht="12.75" customHeight="1" x14ac:dyDescent="0.25">
      <c r="D753" s="3"/>
      <c r="E753" s="3"/>
      <c r="F753" s="3"/>
    </row>
    <row r="754" spans="4:6" ht="12.75" customHeight="1" x14ac:dyDescent="0.25">
      <c r="D754" s="3"/>
      <c r="E754" s="3"/>
      <c r="F754" s="3"/>
    </row>
    <row r="755" spans="4:6" ht="12.75" customHeight="1" x14ac:dyDescent="0.25">
      <c r="D755" s="3"/>
      <c r="E755" s="3"/>
      <c r="F755" s="3"/>
    </row>
    <row r="756" spans="4:6" ht="12.75" customHeight="1" x14ac:dyDescent="0.25">
      <c r="D756" s="3"/>
      <c r="E756" s="3"/>
      <c r="F756" s="3"/>
    </row>
    <row r="757" spans="4:6" ht="12.75" customHeight="1" x14ac:dyDescent="0.25">
      <c r="D757" s="3"/>
      <c r="E757" s="3"/>
      <c r="F757" s="3"/>
    </row>
    <row r="758" spans="4:6" ht="12.75" customHeight="1" x14ac:dyDescent="0.25">
      <c r="D758" s="3"/>
      <c r="E758" s="3"/>
      <c r="F758" s="3"/>
    </row>
    <row r="759" spans="4:6" ht="12.75" customHeight="1" x14ac:dyDescent="0.25">
      <c r="D759" s="3"/>
      <c r="E759" s="3"/>
      <c r="F759" s="3"/>
    </row>
    <row r="760" spans="4:6" ht="12.75" customHeight="1" x14ac:dyDescent="0.25">
      <c r="D760" s="3"/>
      <c r="E760" s="3"/>
      <c r="F760" s="3"/>
    </row>
    <row r="761" spans="4:6" ht="12.75" customHeight="1" x14ac:dyDescent="0.25">
      <c r="D761" s="3"/>
      <c r="E761" s="3"/>
      <c r="F761" s="3"/>
    </row>
    <row r="762" spans="4:6" ht="12.75" customHeight="1" x14ac:dyDescent="0.25">
      <c r="D762" s="3"/>
      <c r="E762" s="3"/>
      <c r="F762" s="3"/>
    </row>
    <row r="763" spans="4:6" ht="12.75" customHeight="1" x14ac:dyDescent="0.25">
      <c r="D763" s="3"/>
      <c r="E763" s="3"/>
      <c r="F763" s="3"/>
    </row>
    <row r="764" spans="4:6" ht="12.75" customHeight="1" x14ac:dyDescent="0.25">
      <c r="D764" s="3"/>
      <c r="E764" s="3"/>
      <c r="F764" s="3"/>
    </row>
    <row r="765" spans="4:6" ht="12.75" customHeight="1" x14ac:dyDescent="0.25">
      <c r="D765" s="3"/>
      <c r="E765" s="3"/>
      <c r="F765" s="3"/>
    </row>
    <row r="766" spans="4:6" ht="12.75" customHeight="1" x14ac:dyDescent="0.25">
      <c r="D766" s="3"/>
      <c r="E766" s="3"/>
      <c r="F766" s="3"/>
    </row>
    <row r="767" spans="4:6" ht="12.75" customHeight="1" x14ac:dyDescent="0.25">
      <c r="D767" s="3"/>
      <c r="E767" s="3"/>
      <c r="F767" s="3"/>
    </row>
    <row r="768" spans="4:6" ht="12.75" customHeight="1" x14ac:dyDescent="0.25">
      <c r="D768" s="3"/>
      <c r="E768" s="3"/>
      <c r="F768" s="3"/>
    </row>
    <row r="769" spans="4:6" ht="12.75" customHeight="1" x14ac:dyDescent="0.25">
      <c r="D769" s="3"/>
      <c r="E769" s="3"/>
      <c r="F769" s="3"/>
    </row>
    <row r="770" spans="4:6" ht="12.75" customHeight="1" x14ac:dyDescent="0.25">
      <c r="D770" s="3"/>
      <c r="E770" s="3"/>
      <c r="F770" s="3"/>
    </row>
    <row r="771" spans="4:6" ht="12.75" customHeight="1" x14ac:dyDescent="0.25">
      <c r="D771" s="3"/>
      <c r="E771" s="3"/>
      <c r="F771" s="3"/>
    </row>
    <row r="772" spans="4:6" ht="12.75" customHeight="1" x14ac:dyDescent="0.25">
      <c r="D772" s="3"/>
      <c r="E772" s="3"/>
      <c r="F772" s="3"/>
    </row>
    <row r="773" spans="4:6" ht="12.75" customHeight="1" x14ac:dyDescent="0.25">
      <c r="D773" s="3"/>
      <c r="E773" s="3"/>
      <c r="F773" s="3"/>
    </row>
    <row r="774" spans="4:6" ht="12.75" customHeight="1" x14ac:dyDescent="0.25">
      <c r="D774" s="3"/>
      <c r="E774" s="3"/>
      <c r="F774" s="3"/>
    </row>
    <row r="775" spans="4:6" ht="12.75" customHeight="1" x14ac:dyDescent="0.25">
      <c r="D775" s="3"/>
      <c r="E775" s="3"/>
      <c r="F775" s="3"/>
    </row>
    <row r="776" spans="4:6" ht="12.75" customHeight="1" x14ac:dyDescent="0.25">
      <c r="D776" s="3"/>
      <c r="E776" s="3"/>
      <c r="F776" s="3"/>
    </row>
    <row r="777" spans="4:6" ht="12.75" customHeight="1" x14ac:dyDescent="0.25">
      <c r="D777" s="3"/>
      <c r="E777" s="3"/>
      <c r="F777" s="3"/>
    </row>
    <row r="778" spans="4:6" ht="12.75" customHeight="1" x14ac:dyDescent="0.25">
      <c r="D778" s="3"/>
      <c r="E778" s="3"/>
      <c r="F778" s="3"/>
    </row>
    <row r="779" spans="4:6" ht="12.75" customHeight="1" x14ac:dyDescent="0.25">
      <c r="D779" s="3"/>
      <c r="E779" s="3"/>
      <c r="F779" s="3"/>
    </row>
    <row r="780" spans="4:6" ht="12.75" customHeight="1" x14ac:dyDescent="0.25">
      <c r="D780" s="3"/>
      <c r="E780" s="3"/>
      <c r="F780" s="3"/>
    </row>
    <row r="781" spans="4:6" ht="12.75" customHeight="1" x14ac:dyDescent="0.25">
      <c r="D781" s="3"/>
      <c r="E781" s="3"/>
      <c r="F781" s="3"/>
    </row>
    <row r="782" spans="4:6" ht="12.75" customHeight="1" x14ac:dyDescent="0.25">
      <c r="D782" s="3"/>
      <c r="E782" s="3"/>
      <c r="F782" s="3"/>
    </row>
    <row r="783" spans="4:6" ht="12.75" customHeight="1" x14ac:dyDescent="0.25">
      <c r="D783" s="3"/>
      <c r="E783" s="3"/>
      <c r="F783" s="3"/>
    </row>
    <row r="784" spans="4:6" ht="12.75" customHeight="1" x14ac:dyDescent="0.25">
      <c r="D784" s="3"/>
      <c r="E784" s="3"/>
      <c r="F784" s="3"/>
    </row>
    <row r="785" spans="4:6" ht="12.75" customHeight="1" x14ac:dyDescent="0.25">
      <c r="D785" s="3"/>
      <c r="E785" s="3"/>
      <c r="F785" s="3"/>
    </row>
    <row r="786" spans="4:6" ht="12.75" customHeight="1" x14ac:dyDescent="0.25">
      <c r="D786" s="3"/>
      <c r="E786" s="3"/>
      <c r="F786" s="3"/>
    </row>
    <row r="787" spans="4:6" ht="12.75" customHeight="1" x14ac:dyDescent="0.25">
      <c r="D787" s="3"/>
      <c r="E787" s="3"/>
      <c r="F787" s="3"/>
    </row>
    <row r="788" spans="4:6" ht="12.75" customHeight="1" x14ac:dyDescent="0.25">
      <c r="D788" s="3"/>
      <c r="E788" s="3"/>
      <c r="F788" s="3"/>
    </row>
    <row r="789" spans="4:6" ht="12.75" customHeight="1" x14ac:dyDescent="0.25">
      <c r="D789" s="3"/>
      <c r="E789" s="3"/>
      <c r="F789" s="3"/>
    </row>
    <row r="790" spans="4:6" ht="12.75" customHeight="1" x14ac:dyDescent="0.25">
      <c r="D790" s="3"/>
      <c r="E790" s="3"/>
      <c r="F790" s="3"/>
    </row>
    <row r="791" spans="4:6" ht="12.75" customHeight="1" x14ac:dyDescent="0.25">
      <c r="D791" s="3"/>
      <c r="E791" s="3"/>
      <c r="F791" s="3"/>
    </row>
    <row r="792" spans="4:6" ht="12.75" customHeight="1" x14ac:dyDescent="0.25">
      <c r="D792" s="3"/>
      <c r="E792" s="3"/>
      <c r="F792" s="3"/>
    </row>
    <row r="793" spans="4:6" ht="12.75" customHeight="1" x14ac:dyDescent="0.25">
      <c r="D793" s="3"/>
      <c r="E793" s="3"/>
      <c r="F793" s="3"/>
    </row>
    <row r="794" spans="4:6" ht="12.75" customHeight="1" x14ac:dyDescent="0.25">
      <c r="D794" s="3"/>
      <c r="E794" s="3"/>
      <c r="F794" s="3"/>
    </row>
    <row r="795" spans="4:6" ht="12.75" customHeight="1" x14ac:dyDescent="0.25">
      <c r="D795" s="3"/>
      <c r="E795" s="3"/>
      <c r="F795" s="3"/>
    </row>
    <row r="796" spans="4:6" ht="12.75" customHeight="1" x14ac:dyDescent="0.25">
      <c r="D796" s="3"/>
      <c r="E796" s="3"/>
      <c r="F796" s="3"/>
    </row>
    <row r="797" spans="4:6" ht="12.75" customHeight="1" x14ac:dyDescent="0.25">
      <c r="D797" s="3"/>
      <c r="E797" s="3"/>
      <c r="F797" s="3"/>
    </row>
    <row r="798" spans="4:6" ht="12.75" customHeight="1" x14ac:dyDescent="0.25">
      <c r="D798" s="3"/>
      <c r="E798" s="3"/>
      <c r="F798" s="3"/>
    </row>
    <row r="799" spans="4:6" ht="12.75" customHeight="1" x14ac:dyDescent="0.25">
      <c r="D799" s="3"/>
      <c r="E799" s="3"/>
      <c r="F799" s="3"/>
    </row>
    <row r="800" spans="4:6" ht="12.75" customHeight="1" x14ac:dyDescent="0.25">
      <c r="D800" s="3"/>
      <c r="E800" s="3"/>
      <c r="F800" s="3"/>
    </row>
    <row r="801" spans="4:6" ht="12.75" customHeight="1" x14ac:dyDescent="0.25">
      <c r="D801" s="3"/>
      <c r="E801" s="3"/>
      <c r="F801" s="3"/>
    </row>
    <row r="802" spans="4:6" ht="12.75" customHeight="1" x14ac:dyDescent="0.25">
      <c r="D802" s="3"/>
      <c r="E802" s="3"/>
      <c r="F802" s="3"/>
    </row>
    <row r="803" spans="4:6" ht="12.75" customHeight="1" x14ac:dyDescent="0.25">
      <c r="D803" s="3"/>
      <c r="E803" s="3"/>
      <c r="F803" s="3"/>
    </row>
    <row r="804" spans="4:6" ht="12.75" customHeight="1" x14ac:dyDescent="0.25">
      <c r="D804" s="3"/>
      <c r="E804" s="3"/>
      <c r="F804" s="3"/>
    </row>
    <row r="805" spans="4:6" ht="12.75" customHeight="1" x14ac:dyDescent="0.25">
      <c r="D805" s="3"/>
      <c r="E805" s="3"/>
      <c r="F805" s="3"/>
    </row>
    <row r="806" spans="4:6" ht="12.75" customHeight="1" x14ac:dyDescent="0.25">
      <c r="D806" s="3"/>
      <c r="E806" s="3"/>
      <c r="F806" s="3"/>
    </row>
    <row r="807" spans="4:6" ht="12.75" customHeight="1" x14ac:dyDescent="0.25">
      <c r="D807" s="3"/>
      <c r="E807" s="3"/>
      <c r="F807" s="3"/>
    </row>
    <row r="808" spans="4:6" ht="12.75" customHeight="1" x14ac:dyDescent="0.25">
      <c r="D808" s="3"/>
      <c r="E808" s="3"/>
      <c r="F808" s="3"/>
    </row>
    <row r="809" spans="4:6" ht="12.75" customHeight="1" x14ac:dyDescent="0.25">
      <c r="D809" s="3"/>
      <c r="E809" s="3"/>
      <c r="F809" s="3"/>
    </row>
    <row r="810" spans="4:6" ht="12.75" customHeight="1" x14ac:dyDescent="0.25">
      <c r="D810" s="3"/>
      <c r="E810" s="3"/>
      <c r="F810" s="3"/>
    </row>
    <row r="811" spans="4:6" ht="12.75" customHeight="1" x14ac:dyDescent="0.25">
      <c r="D811" s="3"/>
      <c r="E811" s="3"/>
      <c r="F811" s="3"/>
    </row>
    <row r="812" spans="4:6" ht="12.75" customHeight="1" x14ac:dyDescent="0.25">
      <c r="D812" s="3"/>
      <c r="E812" s="3"/>
      <c r="F812" s="3"/>
    </row>
    <row r="813" spans="4:6" ht="12.75" customHeight="1" x14ac:dyDescent="0.25">
      <c r="D813" s="3"/>
      <c r="E813" s="3"/>
      <c r="F813" s="3"/>
    </row>
    <row r="814" spans="4:6" ht="12.75" customHeight="1" x14ac:dyDescent="0.25">
      <c r="D814" s="3"/>
      <c r="E814" s="3"/>
      <c r="F814" s="3"/>
    </row>
    <row r="815" spans="4:6" ht="12.75" customHeight="1" x14ac:dyDescent="0.25">
      <c r="D815" s="3"/>
      <c r="E815" s="3"/>
      <c r="F815" s="3"/>
    </row>
    <row r="816" spans="4:6" ht="12.75" customHeight="1" x14ac:dyDescent="0.25">
      <c r="D816" s="3"/>
      <c r="E816" s="3"/>
      <c r="F816" s="3"/>
    </row>
    <row r="817" spans="4:6" ht="12.75" customHeight="1" x14ac:dyDescent="0.25">
      <c r="D817" s="3"/>
      <c r="E817" s="3"/>
      <c r="F817" s="3"/>
    </row>
    <row r="818" spans="4:6" ht="12.75" customHeight="1" x14ac:dyDescent="0.25">
      <c r="D818" s="3"/>
      <c r="E818" s="3"/>
      <c r="F818" s="3"/>
    </row>
    <row r="819" spans="4:6" ht="12.75" customHeight="1" x14ac:dyDescent="0.25">
      <c r="D819" s="3"/>
      <c r="E819" s="3"/>
      <c r="F819" s="3"/>
    </row>
    <row r="820" spans="4:6" ht="12.75" customHeight="1" x14ac:dyDescent="0.25">
      <c r="D820" s="3"/>
      <c r="E820" s="3"/>
      <c r="F820" s="3"/>
    </row>
    <row r="821" spans="4:6" ht="12.75" customHeight="1" x14ac:dyDescent="0.25">
      <c r="D821" s="3"/>
      <c r="E821" s="3"/>
      <c r="F821" s="3"/>
    </row>
    <row r="822" spans="4:6" ht="12.75" customHeight="1" x14ac:dyDescent="0.25">
      <c r="D822" s="3"/>
      <c r="E822" s="3"/>
      <c r="F822" s="3"/>
    </row>
    <row r="823" spans="4:6" ht="12.75" customHeight="1" x14ac:dyDescent="0.25">
      <c r="D823" s="3"/>
      <c r="E823" s="3"/>
      <c r="F823" s="3"/>
    </row>
    <row r="824" spans="4:6" ht="12.75" customHeight="1" x14ac:dyDescent="0.25">
      <c r="D824" s="3"/>
      <c r="E824" s="3"/>
      <c r="F824" s="3"/>
    </row>
    <row r="825" spans="4:6" ht="12.75" customHeight="1" x14ac:dyDescent="0.25">
      <c r="D825" s="3"/>
      <c r="E825" s="3"/>
      <c r="F825" s="3"/>
    </row>
    <row r="826" spans="4:6" ht="12.75" customHeight="1" x14ac:dyDescent="0.25">
      <c r="D826" s="3"/>
      <c r="E826" s="3"/>
      <c r="F826" s="3"/>
    </row>
    <row r="827" spans="4:6" ht="12.75" customHeight="1" x14ac:dyDescent="0.25">
      <c r="D827" s="3"/>
      <c r="E827" s="3"/>
      <c r="F827" s="3"/>
    </row>
    <row r="828" spans="4:6" ht="12.75" customHeight="1" x14ac:dyDescent="0.25">
      <c r="D828" s="3"/>
      <c r="E828" s="3"/>
      <c r="F828" s="3"/>
    </row>
    <row r="829" spans="4:6" ht="12.75" customHeight="1" x14ac:dyDescent="0.25">
      <c r="D829" s="3"/>
      <c r="E829" s="3"/>
      <c r="F829" s="3"/>
    </row>
    <row r="830" spans="4:6" ht="12.75" customHeight="1" x14ac:dyDescent="0.25">
      <c r="D830" s="3"/>
      <c r="E830" s="3"/>
      <c r="F830" s="3"/>
    </row>
    <row r="831" spans="4:6" ht="12.75" customHeight="1" x14ac:dyDescent="0.25">
      <c r="D831" s="3"/>
      <c r="E831" s="3"/>
      <c r="F831" s="3"/>
    </row>
    <row r="832" spans="4:6" ht="12.75" customHeight="1" x14ac:dyDescent="0.25">
      <c r="D832" s="3"/>
      <c r="E832" s="3"/>
      <c r="F832" s="3"/>
    </row>
    <row r="833" spans="4:6" ht="12.75" customHeight="1" x14ac:dyDescent="0.25">
      <c r="D833" s="3"/>
      <c r="E833" s="3"/>
      <c r="F833" s="3"/>
    </row>
    <row r="834" spans="4:6" ht="12.75" customHeight="1" x14ac:dyDescent="0.25">
      <c r="D834" s="3"/>
      <c r="E834" s="3"/>
      <c r="F834" s="3"/>
    </row>
    <row r="835" spans="4:6" ht="12.75" customHeight="1" x14ac:dyDescent="0.25">
      <c r="D835" s="3"/>
      <c r="E835" s="3"/>
      <c r="F835" s="3"/>
    </row>
    <row r="836" spans="4:6" ht="12.75" customHeight="1" x14ac:dyDescent="0.25">
      <c r="D836" s="3"/>
      <c r="E836" s="3"/>
      <c r="F836" s="3"/>
    </row>
    <row r="837" spans="4:6" ht="12.75" customHeight="1" x14ac:dyDescent="0.25">
      <c r="D837" s="3"/>
      <c r="E837" s="3"/>
      <c r="F837" s="3"/>
    </row>
    <row r="838" spans="4:6" ht="12.75" customHeight="1" x14ac:dyDescent="0.25">
      <c r="D838" s="3"/>
      <c r="E838" s="3"/>
      <c r="F838" s="3"/>
    </row>
    <row r="839" spans="4:6" ht="12.75" customHeight="1" x14ac:dyDescent="0.25">
      <c r="D839" s="3"/>
      <c r="E839" s="3"/>
      <c r="F839" s="3"/>
    </row>
    <row r="840" spans="4:6" ht="12.75" customHeight="1" x14ac:dyDescent="0.25">
      <c r="D840" s="3"/>
      <c r="E840" s="3"/>
      <c r="F840" s="3"/>
    </row>
    <row r="841" spans="4:6" ht="12.75" customHeight="1" x14ac:dyDescent="0.25">
      <c r="D841" s="3"/>
      <c r="E841" s="3"/>
      <c r="F841" s="3"/>
    </row>
    <row r="842" spans="4:6" ht="12.75" customHeight="1" x14ac:dyDescent="0.25">
      <c r="D842" s="3"/>
      <c r="E842" s="3"/>
      <c r="F842" s="3"/>
    </row>
    <row r="843" spans="4:6" ht="12.75" customHeight="1" x14ac:dyDescent="0.25">
      <c r="D843" s="3"/>
      <c r="E843" s="3"/>
      <c r="F843" s="3"/>
    </row>
    <row r="844" spans="4:6" ht="12.75" customHeight="1" x14ac:dyDescent="0.25">
      <c r="D844" s="3"/>
      <c r="E844" s="3"/>
      <c r="F844" s="3"/>
    </row>
    <row r="845" spans="4:6" ht="12.75" customHeight="1" x14ac:dyDescent="0.25">
      <c r="D845" s="3"/>
      <c r="E845" s="3"/>
      <c r="F845" s="3"/>
    </row>
    <row r="846" spans="4:6" ht="12.75" customHeight="1" x14ac:dyDescent="0.25">
      <c r="D846" s="3"/>
      <c r="E846" s="3"/>
      <c r="F846" s="3"/>
    </row>
    <row r="847" spans="4:6" ht="12.75" customHeight="1" x14ac:dyDescent="0.25">
      <c r="D847" s="3"/>
      <c r="E847" s="3"/>
      <c r="F847" s="3"/>
    </row>
    <row r="848" spans="4:6" ht="12.75" customHeight="1" x14ac:dyDescent="0.25">
      <c r="D848" s="3"/>
      <c r="E848" s="3"/>
      <c r="F848" s="3"/>
    </row>
    <row r="849" spans="4:6" ht="12.75" customHeight="1" x14ac:dyDescent="0.25">
      <c r="D849" s="3"/>
      <c r="E849" s="3"/>
      <c r="F849" s="3"/>
    </row>
    <row r="850" spans="4:6" ht="12.75" customHeight="1" x14ac:dyDescent="0.25">
      <c r="D850" s="3"/>
      <c r="E850" s="3"/>
      <c r="F850" s="3"/>
    </row>
    <row r="851" spans="4:6" ht="12.75" customHeight="1" x14ac:dyDescent="0.25">
      <c r="D851" s="3"/>
      <c r="E851" s="3"/>
      <c r="F851" s="3"/>
    </row>
    <row r="852" spans="4:6" ht="12.75" customHeight="1" x14ac:dyDescent="0.25">
      <c r="D852" s="3"/>
      <c r="E852" s="3"/>
      <c r="F852" s="3"/>
    </row>
    <row r="853" spans="4:6" ht="12.75" customHeight="1" x14ac:dyDescent="0.25">
      <c r="D853" s="3"/>
      <c r="E853" s="3"/>
      <c r="F853" s="3"/>
    </row>
    <row r="854" spans="4:6" ht="12.75" customHeight="1" x14ac:dyDescent="0.25">
      <c r="D854" s="3"/>
      <c r="E854" s="3"/>
      <c r="F854" s="3"/>
    </row>
    <row r="855" spans="4:6" ht="12.75" customHeight="1" x14ac:dyDescent="0.25">
      <c r="D855" s="3"/>
      <c r="E855" s="3"/>
      <c r="F855" s="3"/>
    </row>
    <row r="856" spans="4:6" ht="12.75" customHeight="1" x14ac:dyDescent="0.25">
      <c r="D856" s="3"/>
      <c r="E856" s="3"/>
      <c r="F856" s="3"/>
    </row>
    <row r="857" spans="4:6" ht="12.75" customHeight="1" x14ac:dyDescent="0.25">
      <c r="D857" s="3"/>
      <c r="E857" s="3"/>
      <c r="F857" s="3"/>
    </row>
    <row r="858" spans="4:6" ht="12.75" customHeight="1" x14ac:dyDescent="0.25">
      <c r="D858" s="3"/>
      <c r="E858" s="3"/>
      <c r="F858" s="3"/>
    </row>
    <row r="859" spans="4:6" ht="12.75" customHeight="1" x14ac:dyDescent="0.25">
      <c r="D859" s="3"/>
      <c r="E859" s="3"/>
      <c r="F859" s="3"/>
    </row>
    <row r="860" spans="4:6" ht="12.75" customHeight="1" x14ac:dyDescent="0.25">
      <c r="D860" s="3"/>
      <c r="E860" s="3"/>
      <c r="F860" s="3"/>
    </row>
    <row r="861" spans="4:6" ht="12.75" customHeight="1" x14ac:dyDescent="0.25">
      <c r="D861" s="3"/>
      <c r="E861" s="3"/>
      <c r="F861" s="3"/>
    </row>
    <row r="862" spans="4:6" ht="12.75" customHeight="1" x14ac:dyDescent="0.25">
      <c r="D862" s="3"/>
      <c r="E862" s="3"/>
      <c r="F862" s="3"/>
    </row>
    <row r="863" spans="4:6" ht="12.75" customHeight="1" x14ac:dyDescent="0.25">
      <c r="D863" s="3"/>
      <c r="E863" s="3"/>
      <c r="F863" s="3"/>
    </row>
    <row r="864" spans="4:6" ht="12.75" customHeight="1" x14ac:dyDescent="0.25">
      <c r="D864" s="3"/>
      <c r="E864" s="3"/>
      <c r="F864" s="3"/>
    </row>
    <row r="865" spans="4:6" ht="12.75" customHeight="1" x14ac:dyDescent="0.25">
      <c r="D865" s="3"/>
      <c r="E865" s="3"/>
      <c r="F865" s="3"/>
    </row>
    <row r="866" spans="4:6" ht="12.75" customHeight="1" x14ac:dyDescent="0.25">
      <c r="D866" s="3"/>
      <c r="E866" s="3"/>
      <c r="F866" s="3"/>
    </row>
    <row r="867" spans="4:6" ht="12.75" customHeight="1" x14ac:dyDescent="0.25">
      <c r="D867" s="3"/>
      <c r="E867" s="3"/>
      <c r="F867" s="3"/>
    </row>
    <row r="868" spans="4:6" ht="12.75" customHeight="1" x14ac:dyDescent="0.25">
      <c r="D868" s="3"/>
      <c r="E868" s="3"/>
      <c r="F868" s="3"/>
    </row>
    <row r="869" spans="4:6" ht="12.75" customHeight="1" x14ac:dyDescent="0.25">
      <c r="D869" s="3"/>
      <c r="E869" s="3"/>
      <c r="F869" s="3"/>
    </row>
    <row r="870" spans="4:6" ht="12.75" customHeight="1" x14ac:dyDescent="0.25">
      <c r="D870" s="3"/>
      <c r="E870" s="3"/>
      <c r="F870" s="3"/>
    </row>
    <row r="871" spans="4:6" ht="12.75" customHeight="1" x14ac:dyDescent="0.25">
      <c r="D871" s="3"/>
      <c r="E871" s="3"/>
      <c r="F871" s="3"/>
    </row>
    <row r="872" spans="4:6" ht="12.75" customHeight="1" x14ac:dyDescent="0.25">
      <c r="D872" s="3"/>
      <c r="E872" s="3"/>
      <c r="F872" s="3"/>
    </row>
    <row r="873" spans="4:6" ht="12.75" customHeight="1" x14ac:dyDescent="0.25">
      <c r="D873" s="3"/>
      <c r="E873" s="3"/>
      <c r="F873" s="3"/>
    </row>
    <row r="874" spans="4:6" ht="12.75" customHeight="1" x14ac:dyDescent="0.25">
      <c r="D874" s="3"/>
      <c r="E874" s="3"/>
      <c r="F874" s="3"/>
    </row>
    <row r="875" spans="4:6" ht="12.75" customHeight="1" x14ac:dyDescent="0.25">
      <c r="D875" s="3"/>
      <c r="E875" s="3"/>
      <c r="F875" s="3"/>
    </row>
    <row r="876" spans="4:6" ht="12.75" customHeight="1" x14ac:dyDescent="0.25">
      <c r="D876" s="3"/>
      <c r="E876" s="3"/>
      <c r="F876" s="3"/>
    </row>
    <row r="877" spans="4:6" ht="12.75" customHeight="1" x14ac:dyDescent="0.25">
      <c r="D877" s="3"/>
      <c r="E877" s="3"/>
      <c r="F877" s="3"/>
    </row>
    <row r="878" spans="4:6" ht="12.75" customHeight="1" x14ac:dyDescent="0.25">
      <c r="D878" s="3"/>
      <c r="E878" s="3"/>
      <c r="F878" s="3"/>
    </row>
    <row r="879" spans="4:6" ht="12.75" customHeight="1" x14ac:dyDescent="0.25">
      <c r="D879" s="3"/>
      <c r="E879" s="3"/>
      <c r="F879" s="3"/>
    </row>
    <row r="880" spans="4:6" ht="12.75" customHeight="1" x14ac:dyDescent="0.25">
      <c r="D880" s="3"/>
      <c r="E880" s="3"/>
      <c r="F880" s="3"/>
    </row>
    <row r="881" spans="4:6" ht="12.75" customHeight="1" x14ac:dyDescent="0.25">
      <c r="D881" s="3"/>
      <c r="E881" s="3"/>
      <c r="F881" s="3"/>
    </row>
    <row r="882" spans="4:6" ht="12.75" customHeight="1" x14ac:dyDescent="0.25">
      <c r="D882" s="3"/>
      <c r="E882" s="3"/>
      <c r="F882" s="3"/>
    </row>
    <row r="883" spans="4:6" ht="12.75" customHeight="1" x14ac:dyDescent="0.25">
      <c r="D883" s="3"/>
      <c r="E883" s="3"/>
      <c r="F883" s="3"/>
    </row>
    <row r="884" spans="4:6" ht="12.75" customHeight="1" x14ac:dyDescent="0.25">
      <c r="D884" s="3"/>
      <c r="E884" s="3"/>
      <c r="F884" s="3"/>
    </row>
    <row r="885" spans="4:6" ht="12.75" customHeight="1" x14ac:dyDescent="0.25">
      <c r="D885" s="3"/>
      <c r="E885" s="3"/>
      <c r="F885" s="3"/>
    </row>
    <row r="886" spans="4:6" ht="12.75" customHeight="1" x14ac:dyDescent="0.25">
      <c r="D886" s="3"/>
      <c r="E886" s="3"/>
      <c r="F886" s="3"/>
    </row>
    <row r="887" spans="4:6" ht="12.75" customHeight="1" x14ac:dyDescent="0.25">
      <c r="D887" s="3"/>
      <c r="E887" s="3"/>
      <c r="F887" s="3"/>
    </row>
    <row r="888" spans="4:6" ht="12.75" customHeight="1" x14ac:dyDescent="0.25">
      <c r="D888" s="3"/>
      <c r="E888" s="3"/>
      <c r="F888" s="3"/>
    </row>
    <row r="889" spans="4:6" ht="12.75" customHeight="1" x14ac:dyDescent="0.25">
      <c r="D889" s="3"/>
      <c r="E889" s="3"/>
      <c r="F889" s="3"/>
    </row>
    <row r="890" spans="4:6" ht="12.75" customHeight="1" x14ac:dyDescent="0.25">
      <c r="D890" s="3"/>
      <c r="E890" s="3"/>
      <c r="F890" s="3"/>
    </row>
    <row r="891" spans="4:6" ht="12.75" customHeight="1" x14ac:dyDescent="0.25">
      <c r="D891" s="3"/>
      <c r="E891" s="3"/>
      <c r="F891" s="3"/>
    </row>
    <row r="892" spans="4:6" ht="12.75" customHeight="1" x14ac:dyDescent="0.25">
      <c r="D892" s="3"/>
      <c r="E892" s="3"/>
      <c r="F892" s="3"/>
    </row>
    <row r="893" spans="4:6" ht="12.75" customHeight="1" x14ac:dyDescent="0.25">
      <c r="D893" s="3"/>
      <c r="E893" s="3"/>
      <c r="F893" s="3"/>
    </row>
    <row r="894" spans="4:6" ht="12.75" customHeight="1" x14ac:dyDescent="0.25">
      <c r="D894" s="3"/>
      <c r="E894" s="3"/>
      <c r="F894" s="3"/>
    </row>
    <row r="895" spans="4:6" ht="12.75" customHeight="1" x14ac:dyDescent="0.25">
      <c r="D895" s="3"/>
      <c r="E895" s="3"/>
      <c r="F895" s="3"/>
    </row>
    <row r="896" spans="4:6" ht="12.75" customHeight="1" x14ac:dyDescent="0.25">
      <c r="D896" s="3"/>
      <c r="E896" s="3"/>
      <c r="F896" s="3"/>
    </row>
    <row r="897" spans="4:6" ht="12.75" customHeight="1" x14ac:dyDescent="0.25">
      <c r="D897" s="3"/>
      <c r="E897" s="3"/>
      <c r="F897" s="3"/>
    </row>
    <row r="898" spans="4:6" ht="12.75" customHeight="1" x14ac:dyDescent="0.25">
      <c r="D898" s="3"/>
      <c r="E898" s="3"/>
      <c r="F898" s="3"/>
    </row>
    <row r="899" spans="4:6" ht="12.75" customHeight="1" x14ac:dyDescent="0.25">
      <c r="D899" s="3"/>
      <c r="E899" s="3"/>
      <c r="F899" s="3"/>
    </row>
    <row r="900" spans="4:6" ht="12.75" customHeight="1" x14ac:dyDescent="0.25">
      <c r="D900" s="3"/>
      <c r="E900" s="3"/>
      <c r="F900" s="3"/>
    </row>
    <row r="901" spans="4:6" ht="12.75" customHeight="1" x14ac:dyDescent="0.25">
      <c r="D901" s="3"/>
      <c r="E901" s="3"/>
      <c r="F901" s="3"/>
    </row>
    <row r="902" spans="4:6" ht="12.75" customHeight="1" x14ac:dyDescent="0.25">
      <c r="D902" s="3"/>
      <c r="E902" s="3"/>
      <c r="F902" s="3"/>
    </row>
    <row r="903" spans="4:6" ht="12.75" customHeight="1" x14ac:dyDescent="0.25">
      <c r="D903" s="3"/>
      <c r="E903" s="3"/>
      <c r="F903" s="3"/>
    </row>
    <row r="904" spans="4:6" ht="12.75" customHeight="1" x14ac:dyDescent="0.25">
      <c r="D904" s="3"/>
      <c r="E904" s="3"/>
      <c r="F904" s="3"/>
    </row>
    <row r="905" spans="4:6" ht="12.75" customHeight="1" x14ac:dyDescent="0.25">
      <c r="D905" s="3"/>
      <c r="E905" s="3"/>
      <c r="F905" s="3"/>
    </row>
    <row r="906" spans="4:6" ht="12.75" customHeight="1" x14ac:dyDescent="0.25">
      <c r="D906" s="3"/>
      <c r="E906" s="3"/>
      <c r="F906" s="3"/>
    </row>
    <row r="907" spans="4:6" ht="12.75" customHeight="1" x14ac:dyDescent="0.25">
      <c r="D907" s="3"/>
      <c r="E907" s="3"/>
      <c r="F907" s="3"/>
    </row>
    <row r="908" spans="4:6" ht="12.75" customHeight="1" x14ac:dyDescent="0.25">
      <c r="D908" s="3"/>
      <c r="E908" s="3"/>
      <c r="F908" s="3"/>
    </row>
    <row r="909" spans="4:6" ht="12.75" customHeight="1" x14ac:dyDescent="0.25">
      <c r="D909" s="3"/>
      <c r="E909" s="3"/>
      <c r="F909" s="3"/>
    </row>
    <row r="910" spans="4:6" ht="12.75" customHeight="1" x14ac:dyDescent="0.25">
      <c r="D910" s="3"/>
      <c r="E910" s="3"/>
      <c r="F910" s="3"/>
    </row>
    <row r="911" spans="4:6" ht="12.75" customHeight="1" x14ac:dyDescent="0.25">
      <c r="D911" s="3"/>
      <c r="E911" s="3"/>
      <c r="F911" s="3"/>
    </row>
    <row r="912" spans="4:6" ht="12.75" customHeight="1" x14ac:dyDescent="0.25">
      <c r="D912" s="3"/>
      <c r="E912" s="3"/>
      <c r="F912" s="3"/>
    </row>
    <row r="913" spans="4:6" ht="12.75" customHeight="1" x14ac:dyDescent="0.25">
      <c r="D913" s="3"/>
      <c r="E913" s="3"/>
      <c r="F913" s="3"/>
    </row>
    <row r="914" spans="4:6" ht="12.75" customHeight="1" x14ac:dyDescent="0.25">
      <c r="D914" s="3"/>
      <c r="E914" s="3"/>
      <c r="F914" s="3"/>
    </row>
    <row r="915" spans="4:6" ht="12.75" customHeight="1" x14ac:dyDescent="0.25">
      <c r="D915" s="3"/>
      <c r="E915" s="3"/>
      <c r="F915" s="3"/>
    </row>
    <row r="916" spans="4:6" ht="12.75" customHeight="1" x14ac:dyDescent="0.25">
      <c r="D916" s="3"/>
      <c r="E916" s="3"/>
      <c r="F916" s="3"/>
    </row>
    <row r="917" spans="4:6" ht="12.75" customHeight="1" x14ac:dyDescent="0.25">
      <c r="D917" s="3"/>
      <c r="E917" s="3"/>
      <c r="F917" s="3"/>
    </row>
    <row r="918" spans="4:6" ht="12.75" customHeight="1" x14ac:dyDescent="0.25">
      <c r="D918" s="3"/>
      <c r="E918" s="3"/>
      <c r="F918" s="3"/>
    </row>
    <row r="919" spans="4:6" ht="12.75" customHeight="1" x14ac:dyDescent="0.25">
      <c r="D919" s="3"/>
      <c r="E919" s="3"/>
      <c r="F919" s="3"/>
    </row>
    <row r="920" spans="4:6" ht="12.75" customHeight="1" x14ac:dyDescent="0.25">
      <c r="D920" s="3"/>
      <c r="E920" s="3"/>
      <c r="F920" s="3"/>
    </row>
    <row r="921" spans="4:6" ht="12.75" customHeight="1" x14ac:dyDescent="0.25">
      <c r="D921" s="3"/>
      <c r="E921" s="3"/>
      <c r="F921" s="3"/>
    </row>
    <row r="922" spans="4:6" ht="12.75" customHeight="1" x14ac:dyDescent="0.25">
      <c r="D922" s="3"/>
      <c r="E922" s="3"/>
      <c r="F922" s="3"/>
    </row>
    <row r="923" spans="4:6" ht="12.75" customHeight="1" x14ac:dyDescent="0.25">
      <c r="D923" s="3"/>
      <c r="E923" s="3"/>
      <c r="F923" s="3"/>
    </row>
    <row r="924" spans="4:6" ht="12.75" customHeight="1" x14ac:dyDescent="0.25">
      <c r="D924" s="3"/>
      <c r="E924" s="3"/>
      <c r="F924" s="3"/>
    </row>
    <row r="925" spans="4:6" ht="12.75" customHeight="1" x14ac:dyDescent="0.25">
      <c r="D925" s="3"/>
      <c r="E925" s="3"/>
      <c r="F925" s="3"/>
    </row>
    <row r="926" spans="4:6" ht="12.75" customHeight="1" x14ac:dyDescent="0.25">
      <c r="D926" s="3"/>
      <c r="E926" s="3"/>
      <c r="F926" s="3"/>
    </row>
    <row r="927" spans="4:6" ht="12.75" customHeight="1" x14ac:dyDescent="0.25">
      <c r="D927" s="3"/>
      <c r="E927" s="3"/>
      <c r="F927" s="3"/>
    </row>
    <row r="928" spans="4:6" ht="12.75" customHeight="1" x14ac:dyDescent="0.25">
      <c r="D928" s="3"/>
      <c r="E928" s="3"/>
      <c r="F928" s="3"/>
    </row>
    <row r="929" spans="4:6" ht="12.75" customHeight="1" x14ac:dyDescent="0.25">
      <c r="D929" s="3"/>
      <c r="E929" s="3"/>
      <c r="F929" s="3"/>
    </row>
    <row r="930" spans="4:6" ht="12.75" customHeight="1" x14ac:dyDescent="0.25">
      <c r="D930" s="3"/>
      <c r="E930" s="3"/>
      <c r="F930" s="3"/>
    </row>
    <row r="931" spans="4:6" ht="12.75" customHeight="1" x14ac:dyDescent="0.25">
      <c r="D931" s="3"/>
      <c r="E931" s="3"/>
      <c r="F931" s="3"/>
    </row>
    <row r="932" spans="4:6" ht="12.75" customHeight="1" x14ac:dyDescent="0.25">
      <c r="D932" s="3"/>
      <c r="E932" s="3"/>
      <c r="F932" s="3"/>
    </row>
    <row r="933" spans="4:6" ht="12.75" customHeight="1" x14ac:dyDescent="0.25">
      <c r="D933" s="3"/>
      <c r="E933" s="3"/>
      <c r="F933" s="3"/>
    </row>
    <row r="934" spans="4:6" ht="12.75" customHeight="1" x14ac:dyDescent="0.25">
      <c r="D934" s="3"/>
      <c r="E934" s="3"/>
      <c r="F934" s="3"/>
    </row>
    <row r="935" spans="4:6" ht="12.75" customHeight="1" x14ac:dyDescent="0.25">
      <c r="D935" s="3"/>
      <c r="E935" s="3"/>
      <c r="F935" s="3"/>
    </row>
    <row r="936" spans="4:6" ht="12.75" customHeight="1" x14ac:dyDescent="0.25">
      <c r="D936" s="3"/>
      <c r="E936" s="3"/>
      <c r="F936" s="3"/>
    </row>
    <row r="937" spans="4:6" ht="12.75" customHeight="1" x14ac:dyDescent="0.25">
      <c r="D937" s="3"/>
      <c r="E937" s="3"/>
      <c r="F937" s="3"/>
    </row>
    <row r="938" spans="4:6" ht="12.75" customHeight="1" x14ac:dyDescent="0.25">
      <c r="D938" s="3"/>
      <c r="E938" s="3"/>
      <c r="F938" s="3"/>
    </row>
    <row r="939" spans="4:6" ht="12.75" customHeight="1" x14ac:dyDescent="0.25">
      <c r="D939" s="3"/>
      <c r="E939" s="3"/>
      <c r="F939" s="3"/>
    </row>
    <row r="940" spans="4:6" ht="12.75" customHeight="1" x14ac:dyDescent="0.25">
      <c r="D940" s="3"/>
      <c r="E940" s="3"/>
      <c r="F940" s="3"/>
    </row>
    <row r="941" spans="4:6" ht="12.75" customHeight="1" x14ac:dyDescent="0.25">
      <c r="D941" s="3"/>
      <c r="E941" s="3"/>
      <c r="F941" s="3"/>
    </row>
    <row r="942" spans="4:6" ht="12.75" customHeight="1" x14ac:dyDescent="0.25">
      <c r="D942" s="3"/>
      <c r="E942" s="3"/>
      <c r="F942" s="3"/>
    </row>
    <row r="943" spans="4:6" ht="12.75" customHeight="1" x14ac:dyDescent="0.25">
      <c r="D943" s="3"/>
      <c r="E943" s="3"/>
      <c r="F943" s="3"/>
    </row>
    <row r="944" spans="4:6" ht="12.75" customHeight="1" x14ac:dyDescent="0.25">
      <c r="D944" s="3"/>
      <c r="E944" s="3"/>
      <c r="F944" s="3"/>
    </row>
    <row r="945" spans="4:6" ht="12.75" customHeight="1" x14ac:dyDescent="0.25">
      <c r="D945" s="3"/>
      <c r="E945" s="3"/>
      <c r="F945" s="3"/>
    </row>
    <row r="946" spans="4:6" ht="12.75" customHeight="1" x14ac:dyDescent="0.25">
      <c r="D946" s="3"/>
      <c r="E946" s="3"/>
      <c r="F946" s="3"/>
    </row>
    <row r="947" spans="4:6" ht="12.75" customHeight="1" x14ac:dyDescent="0.25">
      <c r="D947" s="3"/>
      <c r="E947" s="3"/>
      <c r="F947" s="3"/>
    </row>
    <row r="948" spans="4:6" ht="12.75" customHeight="1" x14ac:dyDescent="0.25">
      <c r="D948" s="3"/>
      <c r="E948" s="3"/>
      <c r="F948" s="3"/>
    </row>
    <row r="949" spans="4:6" ht="12.75" customHeight="1" x14ac:dyDescent="0.25">
      <c r="D949" s="3"/>
      <c r="E949" s="3"/>
      <c r="F949" s="3"/>
    </row>
    <row r="950" spans="4:6" ht="12.75" customHeight="1" x14ac:dyDescent="0.25">
      <c r="D950" s="3"/>
      <c r="E950" s="3"/>
      <c r="F950" s="3"/>
    </row>
    <row r="951" spans="4:6" ht="12.75" customHeight="1" x14ac:dyDescent="0.25">
      <c r="D951" s="3"/>
      <c r="E951" s="3"/>
      <c r="F951" s="3"/>
    </row>
    <row r="952" spans="4:6" ht="12.75" customHeight="1" x14ac:dyDescent="0.25">
      <c r="D952" s="3"/>
      <c r="E952" s="3"/>
      <c r="F952" s="3"/>
    </row>
    <row r="953" spans="4:6" ht="12.75" customHeight="1" x14ac:dyDescent="0.25">
      <c r="D953" s="3"/>
      <c r="E953" s="3"/>
      <c r="F953" s="3"/>
    </row>
    <row r="954" spans="4:6" ht="12.75" customHeight="1" x14ac:dyDescent="0.25">
      <c r="D954" s="3"/>
      <c r="E954" s="3"/>
      <c r="F954" s="3"/>
    </row>
    <row r="955" spans="4:6" ht="12.75" customHeight="1" x14ac:dyDescent="0.25">
      <c r="D955" s="3"/>
      <c r="E955" s="3"/>
      <c r="F955" s="3"/>
    </row>
    <row r="956" spans="4:6" ht="12.75" customHeight="1" x14ac:dyDescent="0.25">
      <c r="D956" s="3"/>
      <c r="E956" s="3"/>
      <c r="F956" s="3"/>
    </row>
    <row r="957" spans="4:6" ht="12.75" customHeight="1" x14ac:dyDescent="0.25">
      <c r="D957" s="3"/>
      <c r="E957" s="3"/>
      <c r="F957" s="3"/>
    </row>
    <row r="958" spans="4:6" ht="12.75" customHeight="1" x14ac:dyDescent="0.25">
      <c r="D958" s="3"/>
      <c r="E958" s="3"/>
      <c r="F958" s="3"/>
    </row>
    <row r="959" spans="4:6" ht="12.75" customHeight="1" x14ac:dyDescent="0.25">
      <c r="D959" s="3"/>
      <c r="E959" s="3"/>
      <c r="F959" s="3"/>
    </row>
    <row r="960" spans="4:6" ht="12.75" customHeight="1" x14ac:dyDescent="0.25">
      <c r="D960" s="3"/>
      <c r="E960" s="3"/>
      <c r="F960" s="3"/>
    </row>
    <row r="961" spans="4:6" ht="12.75" customHeight="1" x14ac:dyDescent="0.25">
      <c r="D961" s="3"/>
      <c r="E961" s="3"/>
      <c r="F961" s="3"/>
    </row>
    <row r="962" spans="4:6" ht="12.75" customHeight="1" x14ac:dyDescent="0.25">
      <c r="D962" s="3"/>
      <c r="E962" s="3"/>
      <c r="F962" s="3"/>
    </row>
    <row r="963" spans="4:6" ht="12.75" customHeight="1" x14ac:dyDescent="0.25">
      <c r="D963" s="3"/>
      <c r="E963" s="3"/>
      <c r="F963" s="3"/>
    </row>
    <row r="964" spans="4:6" ht="12.75" customHeight="1" x14ac:dyDescent="0.25">
      <c r="D964" s="3"/>
      <c r="E964" s="3"/>
      <c r="F964" s="3"/>
    </row>
    <row r="965" spans="4:6" ht="12.75" customHeight="1" x14ac:dyDescent="0.25">
      <c r="D965" s="3"/>
      <c r="E965" s="3"/>
      <c r="F965" s="3"/>
    </row>
    <row r="966" spans="4:6" ht="12.75" customHeight="1" x14ac:dyDescent="0.25">
      <c r="D966" s="3"/>
      <c r="E966" s="3"/>
      <c r="F966" s="3"/>
    </row>
    <row r="967" spans="4:6" ht="12.75" customHeight="1" x14ac:dyDescent="0.25">
      <c r="D967" s="3"/>
      <c r="E967" s="3"/>
      <c r="F967" s="3"/>
    </row>
    <row r="968" spans="4:6" ht="12.75" customHeight="1" x14ac:dyDescent="0.25">
      <c r="D968" s="3"/>
      <c r="E968" s="3"/>
      <c r="F968" s="3"/>
    </row>
    <row r="969" spans="4:6" ht="12.75" customHeight="1" x14ac:dyDescent="0.25">
      <c r="D969" s="3"/>
      <c r="E969" s="3"/>
      <c r="F969" s="3"/>
    </row>
    <row r="970" spans="4:6" ht="12.75" customHeight="1" x14ac:dyDescent="0.25">
      <c r="D970" s="3"/>
      <c r="E970" s="3"/>
      <c r="F970" s="3"/>
    </row>
    <row r="971" spans="4:6" ht="12.75" customHeight="1" x14ac:dyDescent="0.25">
      <c r="D971" s="3"/>
      <c r="E971" s="3"/>
      <c r="F971" s="3"/>
    </row>
    <row r="972" spans="4:6" ht="12.75" customHeight="1" x14ac:dyDescent="0.25">
      <c r="D972" s="3"/>
      <c r="E972" s="3"/>
      <c r="F972" s="3"/>
    </row>
    <row r="973" spans="4:6" ht="12.75" customHeight="1" x14ac:dyDescent="0.25">
      <c r="D973" s="3"/>
      <c r="E973" s="3"/>
      <c r="F973" s="3"/>
    </row>
    <row r="974" spans="4:6" ht="12.75" customHeight="1" x14ac:dyDescent="0.25">
      <c r="D974" s="3"/>
      <c r="E974" s="3"/>
      <c r="F974" s="3"/>
    </row>
    <row r="975" spans="4:6" ht="12.75" customHeight="1" x14ac:dyDescent="0.25">
      <c r="D975" s="3"/>
      <c r="E975" s="3"/>
      <c r="F975" s="3"/>
    </row>
    <row r="976" spans="4:6" ht="12.75" customHeight="1" x14ac:dyDescent="0.25">
      <c r="D976" s="3"/>
      <c r="E976" s="3"/>
      <c r="F976" s="3"/>
    </row>
    <row r="977" spans="4:6" ht="12.75" customHeight="1" x14ac:dyDescent="0.25">
      <c r="D977" s="3"/>
      <c r="E977" s="3"/>
      <c r="F977" s="3"/>
    </row>
    <row r="978" spans="4:6" ht="12.75" customHeight="1" x14ac:dyDescent="0.25">
      <c r="D978" s="3"/>
      <c r="E978" s="3"/>
      <c r="F978" s="3"/>
    </row>
    <row r="979" spans="4:6" ht="12.75" customHeight="1" x14ac:dyDescent="0.25">
      <c r="D979" s="3"/>
      <c r="E979" s="3"/>
      <c r="F979" s="3"/>
    </row>
    <row r="980" spans="4:6" ht="12.75" customHeight="1" x14ac:dyDescent="0.25">
      <c r="D980" s="3"/>
      <c r="E980" s="3"/>
      <c r="F980" s="3"/>
    </row>
    <row r="981" spans="4:6" ht="12.75" customHeight="1" x14ac:dyDescent="0.25">
      <c r="D981" s="3"/>
      <c r="E981" s="3"/>
      <c r="F981" s="3"/>
    </row>
    <row r="982" spans="4:6" ht="12.75" customHeight="1" x14ac:dyDescent="0.25">
      <c r="D982" s="3"/>
      <c r="E982" s="3"/>
      <c r="F982" s="3"/>
    </row>
    <row r="983" spans="4:6" ht="12.75" customHeight="1" x14ac:dyDescent="0.25">
      <c r="D983" s="3"/>
      <c r="E983" s="3"/>
      <c r="F983" s="3"/>
    </row>
    <row r="984" spans="4:6" ht="12.75" customHeight="1" x14ac:dyDescent="0.25">
      <c r="D984" s="3"/>
      <c r="E984" s="3"/>
      <c r="F984" s="3"/>
    </row>
    <row r="985" spans="4:6" ht="12.75" customHeight="1" x14ac:dyDescent="0.25">
      <c r="D985" s="3"/>
      <c r="E985" s="3"/>
      <c r="F985" s="3"/>
    </row>
    <row r="986" spans="4:6" ht="12.75" customHeight="1" x14ac:dyDescent="0.25">
      <c r="D986" s="3"/>
      <c r="E986" s="3"/>
      <c r="F986" s="3"/>
    </row>
    <row r="987" spans="4:6" ht="12.75" customHeight="1" x14ac:dyDescent="0.25">
      <c r="D987" s="3"/>
      <c r="E987" s="3"/>
      <c r="F987" s="3"/>
    </row>
    <row r="988" spans="4:6" ht="12.75" customHeight="1" x14ac:dyDescent="0.25">
      <c r="D988" s="3"/>
      <c r="E988" s="3"/>
      <c r="F988" s="3"/>
    </row>
    <row r="989" spans="4:6" ht="12.75" customHeight="1" x14ac:dyDescent="0.25">
      <c r="D989" s="3"/>
      <c r="E989" s="3"/>
      <c r="F989" s="3"/>
    </row>
    <row r="990" spans="4:6" ht="12.75" customHeight="1" x14ac:dyDescent="0.25">
      <c r="D990" s="3"/>
      <c r="E990" s="3"/>
      <c r="F990" s="3"/>
    </row>
    <row r="991" spans="4:6" ht="12.75" customHeight="1" x14ac:dyDescent="0.25">
      <c r="D991" s="3"/>
      <c r="E991" s="3"/>
      <c r="F991" s="3"/>
    </row>
    <row r="992" spans="4:6" ht="12.75" customHeight="1" x14ac:dyDescent="0.25">
      <c r="D992" s="3"/>
      <c r="E992" s="3"/>
      <c r="F992" s="3"/>
    </row>
    <row r="993" spans="4:6" ht="12.75" customHeight="1" x14ac:dyDescent="0.25">
      <c r="D993" s="3"/>
      <c r="E993" s="3"/>
      <c r="F993" s="3"/>
    </row>
    <row r="994" spans="4:6" ht="12.75" customHeight="1" x14ac:dyDescent="0.25">
      <c r="D994" s="3"/>
      <c r="E994" s="3"/>
      <c r="F994" s="3"/>
    </row>
    <row r="995" spans="4:6" ht="12.75" customHeight="1" x14ac:dyDescent="0.25">
      <c r="D995" s="3"/>
      <c r="E995" s="3"/>
      <c r="F995" s="3"/>
    </row>
    <row r="996" spans="4:6" ht="12.75" customHeight="1" x14ac:dyDescent="0.25">
      <c r="D996" s="3"/>
      <c r="E996" s="3"/>
      <c r="F996" s="3"/>
    </row>
    <row r="997" spans="4:6" ht="12.75" customHeight="1" x14ac:dyDescent="0.25">
      <c r="D997" s="3"/>
      <c r="E997" s="3"/>
      <c r="F997" s="3"/>
    </row>
    <row r="998" spans="4:6" ht="12.75" customHeight="1" x14ac:dyDescent="0.25">
      <c r="D998" s="3"/>
      <c r="E998" s="3"/>
      <c r="F998" s="3"/>
    </row>
    <row r="999" spans="4:6" ht="12.75" customHeight="1" x14ac:dyDescent="0.25">
      <c r="D999" s="3"/>
      <c r="E999" s="3"/>
      <c r="F999" s="3"/>
    </row>
    <row r="1000" spans="4:6" ht="12.75" customHeight="1" x14ac:dyDescent="0.25">
      <c r="D1000" s="3"/>
      <c r="E1000" s="3"/>
      <c r="F1000" s="3"/>
    </row>
  </sheetData>
  <mergeCells count="4">
    <mergeCell ref="I3:M5"/>
    <mergeCell ref="I6:M8"/>
    <mergeCell ref="I10:M12"/>
    <mergeCell ref="I13:M15"/>
  </mergeCells>
  <conditionalFormatting sqref="G3:G15 G17:G1000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G3:G15 G17:G1000">
    <cfRule type="cellIs" dxfId="9" priority="2" stopIfTrue="1" operator="equal">
      <formula>"error"</formula>
    </cfRule>
  </conditionalFormatting>
  <conditionalFormatting sqref="G3:G15 G17:G1000">
    <cfRule type="cellIs" dxfId="8" priority="3" stopIfTrue="1" operator="equal">
      <formula>"OK"</formula>
    </cfRule>
  </conditionalFormatting>
  <conditionalFormatting sqref="I13">
    <cfRule type="colorScale" priority="4">
      <colorScale>
        <cfvo type="formula" val="0.19"/>
        <cfvo type="formula" val="0.2"/>
        <cfvo type="formula" val="0.5"/>
        <color rgb="FF92D050"/>
        <color rgb="FFFFEB84"/>
        <color rgb="FFD99594"/>
      </colorScale>
    </cfRule>
  </conditionalFormatting>
  <conditionalFormatting sqref="I6:M8">
    <cfRule type="colorScale" priority="5">
      <colorScale>
        <cfvo type="formula" val="0.19"/>
        <cfvo type="formula" val="0.2"/>
        <cfvo type="formula" val="0.5"/>
        <color rgb="FF92D050"/>
        <color rgb="FFFFEB84"/>
        <color rgb="FFD99594"/>
      </colorScale>
    </cfRule>
  </conditionalFormatting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00"/>
  <sheetViews>
    <sheetView workbookViewId="0"/>
  </sheetViews>
  <sheetFormatPr baseColWidth="10" defaultColWidth="12.6328125" defaultRowHeight="15" customHeight="1" x14ac:dyDescent="0.25"/>
  <cols>
    <col min="1" max="1" width="10.6328125" customWidth="1"/>
    <col min="2" max="2" width="15" customWidth="1"/>
    <col min="3" max="3" width="12.26953125" customWidth="1"/>
    <col min="4" max="4" width="18" customWidth="1"/>
    <col min="5" max="5" width="3.7265625" hidden="1" customWidth="1"/>
    <col min="6" max="6" width="3.90625" hidden="1" customWidth="1"/>
    <col min="7" max="7" width="20.08984375" customWidth="1"/>
    <col min="8" max="8" width="4" customWidth="1"/>
    <col min="9" max="26" width="10.6328125" customWidth="1"/>
  </cols>
  <sheetData>
    <row r="1" spans="2:13" ht="12.75" customHeight="1" x14ac:dyDescent="0.25">
      <c r="D1" s="3"/>
      <c r="E1" s="3"/>
      <c r="F1" s="3"/>
    </row>
    <row r="2" spans="2:13" ht="12.75" customHeight="1" x14ac:dyDescent="0.25">
      <c r="D2" s="3"/>
      <c r="E2" s="3"/>
      <c r="F2" s="3"/>
    </row>
    <row r="3" spans="2:13" ht="18" customHeight="1" x14ac:dyDescent="0.4">
      <c r="B3" s="30" t="s">
        <v>35</v>
      </c>
      <c r="C3" s="21" t="s">
        <v>23</v>
      </c>
      <c r="D3" s="21" t="s">
        <v>24</v>
      </c>
      <c r="E3" s="21"/>
      <c r="F3" s="21"/>
      <c r="G3" s="21"/>
      <c r="H3" s="3"/>
      <c r="I3" s="48" t="s">
        <v>25</v>
      </c>
      <c r="J3" s="49"/>
      <c r="K3" s="49"/>
      <c r="L3" s="49"/>
      <c r="M3" s="50"/>
    </row>
    <row r="4" spans="2:13" ht="18" customHeight="1" x14ac:dyDescent="0.4">
      <c r="B4" s="21">
        <v>1</v>
      </c>
      <c r="C4" s="21">
        <v>10</v>
      </c>
      <c r="D4" s="21">
        <v>9</v>
      </c>
      <c r="E4" s="21">
        <f>C4-TOTAL!G4</f>
        <v>0</v>
      </c>
      <c r="F4" s="21">
        <f>D4-TOTAL!H4</f>
        <v>0</v>
      </c>
      <c r="G4" s="21" t="str">
        <f t="shared" ref="G4:G14" si="0">IF(AND(E4=0,F4=0),IF(B4="T","OKPELEA","OK"),IF(B4="T","ERRORPELEA","ERROR"))</f>
        <v>OK</v>
      </c>
      <c r="H4" s="3"/>
      <c r="I4" s="51"/>
      <c r="J4" s="52"/>
      <c r="K4" s="52"/>
      <c r="L4" s="52"/>
      <c r="M4" s="53"/>
    </row>
    <row r="5" spans="2:13" ht="18" customHeight="1" x14ac:dyDescent="0.4">
      <c r="B5" s="21">
        <v>2</v>
      </c>
      <c r="C5" s="21">
        <v>10</v>
      </c>
      <c r="D5" s="21">
        <v>9</v>
      </c>
      <c r="E5" s="21">
        <f>C5-TOTAL!G5</f>
        <v>0</v>
      </c>
      <c r="F5" s="21">
        <f>D5-TOTAL!H5</f>
        <v>0</v>
      </c>
      <c r="G5" s="21" t="str">
        <f t="shared" si="0"/>
        <v>OK</v>
      </c>
      <c r="H5" s="3"/>
      <c r="I5" s="54"/>
      <c r="J5" s="55"/>
      <c r="K5" s="55"/>
      <c r="L5" s="55"/>
      <c r="M5" s="56"/>
    </row>
    <row r="6" spans="2:13" ht="18" customHeight="1" x14ac:dyDescent="0.4">
      <c r="B6" s="21">
        <v>3</v>
      </c>
      <c r="C6" s="21">
        <v>10</v>
      </c>
      <c r="D6" s="21">
        <v>9</v>
      </c>
      <c r="E6" s="21">
        <f>C6-TOTAL!G6</f>
        <v>0</v>
      </c>
      <c r="F6" s="21">
        <f>D6-TOTAL!H6</f>
        <v>0</v>
      </c>
      <c r="G6" s="21" t="str">
        <f t="shared" si="0"/>
        <v>OK</v>
      </c>
      <c r="H6" s="3"/>
      <c r="I6" s="57">
        <f>COUNTIF(G4:G13,"ERROR")*1/10</f>
        <v>0</v>
      </c>
      <c r="J6" s="49"/>
      <c r="K6" s="49"/>
      <c r="L6" s="49"/>
      <c r="M6" s="50"/>
    </row>
    <row r="7" spans="2:13" ht="18" customHeight="1" x14ac:dyDescent="0.4">
      <c r="B7" s="21">
        <v>4</v>
      </c>
      <c r="C7" s="21">
        <v>9</v>
      </c>
      <c r="D7" s="21">
        <v>10</v>
      </c>
      <c r="E7" s="21">
        <f>C7-TOTAL!G7</f>
        <v>0</v>
      </c>
      <c r="F7" s="21">
        <f>D7-TOTAL!H7</f>
        <v>0</v>
      </c>
      <c r="G7" s="21" t="str">
        <f t="shared" si="0"/>
        <v>OK</v>
      </c>
      <c r="H7" s="3"/>
      <c r="I7" s="51"/>
      <c r="J7" s="52"/>
      <c r="K7" s="52"/>
      <c r="L7" s="52"/>
      <c r="M7" s="53"/>
    </row>
    <row r="8" spans="2:13" ht="18" customHeight="1" x14ac:dyDescent="0.4">
      <c r="B8" s="21">
        <v>5</v>
      </c>
      <c r="C8" s="21">
        <v>9</v>
      </c>
      <c r="D8" s="21">
        <v>10</v>
      </c>
      <c r="E8" s="21">
        <f>C8-TOTAL!G8</f>
        <v>0</v>
      </c>
      <c r="F8" s="21">
        <f>D8-TOTAL!H8</f>
        <v>0</v>
      </c>
      <c r="G8" s="21" t="str">
        <f t="shared" si="0"/>
        <v>OK</v>
      </c>
      <c r="H8" s="3"/>
      <c r="I8" s="54"/>
      <c r="J8" s="55"/>
      <c r="K8" s="55"/>
      <c r="L8" s="55"/>
      <c r="M8" s="56"/>
    </row>
    <row r="9" spans="2:13" ht="18" customHeight="1" x14ac:dyDescent="0.4">
      <c r="B9" s="21">
        <v>6</v>
      </c>
      <c r="C9" s="23">
        <v>10</v>
      </c>
      <c r="D9" s="23">
        <v>9</v>
      </c>
      <c r="E9" s="21">
        <f>C9-TOTAL!G9</f>
        <v>0</v>
      </c>
      <c r="F9" s="21">
        <f>D9-TOTAL!H9</f>
        <v>0</v>
      </c>
      <c r="G9" s="21" t="str">
        <f t="shared" si="0"/>
        <v>OK</v>
      </c>
      <c r="H9" s="3"/>
    </row>
    <row r="10" spans="2:13" ht="18" customHeight="1" x14ac:dyDescent="0.4">
      <c r="B10" s="21">
        <v>7</v>
      </c>
      <c r="C10" s="21">
        <v>10</v>
      </c>
      <c r="D10" s="21">
        <v>9</v>
      </c>
      <c r="E10" s="21">
        <f>C10-TOTAL!G10</f>
        <v>0</v>
      </c>
      <c r="F10" s="21">
        <f>D10-TOTAL!H10</f>
        <v>0</v>
      </c>
      <c r="G10" s="21" t="str">
        <f t="shared" si="0"/>
        <v>OK</v>
      </c>
      <c r="H10" s="3"/>
      <c r="I10" s="48" t="s">
        <v>31</v>
      </c>
      <c r="J10" s="49"/>
      <c r="K10" s="49"/>
      <c r="L10" s="49"/>
      <c r="M10" s="50"/>
    </row>
    <row r="11" spans="2:13" ht="18" customHeight="1" x14ac:dyDescent="0.4">
      <c r="B11" s="21">
        <v>8</v>
      </c>
      <c r="C11" s="21">
        <v>10</v>
      </c>
      <c r="D11" s="21">
        <v>9</v>
      </c>
      <c r="E11" s="21">
        <f>C11-TOTAL!G11</f>
        <v>0</v>
      </c>
      <c r="F11" s="21">
        <f>D11-TOTAL!H11</f>
        <v>0</v>
      </c>
      <c r="G11" s="21" t="str">
        <f t="shared" si="0"/>
        <v>OK</v>
      </c>
      <c r="H11" s="3"/>
      <c r="I11" s="51"/>
      <c r="J11" s="52"/>
      <c r="K11" s="52"/>
      <c r="L11" s="52"/>
      <c r="M11" s="53"/>
    </row>
    <row r="12" spans="2:13" ht="18" customHeight="1" x14ac:dyDescent="0.4">
      <c r="B12" s="21">
        <v>9</v>
      </c>
      <c r="C12" s="21">
        <v>10</v>
      </c>
      <c r="D12" s="21">
        <v>9</v>
      </c>
      <c r="E12" s="21">
        <f>C12-TOTAL!G12</f>
        <v>0</v>
      </c>
      <c r="F12" s="21">
        <f>D12-TOTAL!H12</f>
        <v>0</v>
      </c>
      <c r="G12" s="21" t="str">
        <f t="shared" si="0"/>
        <v>OK</v>
      </c>
      <c r="H12" s="3"/>
      <c r="I12" s="54"/>
      <c r="J12" s="55"/>
      <c r="K12" s="55"/>
      <c r="L12" s="55"/>
      <c r="M12" s="56"/>
    </row>
    <row r="13" spans="2:13" ht="18" customHeight="1" x14ac:dyDescent="0.4">
      <c r="B13" s="21">
        <v>10</v>
      </c>
      <c r="C13" s="23">
        <v>10</v>
      </c>
      <c r="D13" s="23">
        <v>9</v>
      </c>
      <c r="E13" s="21">
        <f>C13-TOTAL!G13</f>
        <v>0</v>
      </c>
      <c r="F13" s="21">
        <f>D13-TOTAL!H13</f>
        <v>0</v>
      </c>
      <c r="G13" s="21" t="str">
        <f t="shared" si="0"/>
        <v>OK</v>
      </c>
      <c r="H13" s="3"/>
      <c r="I13" s="58">
        <v>0</v>
      </c>
      <c r="J13" s="49"/>
      <c r="K13" s="49"/>
      <c r="L13" s="49"/>
      <c r="M13" s="50"/>
    </row>
    <row r="14" spans="2:13" ht="18" customHeight="1" x14ac:dyDescent="0.4">
      <c r="B14" s="21" t="s">
        <v>3</v>
      </c>
      <c r="C14" s="21">
        <f t="shared" ref="C14:D14" si="1">SUM(C4:C13)</f>
        <v>98</v>
      </c>
      <c r="D14" s="21">
        <f t="shared" si="1"/>
        <v>92</v>
      </c>
      <c r="E14" s="21">
        <f>C14-TOTAL!G14</f>
        <v>0</v>
      </c>
      <c r="F14" s="21">
        <f>D14-TOTAL!H14</f>
        <v>0</v>
      </c>
      <c r="G14" s="21" t="str">
        <f t="shared" si="0"/>
        <v>OKPELEA</v>
      </c>
      <c r="H14" s="3"/>
      <c r="I14" s="51"/>
      <c r="J14" s="52"/>
      <c r="K14" s="52"/>
      <c r="L14" s="52"/>
      <c r="M14" s="53"/>
    </row>
    <row r="15" spans="2:13" ht="18" customHeight="1" x14ac:dyDescent="0.4">
      <c r="B15" s="29"/>
      <c r="C15" s="29"/>
      <c r="D15" s="21" t="s">
        <v>27</v>
      </c>
      <c r="E15" s="21"/>
      <c r="F15" s="21"/>
      <c r="G15" s="21">
        <f>COUNTIF(G4:G13,"error")</f>
        <v>0</v>
      </c>
      <c r="I15" s="54"/>
      <c r="J15" s="55"/>
      <c r="K15" s="55"/>
      <c r="L15" s="55"/>
      <c r="M15" s="56"/>
    </row>
    <row r="16" spans="2:13" ht="12.75" customHeight="1" x14ac:dyDescent="0.25">
      <c r="D16" s="3"/>
      <c r="E16" s="3"/>
      <c r="F16" s="3"/>
    </row>
    <row r="17" spans="4:6" ht="12.75" customHeight="1" x14ac:dyDescent="0.25">
      <c r="D17" s="3"/>
      <c r="E17" s="3"/>
      <c r="F17" s="3"/>
    </row>
    <row r="18" spans="4:6" ht="12.75" customHeight="1" x14ac:dyDescent="0.25">
      <c r="D18" s="3"/>
      <c r="E18" s="3"/>
      <c r="F18" s="3"/>
    </row>
    <row r="19" spans="4:6" ht="12.75" customHeight="1" x14ac:dyDescent="0.25">
      <c r="D19" s="3"/>
      <c r="E19" s="3"/>
      <c r="F19" s="3"/>
    </row>
    <row r="20" spans="4:6" ht="12.75" customHeight="1" x14ac:dyDescent="0.25">
      <c r="D20" s="3"/>
      <c r="E20" s="3"/>
      <c r="F20" s="3"/>
    </row>
    <row r="21" spans="4:6" ht="12.75" customHeight="1" x14ac:dyDescent="0.25">
      <c r="D21" s="3"/>
      <c r="E21" s="3"/>
      <c r="F21" s="3"/>
    </row>
    <row r="22" spans="4:6" ht="12.75" customHeight="1" x14ac:dyDescent="0.25">
      <c r="D22" s="3"/>
      <c r="E22" s="3"/>
      <c r="F22" s="3"/>
    </row>
    <row r="23" spans="4:6" ht="12.75" customHeight="1" x14ac:dyDescent="0.25">
      <c r="D23" s="3"/>
      <c r="E23" s="3"/>
      <c r="F23" s="3"/>
    </row>
    <row r="24" spans="4:6" ht="12.75" customHeight="1" x14ac:dyDescent="0.25">
      <c r="D24" s="3"/>
      <c r="E24" s="3"/>
      <c r="F24" s="3"/>
    </row>
    <row r="25" spans="4:6" ht="12.75" customHeight="1" x14ac:dyDescent="0.25">
      <c r="D25" s="3"/>
      <c r="E25" s="3"/>
      <c r="F25" s="3"/>
    </row>
    <row r="26" spans="4:6" ht="12.75" customHeight="1" x14ac:dyDescent="0.25">
      <c r="D26" s="3"/>
      <c r="E26" s="3"/>
      <c r="F26" s="3"/>
    </row>
    <row r="27" spans="4:6" ht="12.75" customHeight="1" x14ac:dyDescent="0.25">
      <c r="D27" s="3"/>
      <c r="E27" s="3"/>
      <c r="F27" s="3"/>
    </row>
    <row r="28" spans="4:6" ht="12.75" customHeight="1" x14ac:dyDescent="0.25">
      <c r="D28" s="3"/>
      <c r="E28" s="3"/>
      <c r="F28" s="3"/>
    </row>
    <row r="29" spans="4:6" ht="12.75" customHeight="1" x14ac:dyDescent="0.25">
      <c r="D29" s="3"/>
      <c r="E29" s="3"/>
      <c r="F29" s="3"/>
    </row>
    <row r="30" spans="4:6" ht="12.75" customHeight="1" x14ac:dyDescent="0.25">
      <c r="D30" s="3"/>
      <c r="E30" s="3"/>
      <c r="F30" s="3"/>
    </row>
    <row r="31" spans="4:6" ht="12.75" customHeight="1" x14ac:dyDescent="0.25">
      <c r="D31" s="3"/>
      <c r="E31" s="3"/>
      <c r="F31" s="3"/>
    </row>
    <row r="32" spans="4:6" ht="12.75" customHeight="1" x14ac:dyDescent="0.25">
      <c r="D32" s="3"/>
      <c r="E32" s="3"/>
      <c r="F32" s="3"/>
    </row>
    <row r="33" spans="4:6" ht="12.75" customHeight="1" x14ac:dyDescent="0.25">
      <c r="D33" s="3"/>
      <c r="E33" s="3"/>
      <c r="F33" s="3"/>
    </row>
    <row r="34" spans="4:6" ht="12.75" customHeight="1" x14ac:dyDescent="0.25">
      <c r="D34" s="3"/>
      <c r="E34" s="3"/>
      <c r="F34" s="3"/>
    </row>
    <row r="35" spans="4:6" ht="12.75" customHeight="1" x14ac:dyDescent="0.25">
      <c r="D35" s="3"/>
      <c r="E35" s="3"/>
      <c r="F35" s="3"/>
    </row>
    <row r="36" spans="4:6" ht="12.75" customHeight="1" x14ac:dyDescent="0.25">
      <c r="D36" s="3"/>
      <c r="E36" s="3"/>
      <c r="F36" s="3"/>
    </row>
    <row r="37" spans="4:6" ht="12.75" customHeight="1" x14ac:dyDescent="0.25">
      <c r="D37" s="3"/>
      <c r="E37" s="3"/>
      <c r="F37" s="3"/>
    </row>
    <row r="38" spans="4:6" ht="12.75" customHeight="1" x14ac:dyDescent="0.25">
      <c r="D38" s="3"/>
      <c r="E38" s="3"/>
      <c r="F38" s="3"/>
    </row>
    <row r="39" spans="4:6" ht="12.75" customHeight="1" x14ac:dyDescent="0.25">
      <c r="D39" s="3"/>
      <c r="E39" s="3"/>
      <c r="F39" s="3"/>
    </row>
    <row r="40" spans="4:6" ht="12.75" customHeight="1" x14ac:dyDescent="0.25">
      <c r="D40" s="3"/>
      <c r="E40" s="3"/>
      <c r="F40" s="3"/>
    </row>
    <row r="41" spans="4:6" ht="12.75" customHeight="1" x14ac:dyDescent="0.25">
      <c r="D41" s="3"/>
      <c r="E41" s="3"/>
      <c r="F41" s="3"/>
    </row>
    <row r="42" spans="4:6" ht="12.75" customHeight="1" x14ac:dyDescent="0.25">
      <c r="D42" s="3"/>
      <c r="E42" s="3"/>
      <c r="F42" s="3"/>
    </row>
    <row r="43" spans="4:6" ht="12.75" customHeight="1" x14ac:dyDescent="0.25">
      <c r="D43" s="3"/>
      <c r="E43" s="3"/>
      <c r="F43" s="3"/>
    </row>
    <row r="44" spans="4:6" ht="12.75" customHeight="1" x14ac:dyDescent="0.25">
      <c r="D44" s="3"/>
      <c r="E44" s="3"/>
      <c r="F44" s="3"/>
    </row>
    <row r="45" spans="4:6" ht="12.75" customHeight="1" x14ac:dyDescent="0.25">
      <c r="D45" s="3"/>
      <c r="E45" s="3"/>
      <c r="F45" s="3"/>
    </row>
    <row r="46" spans="4:6" ht="12.75" customHeight="1" x14ac:dyDescent="0.25">
      <c r="D46" s="3"/>
      <c r="E46" s="3"/>
      <c r="F46" s="3"/>
    </row>
    <row r="47" spans="4:6" ht="12.75" customHeight="1" x14ac:dyDescent="0.25">
      <c r="D47" s="3"/>
      <c r="E47" s="3"/>
      <c r="F47" s="3"/>
    </row>
    <row r="48" spans="4:6" ht="12.75" customHeight="1" x14ac:dyDescent="0.25">
      <c r="D48" s="3"/>
      <c r="E48" s="3"/>
      <c r="F48" s="3"/>
    </row>
    <row r="49" spans="4:6" ht="12.75" customHeight="1" x14ac:dyDescent="0.25">
      <c r="D49" s="3"/>
      <c r="E49" s="3"/>
      <c r="F49" s="3"/>
    </row>
    <row r="50" spans="4:6" ht="12.75" customHeight="1" x14ac:dyDescent="0.25">
      <c r="D50" s="3"/>
      <c r="E50" s="3"/>
      <c r="F50" s="3"/>
    </row>
    <row r="51" spans="4:6" ht="12.75" customHeight="1" x14ac:dyDescent="0.25">
      <c r="D51" s="3"/>
      <c r="E51" s="3"/>
      <c r="F51" s="3"/>
    </row>
    <row r="52" spans="4:6" ht="12.75" customHeight="1" x14ac:dyDescent="0.25">
      <c r="D52" s="3"/>
      <c r="E52" s="3"/>
      <c r="F52" s="3"/>
    </row>
    <row r="53" spans="4:6" ht="12.75" customHeight="1" x14ac:dyDescent="0.25">
      <c r="D53" s="3"/>
      <c r="E53" s="3"/>
      <c r="F53" s="3"/>
    </row>
    <row r="54" spans="4:6" ht="12.75" customHeight="1" x14ac:dyDescent="0.25">
      <c r="D54" s="3"/>
      <c r="E54" s="3"/>
      <c r="F54" s="3"/>
    </row>
    <row r="55" spans="4:6" ht="12.75" customHeight="1" x14ac:dyDescent="0.25">
      <c r="D55" s="3"/>
      <c r="E55" s="3"/>
      <c r="F55" s="3"/>
    </row>
    <row r="56" spans="4:6" ht="12.75" customHeight="1" x14ac:dyDescent="0.25">
      <c r="D56" s="3"/>
      <c r="E56" s="3"/>
      <c r="F56" s="3"/>
    </row>
    <row r="57" spans="4:6" ht="12.75" customHeight="1" x14ac:dyDescent="0.25">
      <c r="D57" s="3"/>
      <c r="E57" s="3"/>
      <c r="F57" s="3"/>
    </row>
    <row r="58" spans="4:6" ht="12.75" customHeight="1" x14ac:dyDescent="0.25">
      <c r="D58" s="3"/>
      <c r="E58" s="3"/>
      <c r="F58" s="3"/>
    </row>
    <row r="59" spans="4:6" ht="12.75" customHeight="1" x14ac:dyDescent="0.25">
      <c r="D59" s="3"/>
      <c r="E59" s="3"/>
      <c r="F59" s="3"/>
    </row>
    <row r="60" spans="4:6" ht="12.75" customHeight="1" x14ac:dyDescent="0.25">
      <c r="D60" s="3"/>
      <c r="E60" s="3"/>
      <c r="F60" s="3"/>
    </row>
    <row r="61" spans="4:6" ht="12.75" customHeight="1" x14ac:dyDescent="0.25">
      <c r="D61" s="3"/>
      <c r="E61" s="3"/>
      <c r="F61" s="3"/>
    </row>
    <row r="62" spans="4:6" ht="12.75" customHeight="1" x14ac:dyDescent="0.25">
      <c r="D62" s="3"/>
      <c r="E62" s="3"/>
      <c r="F62" s="3"/>
    </row>
    <row r="63" spans="4:6" ht="12.75" customHeight="1" x14ac:dyDescent="0.25">
      <c r="D63" s="3"/>
      <c r="E63" s="3"/>
      <c r="F63" s="3"/>
    </row>
    <row r="64" spans="4:6" ht="12.75" customHeight="1" x14ac:dyDescent="0.25">
      <c r="D64" s="3"/>
      <c r="E64" s="3"/>
      <c r="F64" s="3"/>
    </row>
    <row r="65" spans="4:6" ht="12.75" customHeight="1" x14ac:dyDescent="0.25">
      <c r="D65" s="3"/>
      <c r="E65" s="3"/>
      <c r="F65" s="3"/>
    </row>
    <row r="66" spans="4:6" ht="12.75" customHeight="1" x14ac:dyDescent="0.25">
      <c r="D66" s="3"/>
      <c r="E66" s="3"/>
      <c r="F66" s="3"/>
    </row>
    <row r="67" spans="4:6" ht="12.75" customHeight="1" x14ac:dyDescent="0.25">
      <c r="D67" s="3"/>
      <c r="E67" s="3"/>
      <c r="F67" s="3"/>
    </row>
    <row r="68" spans="4:6" ht="12.75" customHeight="1" x14ac:dyDescent="0.25">
      <c r="D68" s="3"/>
      <c r="E68" s="3"/>
      <c r="F68" s="3"/>
    </row>
    <row r="69" spans="4:6" ht="12.75" customHeight="1" x14ac:dyDescent="0.25">
      <c r="D69" s="3"/>
      <c r="E69" s="3"/>
      <c r="F69" s="3"/>
    </row>
    <row r="70" spans="4:6" ht="12.75" customHeight="1" x14ac:dyDescent="0.25">
      <c r="D70" s="3"/>
      <c r="E70" s="3"/>
      <c r="F70" s="3"/>
    </row>
    <row r="71" spans="4:6" ht="12.75" customHeight="1" x14ac:dyDescent="0.25">
      <c r="D71" s="3"/>
      <c r="E71" s="3"/>
      <c r="F71" s="3"/>
    </row>
    <row r="72" spans="4:6" ht="12.75" customHeight="1" x14ac:dyDescent="0.25">
      <c r="D72" s="3"/>
      <c r="E72" s="3"/>
      <c r="F72" s="3"/>
    </row>
    <row r="73" spans="4:6" ht="12.75" customHeight="1" x14ac:dyDescent="0.25">
      <c r="D73" s="3"/>
      <c r="E73" s="3"/>
      <c r="F73" s="3"/>
    </row>
    <row r="74" spans="4:6" ht="12.75" customHeight="1" x14ac:dyDescent="0.25">
      <c r="D74" s="3"/>
      <c r="E74" s="3"/>
      <c r="F74" s="3"/>
    </row>
    <row r="75" spans="4:6" ht="12.75" customHeight="1" x14ac:dyDescent="0.25">
      <c r="D75" s="3"/>
      <c r="E75" s="3"/>
      <c r="F75" s="3"/>
    </row>
    <row r="76" spans="4:6" ht="12.75" customHeight="1" x14ac:dyDescent="0.25">
      <c r="D76" s="3"/>
      <c r="E76" s="3"/>
      <c r="F76" s="3"/>
    </row>
    <row r="77" spans="4:6" ht="12.75" customHeight="1" x14ac:dyDescent="0.25">
      <c r="D77" s="3"/>
      <c r="E77" s="3"/>
      <c r="F77" s="3"/>
    </row>
    <row r="78" spans="4:6" ht="12.75" customHeight="1" x14ac:dyDescent="0.25">
      <c r="D78" s="3"/>
      <c r="E78" s="3"/>
      <c r="F78" s="3"/>
    </row>
    <row r="79" spans="4:6" ht="12.75" customHeight="1" x14ac:dyDescent="0.25">
      <c r="D79" s="3"/>
      <c r="E79" s="3"/>
      <c r="F79" s="3"/>
    </row>
    <row r="80" spans="4:6" ht="12.75" customHeight="1" x14ac:dyDescent="0.25">
      <c r="D80" s="3"/>
      <c r="E80" s="3"/>
      <c r="F80" s="3"/>
    </row>
    <row r="81" spans="4:6" ht="12.75" customHeight="1" x14ac:dyDescent="0.25">
      <c r="D81" s="3"/>
      <c r="E81" s="3"/>
      <c r="F81" s="3"/>
    </row>
    <row r="82" spans="4:6" ht="12.75" customHeight="1" x14ac:dyDescent="0.25">
      <c r="D82" s="3"/>
      <c r="E82" s="3"/>
      <c r="F82" s="3"/>
    </row>
    <row r="83" spans="4:6" ht="12.75" customHeight="1" x14ac:dyDescent="0.25">
      <c r="D83" s="3"/>
      <c r="E83" s="3"/>
      <c r="F83" s="3"/>
    </row>
    <row r="84" spans="4:6" ht="12.75" customHeight="1" x14ac:dyDescent="0.25">
      <c r="D84" s="3"/>
      <c r="E84" s="3"/>
      <c r="F84" s="3"/>
    </row>
    <row r="85" spans="4:6" ht="12.75" customHeight="1" x14ac:dyDescent="0.25">
      <c r="D85" s="3"/>
      <c r="E85" s="3"/>
      <c r="F85" s="3"/>
    </row>
    <row r="86" spans="4:6" ht="12.75" customHeight="1" x14ac:dyDescent="0.25">
      <c r="D86" s="3"/>
      <c r="E86" s="3"/>
      <c r="F86" s="3"/>
    </row>
    <row r="87" spans="4:6" ht="12.75" customHeight="1" x14ac:dyDescent="0.25">
      <c r="D87" s="3"/>
      <c r="E87" s="3"/>
      <c r="F87" s="3"/>
    </row>
    <row r="88" spans="4:6" ht="12.75" customHeight="1" x14ac:dyDescent="0.25">
      <c r="D88" s="3"/>
      <c r="E88" s="3"/>
      <c r="F88" s="3"/>
    </row>
    <row r="89" spans="4:6" ht="12.75" customHeight="1" x14ac:dyDescent="0.25">
      <c r="D89" s="3"/>
      <c r="E89" s="3"/>
      <c r="F89" s="3"/>
    </row>
    <row r="90" spans="4:6" ht="12.75" customHeight="1" x14ac:dyDescent="0.25">
      <c r="D90" s="3"/>
      <c r="E90" s="3"/>
      <c r="F90" s="3"/>
    </row>
    <row r="91" spans="4:6" ht="12.75" customHeight="1" x14ac:dyDescent="0.25">
      <c r="D91" s="3"/>
      <c r="E91" s="3"/>
      <c r="F91" s="3"/>
    </row>
    <row r="92" spans="4:6" ht="12.75" customHeight="1" x14ac:dyDescent="0.25">
      <c r="D92" s="3"/>
      <c r="E92" s="3"/>
      <c r="F92" s="3"/>
    </row>
    <row r="93" spans="4:6" ht="12.75" customHeight="1" x14ac:dyDescent="0.25">
      <c r="D93" s="3"/>
      <c r="E93" s="3"/>
      <c r="F93" s="3"/>
    </row>
    <row r="94" spans="4:6" ht="12.75" customHeight="1" x14ac:dyDescent="0.25">
      <c r="D94" s="3"/>
      <c r="E94" s="3"/>
      <c r="F94" s="3"/>
    </row>
    <row r="95" spans="4:6" ht="12.75" customHeight="1" x14ac:dyDescent="0.25">
      <c r="D95" s="3"/>
      <c r="E95" s="3"/>
      <c r="F95" s="3"/>
    </row>
    <row r="96" spans="4:6" ht="12.75" customHeight="1" x14ac:dyDescent="0.25">
      <c r="D96" s="3"/>
      <c r="E96" s="3"/>
      <c r="F96" s="3"/>
    </row>
    <row r="97" spans="4:6" ht="12.75" customHeight="1" x14ac:dyDescent="0.25">
      <c r="D97" s="3"/>
      <c r="E97" s="3"/>
      <c r="F97" s="3"/>
    </row>
    <row r="98" spans="4:6" ht="12.75" customHeight="1" x14ac:dyDescent="0.25">
      <c r="D98" s="3"/>
      <c r="E98" s="3"/>
      <c r="F98" s="3"/>
    </row>
    <row r="99" spans="4:6" ht="12.75" customHeight="1" x14ac:dyDescent="0.25">
      <c r="D99" s="3"/>
      <c r="E99" s="3"/>
      <c r="F99" s="3"/>
    </row>
    <row r="100" spans="4:6" ht="12.75" customHeight="1" x14ac:dyDescent="0.25">
      <c r="D100" s="3"/>
      <c r="E100" s="3"/>
      <c r="F100" s="3"/>
    </row>
    <row r="101" spans="4:6" ht="12.75" customHeight="1" x14ac:dyDescent="0.25">
      <c r="D101" s="3"/>
      <c r="E101" s="3"/>
      <c r="F101" s="3"/>
    </row>
    <row r="102" spans="4:6" ht="12.75" customHeight="1" x14ac:dyDescent="0.25">
      <c r="D102" s="3"/>
      <c r="E102" s="3"/>
      <c r="F102" s="3"/>
    </row>
    <row r="103" spans="4:6" ht="12.75" customHeight="1" x14ac:dyDescent="0.25">
      <c r="D103" s="3"/>
      <c r="E103" s="3"/>
      <c r="F103" s="3"/>
    </row>
    <row r="104" spans="4:6" ht="12.75" customHeight="1" x14ac:dyDescent="0.25">
      <c r="D104" s="3"/>
      <c r="E104" s="3"/>
      <c r="F104" s="3"/>
    </row>
    <row r="105" spans="4:6" ht="12.75" customHeight="1" x14ac:dyDescent="0.25">
      <c r="D105" s="3"/>
      <c r="E105" s="3"/>
      <c r="F105" s="3"/>
    </row>
    <row r="106" spans="4:6" ht="12.75" customHeight="1" x14ac:dyDescent="0.25">
      <c r="D106" s="3"/>
      <c r="E106" s="3"/>
      <c r="F106" s="3"/>
    </row>
    <row r="107" spans="4:6" ht="12.75" customHeight="1" x14ac:dyDescent="0.25">
      <c r="D107" s="3"/>
      <c r="E107" s="3"/>
      <c r="F107" s="3"/>
    </row>
    <row r="108" spans="4:6" ht="12.75" customHeight="1" x14ac:dyDescent="0.25">
      <c r="D108" s="3"/>
      <c r="E108" s="3"/>
      <c r="F108" s="3"/>
    </row>
    <row r="109" spans="4:6" ht="12.75" customHeight="1" x14ac:dyDescent="0.25">
      <c r="D109" s="3"/>
      <c r="E109" s="3"/>
      <c r="F109" s="3"/>
    </row>
    <row r="110" spans="4:6" ht="12.75" customHeight="1" x14ac:dyDescent="0.25">
      <c r="D110" s="3"/>
      <c r="E110" s="3"/>
      <c r="F110" s="3"/>
    </row>
    <row r="111" spans="4:6" ht="12.75" customHeight="1" x14ac:dyDescent="0.25">
      <c r="D111" s="3"/>
      <c r="E111" s="3"/>
      <c r="F111" s="3"/>
    </row>
    <row r="112" spans="4:6" ht="12.75" customHeight="1" x14ac:dyDescent="0.25">
      <c r="D112" s="3"/>
      <c r="E112" s="3"/>
      <c r="F112" s="3"/>
    </row>
    <row r="113" spans="4:6" ht="12.75" customHeight="1" x14ac:dyDescent="0.25">
      <c r="D113" s="3"/>
      <c r="E113" s="3"/>
      <c r="F113" s="3"/>
    </row>
    <row r="114" spans="4:6" ht="12.75" customHeight="1" x14ac:dyDescent="0.25">
      <c r="D114" s="3"/>
      <c r="E114" s="3"/>
      <c r="F114" s="3"/>
    </row>
    <row r="115" spans="4:6" ht="12.75" customHeight="1" x14ac:dyDescent="0.25">
      <c r="D115" s="3"/>
      <c r="E115" s="3"/>
      <c r="F115" s="3"/>
    </row>
    <row r="116" spans="4:6" ht="12.75" customHeight="1" x14ac:dyDescent="0.25">
      <c r="D116" s="3"/>
      <c r="E116" s="3"/>
      <c r="F116" s="3"/>
    </row>
    <row r="117" spans="4:6" ht="12.75" customHeight="1" x14ac:dyDescent="0.25">
      <c r="D117" s="3"/>
      <c r="E117" s="3"/>
      <c r="F117" s="3"/>
    </row>
    <row r="118" spans="4:6" ht="12.75" customHeight="1" x14ac:dyDescent="0.25">
      <c r="D118" s="3"/>
      <c r="E118" s="3"/>
      <c r="F118" s="3"/>
    </row>
    <row r="119" spans="4:6" ht="12.75" customHeight="1" x14ac:dyDescent="0.25">
      <c r="D119" s="3"/>
      <c r="E119" s="3"/>
      <c r="F119" s="3"/>
    </row>
    <row r="120" spans="4:6" ht="12.75" customHeight="1" x14ac:dyDescent="0.25">
      <c r="D120" s="3"/>
      <c r="E120" s="3"/>
      <c r="F120" s="3"/>
    </row>
    <row r="121" spans="4:6" ht="12.75" customHeight="1" x14ac:dyDescent="0.25">
      <c r="D121" s="3"/>
      <c r="E121" s="3"/>
      <c r="F121" s="3"/>
    </row>
    <row r="122" spans="4:6" ht="12.75" customHeight="1" x14ac:dyDescent="0.25">
      <c r="D122" s="3"/>
      <c r="E122" s="3"/>
      <c r="F122" s="3"/>
    </row>
    <row r="123" spans="4:6" ht="12.75" customHeight="1" x14ac:dyDescent="0.25">
      <c r="D123" s="3"/>
      <c r="E123" s="3"/>
      <c r="F123" s="3"/>
    </row>
    <row r="124" spans="4:6" ht="12.75" customHeight="1" x14ac:dyDescent="0.25">
      <c r="D124" s="3"/>
      <c r="E124" s="3"/>
      <c r="F124" s="3"/>
    </row>
    <row r="125" spans="4:6" ht="12.75" customHeight="1" x14ac:dyDescent="0.25">
      <c r="D125" s="3"/>
      <c r="E125" s="3"/>
      <c r="F125" s="3"/>
    </row>
    <row r="126" spans="4:6" ht="12.75" customHeight="1" x14ac:dyDescent="0.25">
      <c r="D126" s="3"/>
      <c r="E126" s="3"/>
      <c r="F126" s="3"/>
    </row>
    <row r="127" spans="4:6" ht="12.75" customHeight="1" x14ac:dyDescent="0.25">
      <c r="D127" s="3"/>
      <c r="E127" s="3"/>
      <c r="F127" s="3"/>
    </row>
    <row r="128" spans="4:6" ht="12.75" customHeight="1" x14ac:dyDescent="0.25">
      <c r="D128" s="3"/>
      <c r="E128" s="3"/>
      <c r="F128" s="3"/>
    </row>
    <row r="129" spans="4:6" ht="12.75" customHeight="1" x14ac:dyDescent="0.25">
      <c r="D129" s="3"/>
      <c r="E129" s="3"/>
      <c r="F129" s="3"/>
    </row>
    <row r="130" spans="4:6" ht="12.75" customHeight="1" x14ac:dyDescent="0.25">
      <c r="D130" s="3"/>
      <c r="E130" s="3"/>
      <c r="F130" s="3"/>
    </row>
    <row r="131" spans="4:6" ht="12.75" customHeight="1" x14ac:dyDescent="0.25">
      <c r="D131" s="3"/>
      <c r="E131" s="3"/>
      <c r="F131" s="3"/>
    </row>
    <row r="132" spans="4:6" ht="12.75" customHeight="1" x14ac:dyDescent="0.25">
      <c r="D132" s="3"/>
      <c r="E132" s="3"/>
      <c r="F132" s="3"/>
    </row>
    <row r="133" spans="4:6" ht="12.75" customHeight="1" x14ac:dyDescent="0.25">
      <c r="D133" s="3"/>
      <c r="E133" s="3"/>
      <c r="F133" s="3"/>
    </row>
    <row r="134" spans="4:6" ht="12.75" customHeight="1" x14ac:dyDescent="0.25">
      <c r="D134" s="3"/>
      <c r="E134" s="3"/>
      <c r="F134" s="3"/>
    </row>
    <row r="135" spans="4:6" ht="12.75" customHeight="1" x14ac:dyDescent="0.25">
      <c r="D135" s="3"/>
      <c r="E135" s="3"/>
      <c r="F135" s="3"/>
    </row>
    <row r="136" spans="4:6" ht="12.75" customHeight="1" x14ac:dyDescent="0.25">
      <c r="D136" s="3"/>
      <c r="E136" s="3"/>
      <c r="F136" s="3"/>
    </row>
    <row r="137" spans="4:6" ht="12.75" customHeight="1" x14ac:dyDescent="0.25">
      <c r="D137" s="3"/>
      <c r="E137" s="3"/>
      <c r="F137" s="3"/>
    </row>
    <row r="138" spans="4:6" ht="12.75" customHeight="1" x14ac:dyDescent="0.25">
      <c r="D138" s="3"/>
      <c r="E138" s="3"/>
      <c r="F138" s="3"/>
    </row>
    <row r="139" spans="4:6" ht="12.75" customHeight="1" x14ac:dyDescent="0.25">
      <c r="D139" s="3"/>
      <c r="E139" s="3"/>
      <c r="F139" s="3"/>
    </row>
    <row r="140" spans="4:6" ht="12.75" customHeight="1" x14ac:dyDescent="0.25">
      <c r="D140" s="3"/>
      <c r="E140" s="3"/>
      <c r="F140" s="3"/>
    </row>
    <row r="141" spans="4:6" ht="12.75" customHeight="1" x14ac:dyDescent="0.25">
      <c r="D141" s="3"/>
      <c r="E141" s="3"/>
      <c r="F141" s="3"/>
    </row>
    <row r="142" spans="4:6" ht="12.75" customHeight="1" x14ac:dyDescent="0.25">
      <c r="D142" s="3"/>
      <c r="E142" s="3"/>
      <c r="F142" s="3"/>
    </row>
    <row r="143" spans="4:6" ht="12.75" customHeight="1" x14ac:dyDescent="0.25">
      <c r="D143" s="3"/>
      <c r="E143" s="3"/>
      <c r="F143" s="3"/>
    </row>
    <row r="144" spans="4:6" ht="12.75" customHeight="1" x14ac:dyDescent="0.25">
      <c r="D144" s="3"/>
      <c r="E144" s="3"/>
      <c r="F144" s="3"/>
    </row>
    <row r="145" spans="4:6" ht="12.75" customHeight="1" x14ac:dyDescent="0.25">
      <c r="D145" s="3"/>
      <c r="E145" s="3"/>
      <c r="F145" s="3"/>
    </row>
    <row r="146" spans="4:6" ht="12.75" customHeight="1" x14ac:dyDescent="0.25">
      <c r="D146" s="3"/>
      <c r="E146" s="3"/>
      <c r="F146" s="3"/>
    </row>
    <row r="147" spans="4:6" ht="12.75" customHeight="1" x14ac:dyDescent="0.25">
      <c r="D147" s="3"/>
      <c r="E147" s="3"/>
      <c r="F147" s="3"/>
    </row>
    <row r="148" spans="4:6" ht="12.75" customHeight="1" x14ac:dyDescent="0.25">
      <c r="D148" s="3"/>
      <c r="E148" s="3"/>
      <c r="F148" s="3"/>
    </row>
    <row r="149" spans="4:6" ht="12.75" customHeight="1" x14ac:dyDescent="0.25">
      <c r="D149" s="3"/>
      <c r="E149" s="3"/>
      <c r="F149" s="3"/>
    </row>
    <row r="150" spans="4:6" ht="12.75" customHeight="1" x14ac:dyDescent="0.25">
      <c r="D150" s="3"/>
      <c r="E150" s="3"/>
      <c r="F150" s="3"/>
    </row>
    <row r="151" spans="4:6" ht="12.75" customHeight="1" x14ac:dyDescent="0.25">
      <c r="D151" s="3"/>
      <c r="E151" s="3"/>
      <c r="F151" s="3"/>
    </row>
    <row r="152" spans="4:6" ht="12.75" customHeight="1" x14ac:dyDescent="0.25">
      <c r="D152" s="3"/>
      <c r="E152" s="3"/>
      <c r="F152" s="3"/>
    </row>
    <row r="153" spans="4:6" ht="12.75" customHeight="1" x14ac:dyDescent="0.25">
      <c r="D153" s="3"/>
      <c r="E153" s="3"/>
      <c r="F153" s="3"/>
    </row>
    <row r="154" spans="4:6" ht="12.75" customHeight="1" x14ac:dyDescent="0.25">
      <c r="D154" s="3"/>
      <c r="E154" s="3"/>
      <c r="F154" s="3"/>
    </row>
    <row r="155" spans="4:6" ht="12.75" customHeight="1" x14ac:dyDescent="0.25">
      <c r="D155" s="3"/>
      <c r="E155" s="3"/>
      <c r="F155" s="3"/>
    </row>
    <row r="156" spans="4:6" ht="12.75" customHeight="1" x14ac:dyDescent="0.25">
      <c r="D156" s="3"/>
      <c r="E156" s="3"/>
      <c r="F156" s="3"/>
    </row>
    <row r="157" spans="4:6" ht="12.75" customHeight="1" x14ac:dyDescent="0.25">
      <c r="D157" s="3"/>
      <c r="E157" s="3"/>
      <c r="F157" s="3"/>
    </row>
    <row r="158" spans="4:6" ht="12.75" customHeight="1" x14ac:dyDescent="0.25">
      <c r="D158" s="3"/>
      <c r="E158" s="3"/>
      <c r="F158" s="3"/>
    </row>
    <row r="159" spans="4:6" ht="12.75" customHeight="1" x14ac:dyDescent="0.25">
      <c r="D159" s="3"/>
      <c r="E159" s="3"/>
      <c r="F159" s="3"/>
    </row>
    <row r="160" spans="4:6" ht="12.75" customHeight="1" x14ac:dyDescent="0.25">
      <c r="D160" s="3"/>
      <c r="E160" s="3"/>
      <c r="F160" s="3"/>
    </row>
    <row r="161" spans="4:6" ht="12.75" customHeight="1" x14ac:dyDescent="0.25">
      <c r="D161" s="3"/>
      <c r="E161" s="3"/>
      <c r="F161" s="3"/>
    </row>
    <row r="162" spans="4:6" ht="12.75" customHeight="1" x14ac:dyDescent="0.25">
      <c r="D162" s="3"/>
      <c r="E162" s="3"/>
      <c r="F162" s="3"/>
    </row>
    <row r="163" spans="4:6" ht="12.75" customHeight="1" x14ac:dyDescent="0.25">
      <c r="D163" s="3"/>
      <c r="E163" s="3"/>
      <c r="F163" s="3"/>
    </row>
    <row r="164" spans="4:6" ht="12.75" customHeight="1" x14ac:dyDescent="0.25">
      <c r="D164" s="3"/>
      <c r="E164" s="3"/>
      <c r="F164" s="3"/>
    </row>
    <row r="165" spans="4:6" ht="12.75" customHeight="1" x14ac:dyDescent="0.25">
      <c r="D165" s="3"/>
      <c r="E165" s="3"/>
      <c r="F165" s="3"/>
    </row>
    <row r="166" spans="4:6" ht="12.75" customHeight="1" x14ac:dyDescent="0.25">
      <c r="D166" s="3"/>
      <c r="E166" s="3"/>
      <c r="F166" s="3"/>
    </row>
    <row r="167" spans="4:6" ht="12.75" customHeight="1" x14ac:dyDescent="0.25">
      <c r="D167" s="3"/>
      <c r="E167" s="3"/>
      <c r="F167" s="3"/>
    </row>
    <row r="168" spans="4:6" ht="12.75" customHeight="1" x14ac:dyDescent="0.25">
      <c r="D168" s="3"/>
      <c r="E168" s="3"/>
      <c r="F168" s="3"/>
    </row>
    <row r="169" spans="4:6" ht="12.75" customHeight="1" x14ac:dyDescent="0.25">
      <c r="D169" s="3"/>
      <c r="E169" s="3"/>
      <c r="F169" s="3"/>
    </row>
    <row r="170" spans="4:6" ht="12.75" customHeight="1" x14ac:dyDescent="0.25">
      <c r="D170" s="3"/>
      <c r="E170" s="3"/>
      <c r="F170" s="3"/>
    </row>
    <row r="171" spans="4:6" ht="12.75" customHeight="1" x14ac:dyDescent="0.25">
      <c r="D171" s="3"/>
      <c r="E171" s="3"/>
      <c r="F171" s="3"/>
    </row>
    <row r="172" spans="4:6" ht="12.75" customHeight="1" x14ac:dyDescent="0.25">
      <c r="D172" s="3"/>
      <c r="E172" s="3"/>
      <c r="F172" s="3"/>
    </row>
    <row r="173" spans="4:6" ht="12.75" customHeight="1" x14ac:dyDescent="0.25">
      <c r="D173" s="3"/>
      <c r="E173" s="3"/>
      <c r="F173" s="3"/>
    </row>
    <row r="174" spans="4:6" ht="12.75" customHeight="1" x14ac:dyDescent="0.25">
      <c r="D174" s="3"/>
      <c r="E174" s="3"/>
      <c r="F174" s="3"/>
    </row>
    <row r="175" spans="4:6" ht="12.75" customHeight="1" x14ac:dyDescent="0.25">
      <c r="D175" s="3"/>
      <c r="E175" s="3"/>
      <c r="F175" s="3"/>
    </row>
    <row r="176" spans="4:6" ht="12.75" customHeight="1" x14ac:dyDescent="0.25">
      <c r="D176" s="3"/>
      <c r="E176" s="3"/>
      <c r="F176" s="3"/>
    </row>
    <row r="177" spans="4:6" ht="12.75" customHeight="1" x14ac:dyDescent="0.25">
      <c r="D177" s="3"/>
      <c r="E177" s="3"/>
      <c r="F177" s="3"/>
    </row>
    <row r="178" spans="4:6" ht="12.75" customHeight="1" x14ac:dyDescent="0.25">
      <c r="D178" s="3"/>
      <c r="E178" s="3"/>
      <c r="F178" s="3"/>
    </row>
    <row r="179" spans="4:6" ht="12.75" customHeight="1" x14ac:dyDescent="0.25">
      <c r="D179" s="3"/>
      <c r="E179" s="3"/>
      <c r="F179" s="3"/>
    </row>
    <row r="180" spans="4:6" ht="12.75" customHeight="1" x14ac:dyDescent="0.25">
      <c r="D180" s="3"/>
      <c r="E180" s="3"/>
      <c r="F180" s="3"/>
    </row>
    <row r="181" spans="4:6" ht="12.75" customHeight="1" x14ac:dyDescent="0.25">
      <c r="D181" s="3"/>
      <c r="E181" s="3"/>
      <c r="F181" s="3"/>
    </row>
    <row r="182" spans="4:6" ht="12.75" customHeight="1" x14ac:dyDescent="0.25">
      <c r="D182" s="3"/>
      <c r="E182" s="3"/>
      <c r="F182" s="3"/>
    </row>
    <row r="183" spans="4:6" ht="12.75" customHeight="1" x14ac:dyDescent="0.25">
      <c r="D183" s="3"/>
      <c r="E183" s="3"/>
      <c r="F183" s="3"/>
    </row>
    <row r="184" spans="4:6" ht="12.75" customHeight="1" x14ac:dyDescent="0.25">
      <c r="D184" s="3"/>
      <c r="E184" s="3"/>
      <c r="F184" s="3"/>
    </row>
    <row r="185" spans="4:6" ht="12.75" customHeight="1" x14ac:dyDescent="0.25">
      <c r="D185" s="3"/>
      <c r="E185" s="3"/>
      <c r="F185" s="3"/>
    </row>
    <row r="186" spans="4:6" ht="12.75" customHeight="1" x14ac:dyDescent="0.25">
      <c r="D186" s="3"/>
      <c r="E186" s="3"/>
      <c r="F186" s="3"/>
    </row>
    <row r="187" spans="4:6" ht="12.75" customHeight="1" x14ac:dyDescent="0.25">
      <c r="D187" s="3"/>
      <c r="E187" s="3"/>
      <c r="F187" s="3"/>
    </row>
    <row r="188" spans="4:6" ht="12.75" customHeight="1" x14ac:dyDescent="0.25">
      <c r="D188" s="3"/>
      <c r="E188" s="3"/>
      <c r="F188" s="3"/>
    </row>
    <row r="189" spans="4:6" ht="12.75" customHeight="1" x14ac:dyDescent="0.25">
      <c r="D189" s="3"/>
      <c r="E189" s="3"/>
      <c r="F189" s="3"/>
    </row>
    <row r="190" spans="4:6" ht="12.75" customHeight="1" x14ac:dyDescent="0.25">
      <c r="D190" s="3"/>
      <c r="E190" s="3"/>
      <c r="F190" s="3"/>
    </row>
    <row r="191" spans="4:6" ht="12.75" customHeight="1" x14ac:dyDescent="0.25">
      <c r="D191" s="3"/>
      <c r="E191" s="3"/>
      <c r="F191" s="3"/>
    </row>
    <row r="192" spans="4:6" ht="12.75" customHeight="1" x14ac:dyDescent="0.25">
      <c r="D192" s="3"/>
      <c r="E192" s="3"/>
      <c r="F192" s="3"/>
    </row>
    <row r="193" spans="4:6" ht="12.75" customHeight="1" x14ac:dyDescent="0.25">
      <c r="D193" s="3"/>
      <c r="E193" s="3"/>
      <c r="F193" s="3"/>
    </row>
    <row r="194" spans="4:6" ht="12.75" customHeight="1" x14ac:dyDescent="0.25">
      <c r="D194" s="3"/>
      <c r="E194" s="3"/>
      <c r="F194" s="3"/>
    </row>
    <row r="195" spans="4:6" ht="12.75" customHeight="1" x14ac:dyDescent="0.25">
      <c r="D195" s="3"/>
      <c r="E195" s="3"/>
      <c r="F195" s="3"/>
    </row>
    <row r="196" spans="4:6" ht="12.75" customHeight="1" x14ac:dyDescent="0.25">
      <c r="D196" s="3"/>
      <c r="E196" s="3"/>
      <c r="F196" s="3"/>
    </row>
    <row r="197" spans="4:6" ht="12.75" customHeight="1" x14ac:dyDescent="0.25">
      <c r="D197" s="3"/>
      <c r="E197" s="3"/>
      <c r="F197" s="3"/>
    </row>
    <row r="198" spans="4:6" ht="12.75" customHeight="1" x14ac:dyDescent="0.25">
      <c r="D198" s="3"/>
      <c r="E198" s="3"/>
      <c r="F198" s="3"/>
    </row>
    <row r="199" spans="4:6" ht="12.75" customHeight="1" x14ac:dyDescent="0.25">
      <c r="D199" s="3"/>
      <c r="E199" s="3"/>
      <c r="F199" s="3"/>
    </row>
    <row r="200" spans="4:6" ht="12.75" customHeight="1" x14ac:dyDescent="0.25">
      <c r="D200" s="3"/>
      <c r="E200" s="3"/>
      <c r="F200" s="3"/>
    </row>
    <row r="201" spans="4:6" ht="12.75" customHeight="1" x14ac:dyDescent="0.25">
      <c r="D201" s="3"/>
      <c r="E201" s="3"/>
      <c r="F201" s="3"/>
    </row>
    <row r="202" spans="4:6" ht="12.75" customHeight="1" x14ac:dyDescent="0.25">
      <c r="D202" s="3"/>
      <c r="E202" s="3"/>
      <c r="F202" s="3"/>
    </row>
    <row r="203" spans="4:6" ht="12.75" customHeight="1" x14ac:dyDescent="0.25">
      <c r="D203" s="3"/>
      <c r="E203" s="3"/>
      <c r="F203" s="3"/>
    </row>
    <row r="204" spans="4:6" ht="12.75" customHeight="1" x14ac:dyDescent="0.25">
      <c r="D204" s="3"/>
      <c r="E204" s="3"/>
      <c r="F204" s="3"/>
    </row>
    <row r="205" spans="4:6" ht="12.75" customHeight="1" x14ac:dyDescent="0.25">
      <c r="D205" s="3"/>
      <c r="E205" s="3"/>
      <c r="F205" s="3"/>
    </row>
    <row r="206" spans="4:6" ht="12.75" customHeight="1" x14ac:dyDescent="0.25">
      <c r="D206" s="3"/>
      <c r="E206" s="3"/>
      <c r="F206" s="3"/>
    </row>
    <row r="207" spans="4:6" ht="12.75" customHeight="1" x14ac:dyDescent="0.25">
      <c r="D207" s="3"/>
      <c r="E207" s="3"/>
      <c r="F207" s="3"/>
    </row>
    <row r="208" spans="4:6" ht="12.75" customHeight="1" x14ac:dyDescent="0.25">
      <c r="D208" s="3"/>
      <c r="E208" s="3"/>
      <c r="F208" s="3"/>
    </row>
    <row r="209" spans="4:6" ht="12.75" customHeight="1" x14ac:dyDescent="0.25">
      <c r="D209" s="3"/>
      <c r="E209" s="3"/>
      <c r="F209" s="3"/>
    </row>
    <row r="210" spans="4:6" ht="12.75" customHeight="1" x14ac:dyDescent="0.25">
      <c r="D210" s="3"/>
      <c r="E210" s="3"/>
      <c r="F210" s="3"/>
    </row>
    <row r="211" spans="4:6" ht="12.75" customHeight="1" x14ac:dyDescent="0.25">
      <c r="D211" s="3"/>
      <c r="E211" s="3"/>
      <c r="F211" s="3"/>
    </row>
    <row r="212" spans="4:6" ht="12.75" customHeight="1" x14ac:dyDescent="0.25">
      <c r="D212" s="3"/>
      <c r="E212" s="3"/>
      <c r="F212" s="3"/>
    </row>
    <row r="213" spans="4:6" ht="12.75" customHeight="1" x14ac:dyDescent="0.25">
      <c r="D213" s="3"/>
      <c r="E213" s="3"/>
      <c r="F213" s="3"/>
    </row>
    <row r="214" spans="4:6" ht="12.75" customHeight="1" x14ac:dyDescent="0.25">
      <c r="D214" s="3"/>
      <c r="E214" s="3"/>
      <c r="F214" s="3"/>
    </row>
    <row r="215" spans="4:6" ht="12.75" customHeight="1" x14ac:dyDescent="0.25">
      <c r="D215" s="3"/>
      <c r="E215" s="3"/>
      <c r="F215" s="3"/>
    </row>
    <row r="216" spans="4:6" ht="12.75" customHeight="1" x14ac:dyDescent="0.25">
      <c r="D216" s="3"/>
      <c r="E216" s="3"/>
      <c r="F216" s="3"/>
    </row>
    <row r="217" spans="4:6" ht="12.75" customHeight="1" x14ac:dyDescent="0.25">
      <c r="D217" s="3"/>
      <c r="E217" s="3"/>
      <c r="F217" s="3"/>
    </row>
    <row r="218" spans="4:6" ht="12.75" customHeight="1" x14ac:dyDescent="0.25">
      <c r="D218" s="3"/>
      <c r="E218" s="3"/>
      <c r="F218" s="3"/>
    </row>
    <row r="219" spans="4:6" ht="12.75" customHeight="1" x14ac:dyDescent="0.25">
      <c r="D219" s="3"/>
      <c r="E219" s="3"/>
      <c r="F219" s="3"/>
    </row>
    <row r="220" spans="4:6" ht="12.75" customHeight="1" x14ac:dyDescent="0.25">
      <c r="D220" s="3"/>
      <c r="E220" s="3"/>
      <c r="F220" s="3"/>
    </row>
    <row r="221" spans="4:6" ht="12.75" customHeight="1" x14ac:dyDescent="0.25">
      <c r="D221" s="3"/>
      <c r="E221" s="3"/>
      <c r="F221" s="3"/>
    </row>
    <row r="222" spans="4:6" ht="12.75" customHeight="1" x14ac:dyDescent="0.25">
      <c r="D222" s="3"/>
      <c r="E222" s="3"/>
      <c r="F222" s="3"/>
    </row>
    <row r="223" spans="4:6" ht="12.75" customHeight="1" x14ac:dyDescent="0.25">
      <c r="D223" s="3"/>
      <c r="E223" s="3"/>
      <c r="F223" s="3"/>
    </row>
    <row r="224" spans="4:6" ht="12.75" customHeight="1" x14ac:dyDescent="0.25">
      <c r="D224" s="3"/>
      <c r="E224" s="3"/>
      <c r="F224" s="3"/>
    </row>
    <row r="225" spans="4:6" ht="12.75" customHeight="1" x14ac:dyDescent="0.25">
      <c r="D225" s="3"/>
      <c r="E225" s="3"/>
      <c r="F225" s="3"/>
    </row>
    <row r="226" spans="4:6" ht="12.75" customHeight="1" x14ac:dyDescent="0.25">
      <c r="D226" s="3"/>
      <c r="E226" s="3"/>
      <c r="F226" s="3"/>
    </row>
    <row r="227" spans="4:6" ht="12.75" customHeight="1" x14ac:dyDescent="0.25">
      <c r="D227" s="3"/>
      <c r="E227" s="3"/>
      <c r="F227" s="3"/>
    </row>
    <row r="228" spans="4:6" ht="12.75" customHeight="1" x14ac:dyDescent="0.25">
      <c r="D228" s="3"/>
      <c r="E228" s="3"/>
      <c r="F228" s="3"/>
    </row>
    <row r="229" spans="4:6" ht="12.75" customHeight="1" x14ac:dyDescent="0.25">
      <c r="D229" s="3"/>
      <c r="E229" s="3"/>
      <c r="F229" s="3"/>
    </row>
    <row r="230" spans="4:6" ht="12.75" customHeight="1" x14ac:dyDescent="0.25">
      <c r="D230" s="3"/>
      <c r="E230" s="3"/>
      <c r="F230" s="3"/>
    </row>
    <row r="231" spans="4:6" ht="12.75" customHeight="1" x14ac:dyDescent="0.25">
      <c r="D231" s="3"/>
      <c r="E231" s="3"/>
      <c r="F231" s="3"/>
    </row>
    <row r="232" spans="4:6" ht="12.75" customHeight="1" x14ac:dyDescent="0.25">
      <c r="D232" s="3"/>
      <c r="E232" s="3"/>
      <c r="F232" s="3"/>
    </row>
    <row r="233" spans="4:6" ht="12.75" customHeight="1" x14ac:dyDescent="0.25">
      <c r="D233" s="3"/>
      <c r="E233" s="3"/>
      <c r="F233" s="3"/>
    </row>
    <row r="234" spans="4:6" ht="12.75" customHeight="1" x14ac:dyDescent="0.25">
      <c r="D234" s="3"/>
      <c r="E234" s="3"/>
      <c r="F234" s="3"/>
    </row>
    <row r="235" spans="4:6" ht="12.75" customHeight="1" x14ac:dyDescent="0.25">
      <c r="D235" s="3"/>
      <c r="E235" s="3"/>
      <c r="F235" s="3"/>
    </row>
    <row r="236" spans="4:6" ht="12.75" customHeight="1" x14ac:dyDescent="0.25">
      <c r="D236" s="3"/>
      <c r="E236" s="3"/>
      <c r="F236" s="3"/>
    </row>
    <row r="237" spans="4:6" ht="12.75" customHeight="1" x14ac:dyDescent="0.25">
      <c r="D237" s="3"/>
      <c r="E237" s="3"/>
      <c r="F237" s="3"/>
    </row>
    <row r="238" spans="4:6" ht="12.75" customHeight="1" x14ac:dyDescent="0.25">
      <c r="D238" s="3"/>
      <c r="E238" s="3"/>
      <c r="F238" s="3"/>
    </row>
    <row r="239" spans="4:6" ht="12.75" customHeight="1" x14ac:dyDescent="0.25">
      <c r="D239" s="3"/>
      <c r="E239" s="3"/>
      <c r="F239" s="3"/>
    </row>
    <row r="240" spans="4:6" ht="12.75" customHeight="1" x14ac:dyDescent="0.25">
      <c r="D240" s="3"/>
      <c r="E240" s="3"/>
      <c r="F240" s="3"/>
    </row>
    <row r="241" spans="4:6" ht="12.75" customHeight="1" x14ac:dyDescent="0.25">
      <c r="D241" s="3"/>
      <c r="E241" s="3"/>
      <c r="F241" s="3"/>
    </row>
    <row r="242" spans="4:6" ht="12.75" customHeight="1" x14ac:dyDescent="0.25">
      <c r="D242" s="3"/>
      <c r="E242" s="3"/>
      <c r="F242" s="3"/>
    </row>
    <row r="243" spans="4:6" ht="12.75" customHeight="1" x14ac:dyDescent="0.25">
      <c r="D243" s="3"/>
      <c r="E243" s="3"/>
      <c r="F243" s="3"/>
    </row>
    <row r="244" spans="4:6" ht="12.75" customHeight="1" x14ac:dyDescent="0.25">
      <c r="D244" s="3"/>
      <c r="E244" s="3"/>
      <c r="F244" s="3"/>
    </row>
    <row r="245" spans="4:6" ht="12.75" customHeight="1" x14ac:dyDescent="0.25">
      <c r="D245" s="3"/>
      <c r="E245" s="3"/>
      <c r="F245" s="3"/>
    </row>
    <row r="246" spans="4:6" ht="12.75" customHeight="1" x14ac:dyDescent="0.25">
      <c r="D246" s="3"/>
      <c r="E246" s="3"/>
      <c r="F246" s="3"/>
    </row>
    <row r="247" spans="4:6" ht="12.75" customHeight="1" x14ac:dyDescent="0.25">
      <c r="D247" s="3"/>
      <c r="E247" s="3"/>
      <c r="F247" s="3"/>
    </row>
    <row r="248" spans="4:6" ht="12.75" customHeight="1" x14ac:dyDescent="0.25">
      <c r="D248" s="3"/>
      <c r="E248" s="3"/>
      <c r="F248" s="3"/>
    </row>
    <row r="249" spans="4:6" ht="12.75" customHeight="1" x14ac:dyDescent="0.25">
      <c r="D249" s="3"/>
      <c r="E249" s="3"/>
      <c r="F249" s="3"/>
    </row>
    <row r="250" spans="4:6" ht="12.75" customHeight="1" x14ac:dyDescent="0.25">
      <c r="D250" s="3"/>
      <c r="E250" s="3"/>
      <c r="F250" s="3"/>
    </row>
    <row r="251" spans="4:6" ht="12.75" customHeight="1" x14ac:dyDescent="0.25">
      <c r="D251" s="3"/>
      <c r="E251" s="3"/>
      <c r="F251" s="3"/>
    </row>
    <row r="252" spans="4:6" ht="12.75" customHeight="1" x14ac:dyDescent="0.25">
      <c r="D252" s="3"/>
      <c r="E252" s="3"/>
      <c r="F252" s="3"/>
    </row>
    <row r="253" spans="4:6" ht="12.75" customHeight="1" x14ac:dyDescent="0.25">
      <c r="D253" s="3"/>
      <c r="E253" s="3"/>
      <c r="F253" s="3"/>
    </row>
    <row r="254" spans="4:6" ht="12.75" customHeight="1" x14ac:dyDescent="0.25">
      <c r="D254" s="3"/>
      <c r="E254" s="3"/>
      <c r="F254" s="3"/>
    </row>
    <row r="255" spans="4:6" ht="12.75" customHeight="1" x14ac:dyDescent="0.25">
      <c r="D255" s="3"/>
      <c r="E255" s="3"/>
      <c r="F255" s="3"/>
    </row>
    <row r="256" spans="4:6" ht="12.75" customHeight="1" x14ac:dyDescent="0.25">
      <c r="D256" s="3"/>
      <c r="E256" s="3"/>
      <c r="F256" s="3"/>
    </row>
    <row r="257" spans="4:6" ht="12.75" customHeight="1" x14ac:dyDescent="0.25">
      <c r="D257" s="3"/>
      <c r="E257" s="3"/>
      <c r="F257" s="3"/>
    </row>
    <row r="258" spans="4:6" ht="12.75" customHeight="1" x14ac:dyDescent="0.25">
      <c r="D258" s="3"/>
      <c r="E258" s="3"/>
      <c r="F258" s="3"/>
    </row>
    <row r="259" spans="4:6" ht="12.75" customHeight="1" x14ac:dyDescent="0.25">
      <c r="D259" s="3"/>
      <c r="E259" s="3"/>
      <c r="F259" s="3"/>
    </row>
    <row r="260" spans="4:6" ht="12.75" customHeight="1" x14ac:dyDescent="0.25">
      <c r="D260" s="3"/>
      <c r="E260" s="3"/>
      <c r="F260" s="3"/>
    </row>
    <row r="261" spans="4:6" ht="12.75" customHeight="1" x14ac:dyDescent="0.25">
      <c r="D261" s="3"/>
      <c r="E261" s="3"/>
      <c r="F261" s="3"/>
    </row>
    <row r="262" spans="4:6" ht="12.75" customHeight="1" x14ac:dyDescent="0.25">
      <c r="D262" s="3"/>
      <c r="E262" s="3"/>
      <c r="F262" s="3"/>
    </row>
    <row r="263" spans="4:6" ht="12.75" customHeight="1" x14ac:dyDescent="0.25">
      <c r="D263" s="3"/>
      <c r="E263" s="3"/>
      <c r="F263" s="3"/>
    </row>
    <row r="264" spans="4:6" ht="12.75" customHeight="1" x14ac:dyDescent="0.25">
      <c r="D264" s="3"/>
      <c r="E264" s="3"/>
      <c r="F264" s="3"/>
    </row>
    <row r="265" spans="4:6" ht="12.75" customHeight="1" x14ac:dyDescent="0.25">
      <c r="D265" s="3"/>
      <c r="E265" s="3"/>
      <c r="F265" s="3"/>
    </row>
    <row r="266" spans="4:6" ht="12.75" customHeight="1" x14ac:dyDescent="0.25">
      <c r="D266" s="3"/>
      <c r="E266" s="3"/>
      <c r="F266" s="3"/>
    </row>
    <row r="267" spans="4:6" ht="12.75" customHeight="1" x14ac:dyDescent="0.25">
      <c r="D267" s="3"/>
      <c r="E267" s="3"/>
      <c r="F267" s="3"/>
    </row>
    <row r="268" spans="4:6" ht="12.75" customHeight="1" x14ac:dyDescent="0.25">
      <c r="D268" s="3"/>
      <c r="E268" s="3"/>
      <c r="F268" s="3"/>
    </row>
    <row r="269" spans="4:6" ht="12.75" customHeight="1" x14ac:dyDescent="0.25">
      <c r="D269" s="3"/>
      <c r="E269" s="3"/>
      <c r="F269" s="3"/>
    </row>
    <row r="270" spans="4:6" ht="12.75" customHeight="1" x14ac:dyDescent="0.25">
      <c r="D270" s="3"/>
      <c r="E270" s="3"/>
      <c r="F270" s="3"/>
    </row>
    <row r="271" spans="4:6" ht="12.75" customHeight="1" x14ac:dyDescent="0.25">
      <c r="D271" s="3"/>
      <c r="E271" s="3"/>
      <c r="F271" s="3"/>
    </row>
    <row r="272" spans="4:6" ht="12.75" customHeight="1" x14ac:dyDescent="0.25">
      <c r="D272" s="3"/>
      <c r="E272" s="3"/>
      <c r="F272" s="3"/>
    </row>
    <row r="273" spans="4:6" ht="12.75" customHeight="1" x14ac:dyDescent="0.25">
      <c r="D273" s="3"/>
      <c r="E273" s="3"/>
      <c r="F273" s="3"/>
    </row>
    <row r="274" spans="4:6" ht="12.75" customHeight="1" x14ac:dyDescent="0.25">
      <c r="D274" s="3"/>
      <c r="E274" s="3"/>
      <c r="F274" s="3"/>
    </row>
    <row r="275" spans="4:6" ht="12.75" customHeight="1" x14ac:dyDescent="0.25">
      <c r="D275" s="3"/>
      <c r="E275" s="3"/>
      <c r="F275" s="3"/>
    </row>
    <row r="276" spans="4:6" ht="12.75" customHeight="1" x14ac:dyDescent="0.25">
      <c r="D276" s="3"/>
      <c r="E276" s="3"/>
      <c r="F276" s="3"/>
    </row>
    <row r="277" spans="4:6" ht="12.75" customHeight="1" x14ac:dyDescent="0.25">
      <c r="D277" s="3"/>
      <c r="E277" s="3"/>
      <c r="F277" s="3"/>
    </row>
    <row r="278" spans="4:6" ht="12.75" customHeight="1" x14ac:dyDescent="0.25">
      <c r="D278" s="3"/>
      <c r="E278" s="3"/>
      <c r="F278" s="3"/>
    </row>
    <row r="279" spans="4:6" ht="12.75" customHeight="1" x14ac:dyDescent="0.25">
      <c r="D279" s="3"/>
      <c r="E279" s="3"/>
      <c r="F279" s="3"/>
    </row>
    <row r="280" spans="4:6" ht="12.75" customHeight="1" x14ac:dyDescent="0.25">
      <c r="D280" s="3"/>
      <c r="E280" s="3"/>
      <c r="F280" s="3"/>
    </row>
    <row r="281" spans="4:6" ht="12.75" customHeight="1" x14ac:dyDescent="0.25">
      <c r="D281" s="3"/>
      <c r="E281" s="3"/>
      <c r="F281" s="3"/>
    </row>
    <row r="282" spans="4:6" ht="12.75" customHeight="1" x14ac:dyDescent="0.25">
      <c r="D282" s="3"/>
      <c r="E282" s="3"/>
      <c r="F282" s="3"/>
    </row>
    <row r="283" spans="4:6" ht="12.75" customHeight="1" x14ac:dyDescent="0.25">
      <c r="D283" s="3"/>
      <c r="E283" s="3"/>
      <c r="F283" s="3"/>
    </row>
    <row r="284" spans="4:6" ht="12.75" customHeight="1" x14ac:dyDescent="0.25">
      <c r="D284" s="3"/>
      <c r="E284" s="3"/>
      <c r="F284" s="3"/>
    </row>
    <row r="285" spans="4:6" ht="12.75" customHeight="1" x14ac:dyDescent="0.25">
      <c r="D285" s="3"/>
      <c r="E285" s="3"/>
      <c r="F285" s="3"/>
    </row>
    <row r="286" spans="4:6" ht="12.75" customHeight="1" x14ac:dyDescent="0.25">
      <c r="D286" s="3"/>
      <c r="E286" s="3"/>
      <c r="F286" s="3"/>
    </row>
    <row r="287" spans="4:6" ht="12.75" customHeight="1" x14ac:dyDescent="0.25">
      <c r="D287" s="3"/>
      <c r="E287" s="3"/>
      <c r="F287" s="3"/>
    </row>
    <row r="288" spans="4:6" ht="12.75" customHeight="1" x14ac:dyDescent="0.25">
      <c r="D288" s="3"/>
      <c r="E288" s="3"/>
      <c r="F288" s="3"/>
    </row>
    <row r="289" spans="4:6" ht="12.75" customHeight="1" x14ac:dyDescent="0.25">
      <c r="D289" s="3"/>
      <c r="E289" s="3"/>
      <c r="F289" s="3"/>
    </row>
    <row r="290" spans="4:6" ht="12.75" customHeight="1" x14ac:dyDescent="0.25">
      <c r="D290" s="3"/>
      <c r="E290" s="3"/>
      <c r="F290" s="3"/>
    </row>
    <row r="291" spans="4:6" ht="12.75" customHeight="1" x14ac:dyDescent="0.25">
      <c r="D291" s="3"/>
      <c r="E291" s="3"/>
      <c r="F291" s="3"/>
    </row>
    <row r="292" spans="4:6" ht="12.75" customHeight="1" x14ac:dyDescent="0.25">
      <c r="D292" s="3"/>
      <c r="E292" s="3"/>
      <c r="F292" s="3"/>
    </row>
    <row r="293" spans="4:6" ht="12.75" customHeight="1" x14ac:dyDescent="0.25">
      <c r="D293" s="3"/>
      <c r="E293" s="3"/>
      <c r="F293" s="3"/>
    </row>
    <row r="294" spans="4:6" ht="12.75" customHeight="1" x14ac:dyDescent="0.25">
      <c r="D294" s="3"/>
      <c r="E294" s="3"/>
      <c r="F294" s="3"/>
    </row>
    <row r="295" spans="4:6" ht="12.75" customHeight="1" x14ac:dyDescent="0.25">
      <c r="D295" s="3"/>
      <c r="E295" s="3"/>
      <c r="F295" s="3"/>
    </row>
    <row r="296" spans="4:6" ht="12.75" customHeight="1" x14ac:dyDescent="0.25">
      <c r="D296" s="3"/>
      <c r="E296" s="3"/>
      <c r="F296" s="3"/>
    </row>
    <row r="297" spans="4:6" ht="12.75" customHeight="1" x14ac:dyDescent="0.25">
      <c r="D297" s="3"/>
      <c r="E297" s="3"/>
      <c r="F297" s="3"/>
    </row>
    <row r="298" spans="4:6" ht="12.75" customHeight="1" x14ac:dyDescent="0.25">
      <c r="D298" s="3"/>
      <c r="E298" s="3"/>
      <c r="F298" s="3"/>
    </row>
    <row r="299" spans="4:6" ht="12.75" customHeight="1" x14ac:dyDescent="0.25">
      <c r="D299" s="3"/>
      <c r="E299" s="3"/>
      <c r="F299" s="3"/>
    </row>
    <row r="300" spans="4:6" ht="12.75" customHeight="1" x14ac:dyDescent="0.25">
      <c r="D300" s="3"/>
      <c r="E300" s="3"/>
      <c r="F300" s="3"/>
    </row>
    <row r="301" spans="4:6" ht="12.75" customHeight="1" x14ac:dyDescent="0.25">
      <c r="D301" s="3"/>
      <c r="E301" s="3"/>
      <c r="F301" s="3"/>
    </row>
    <row r="302" spans="4:6" ht="12.75" customHeight="1" x14ac:dyDescent="0.25">
      <c r="D302" s="3"/>
      <c r="E302" s="3"/>
      <c r="F302" s="3"/>
    </row>
    <row r="303" spans="4:6" ht="12.75" customHeight="1" x14ac:dyDescent="0.25">
      <c r="D303" s="3"/>
      <c r="E303" s="3"/>
      <c r="F303" s="3"/>
    </row>
    <row r="304" spans="4:6" ht="12.75" customHeight="1" x14ac:dyDescent="0.25">
      <c r="D304" s="3"/>
      <c r="E304" s="3"/>
      <c r="F304" s="3"/>
    </row>
    <row r="305" spans="4:6" ht="12.75" customHeight="1" x14ac:dyDescent="0.25">
      <c r="D305" s="3"/>
      <c r="E305" s="3"/>
      <c r="F305" s="3"/>
    </row>
    <row r="306" spans="4:6" ht="12.75" customHeight="1" x14ac:dyDescent="0.25">
      <c r="D306" s="3"/>
      <c r="E306" s="3"/>
      <c r="F306" s="3"/>
    </row>
    <row r="307" spans="4:6" ht="12.75" customHeight="1" x14ac:dyDescent="0.25">
      <c r="D307" s="3"/>
      <c r="E307" s="3"/>
      <c r="F307" s="3"/>
    </row>
    <row r="308" spans="4:6" ht="12.75" customHeight="1" x14ac:dyDescent="0.25">
      <c r="D308" s="3"/>
      <c r="E308" s="3"/>
      <c r="F308" s="3"/>
    </row>
    <row r="309" spans="4:6" ht="12.75" customHeight="1" x14ac:dyDescent="0.25">
      <c r="D309" s="3"/>
      <c r="E309" s="3"/>
      <c r="F309" s="3"/>
    </row>
    <row r="310" spans="4:6" ht="12.75" customHeight="1" x14ac:dyDescent="0.25">
      <c r="D310" s="3"/>
      <c r="E310" s="3"/>
      <c r="F310" s="3"/>
    </row>
    <row r="311" spans="4:6" ht="12.75" customHeight="1" x14ac:dyDescent="0.25">
      <c r="D311" s="3"/>
      <c r="E311" s="3"/>
      <c r="F311" s="3"/>
    </row>
    <row r="312" spans="4:6" ht="12.75" customHeight="1" x14ac:dyDescent="0.25">
      <c r="D312" s="3"/>
      <c r="E312" s="3"/>
      <c r="F312" s="3"/>
    </row>
    <row r="313" spans="4:6" ht="12.75" customHeight="1" x14ac:dyDescent="0.25">
      <c r="D313" s="3"/>
      <c r="E313" s="3"/>
      <c r="F313" s="3"/>
    </row>
    <row r="314" spans="4:6" ht="12.75" customHeight="1" x14ac:dyDescent="0.25">
      <c r="D314" s="3"/>
      <c r="E314" s="3"/>
      <c r="F314" s="3"/>
    </row>
    <row r="315" spans="4:6" ht="12.75" customHeight="1" x14ac:dyDescent="0.25">
      <c r="D315" s="3"/>
      <c r="E315" s="3"/>
      <c r="F315" s="3"/>
    </row>
    <row r="316" spans="4:6" ht="12.75" customHeight="1" x14ac:dyDescent="0.25">
      <c r="D316" s="3"/>
      <c r="E316" s="3"/>
      <c r="F316" s="3"/>
    </row>
    <row r="317" spans="4:6" ht="12.75" customHeight="1" x14ac:dyDescent="0.25">
      <c r="D317" s="3"/>
      <c r="E317" s="3"/>
      <c r="F317" s="3"/>
    </row>
    <row r="318" spans="4:6" ht="12.75" customHeight="1" x14ac:dyDescent="0.25">
      <c r="D318" s="3"/>
      <c r="E318" s="3"/>
      <c r="F318" s="3"/>
    </row>
    <row r="319" spans="4:6" ht="12.75" customHeight="1" x14ac:dyDescent="0.25">
      <c r="D319" s="3"/>
      <c r="E319" s="3"/>
      <c r="F319" s="3"/>
    </row>
    <row r="320" spans="4:6" ht="12.75" customHeight="1" x14ac:dyDescent="0.25">
      <c r="D320" s="3"/>
      <c r="E320" s="3"/>
      <c r="F320" s="3"/>
    </row>
    <row r="321" spans="4:6" ht="12.75" customHeight="1" x14ac:dyDescent="0.25">
      <c r="D321" s="3"/>
      <c r="E321" s="3"/>
      <c r="F321" s="3"/>
    </row>
    <row r="322" spans="4:6" ht="12.75" customHeight="1" x14ac:dyDescent="0.25">
      <c r="D322" s="3"/>
      <c r="E322" s="3"/>
      <c r="F322" s="3"/>
    </row>
    <row r="323" spans="4:6" ht="12.75" customHeight="1" x14ac:dyDescent="0.25">
      <c r="D323" s="3"/>
      <c r="E323" s="3"/>
      <c r="F323" s="3"/>
    </row>
    <row r="324" spans="4:6" ht="12.75" customHeight="1" x14ac:dyDescent="0.25">
      <c r="D324" s="3"/>
      <c r="E324" s="3"/>
      <c r="F324" s="3"/>
    </row>
    <row r="325" spans="4:6" ht="12.75" customHeight="1" x14ac:dyDescent="0.25">
      <c r="D325" s="3"/>
      <c r="E325" s="3"/>
      <c r="F325" s="3"/>
    </row>
    <row r="326" spans="4:6" ht="12.75" customHeight="1" x14ac:dyDescent="0.25">
      <c r="D326" s="3"/>
      <c r="E326" s="3"/>
      <c r="F326" s="3"/>
    </row>
    <row r="327" spans="4:6" ht="12.75" customHeight="1" x14ac:dyDescent="0.25">
      <c r="D327" s="3"/>
      <c r="E327" s="3"/>
      <c r="F327" s="3"/>
    </row>
    <row r="328" spans="4:6" ht="12.75" customHeight="1" x14ac:dyDescent="0.25">
      <c r="D328" s="3"/>
      <c r="E328" s="3"/>
      <c r="F328" s="3"/>
    </row>
    <row r="329" spans="4:6" ht="12.75" customHeight="1" x14ac:dyDescent="0.25">
      <c r="D329" s="3"/>
      <c r="E329" s="3"/>
      <c r="F329" s="3"/>
    </row>
    <row r="330" spans="4:6" ht="12.75" customHeight="1" x14ac:dyDescent="0.25">
      <c r="D330" s="3"/>
      <c r="E330" s="3"/>
      <c r="F330" s="3"/>
    </row>
    <row r="331" spans="4:6" ht="12.75" customHeight="1" x14ac:dyDescent="0.25">
      <c r="D331" s="3"/>
      <c r="E331" s="3"/>
      <c r="F331" s="3"/>
    </row>
    <row r="332" spans="4:6" ht="12.75" customHeight="1" x14ac:dyDescent="0.25">
      <c r="D332" s="3"/>
      <c r="E332" s="3"/>
      <c r="F332" s="3"/>
    </row>
    <row r="333" spans="4:6" ht="12.75" customHeight="1" x14ac:dyDescent="0.25">
      <c r="D333" s="3"/>
      <c r="E333" s="3"/>
      <c r="F333" s="3"/>
    </row>
    <row r="334" spans="4:6" ht="12.75" customHeight="1" x14ac:dyDescent="0.25">
      <c r="D334" s="3"/>
      <c r="E334" s="3"/>
      <c r="F334" s="3"/>
    </row>
    <row r="335" spans="4:6" ht="12.75" customHeight="1" x14ac:dyDescent="0.25">
      <c r="D335" s="3"/>
      <c r="E335" s="3"/>
      <c r="F335" s="3"/>
    </row>
    <row r="336" spans="4:6" ht="12.75" customHeight="1" x14ac:dyDescent="0.25">
      <c r="D336" s="3"/>
      <c r="E336" s="3"/>
      <c r="F336" s="3"/>
    </row>
    <row r="337" spans="4:6" ht="12.75" customHeight="1" x14ac:dyDescent="0.25">
      <c r="D337" s="3"/>
      <c r="E337" s="3"/>
      <c r="F337" s="3"/>
    </row>
    <row r="338" spans="4:6" ht="12.75" customHeight="1" x14ac:dyDescent="0.25">
      <c r="D338" s="3"/>
      <c r="E338" s="3"/>
      <c r="F338" s="3"/>
    </row>
    <row r="339" spans="4:6" ht="12.75" customHeight="1" x14ac:dyDescent="0.25">
      <c r="D339" s="3"/>
      <c r="E339" s="3"/>
      <c r="F339" s="3"/>
    </row>
    <row r="340" spans="4:6" ht="12.75" customHeight="1" x14ac:dyDescent="0.25">
      <c r="D340" s="3"/>
      <c r="E340" s="3"/>
      <c r="F340" s="3"/>
    </row>
    <row r="341" spans="4:6" ht="12.75" customHeight="1" x14ac:dyDescent="0.25">
      <c r="D341" s="3"/>
      <c r="E341" s="3"/>
      <c r="F341" s="3"/>
    </row>
    <row r="342" spans="4:6" ht="12.75" customHeight="1" x14ac:dyDescent="0.25">
      <c r="D342" s="3"/>
      <c r="E342" s="3"/>
      <c r="F342" s="3"/>
    </row>
    <row r="343" spans="4:6" ht="12.75" customHeight="1" x14ac:dyDescent="0.25">
      <c r="D343" s="3"/>
      <c r="E343" s="3"/>
      <c r="F343" s="3"/>
    </row>
    <row r="344" spans="4:6" ht="12.75" customHeight="1" x14ac:dyDescent="0.25">
      <c r="D344" s="3"/>
      <c r="E344" s="3"/>
      <c r="F344" s="3"/>
    </row>
    <row r="345" spans="4:6" ht="12.75" customHeight="1" x14ac:dyDescent="0.25">
      <c r="D345" s="3"/>
      <c r="E345" s="3"/>
      <c r="F345" s="3"/>
    </row>
    <row r="346" spans="4:6" ht="12.75" customHeight="1" x14ac:dyDescent="0.25">
      <c r="D346" s="3"/>
      <c r="E346" s="3"/>
      <c r="F346" s="3"/>
    </row>
    <row r="347" spans="4:6" ht="12.75" customHeight="1" x14ac:dyDescent="0.25">
      <c r="D347" s="3"/>
      <c r="E347" s="3"/>
      <c r="F347" s="3"/>
    </row>
    <row r="348" spans="4:6" ht="12.75" customHeight="1" x14ac:dyDescent="0.25">
      <c r="D348" s="3"/>
      <c r="E348" s="3"/>
      <c r="F348" s="3"/>
    </row>
    <row r="349" spans="4:6" ht="12.75" customHeight="1" x14ac:dyDescent="0.25">
      <c r="D349" s="3"/>
      <c r="E349" s="3"/>
      <c r="F349" s="3"/>
    </row>
    <row r="350" spans="4:6" ht="12.75" customHeight="1" x14ac:dyDescent="0.25">
      <c r="D350" s="3"/>
      <c r="E350" s="3"/>
      <c r="F350" s="3"/>
    </row>
    <row r="351" spans="4:6" ht="12.75" customHeight="1" x14ac:dyDescent="0.25">
      <c r="D351" s="3"/>
      <c r="E351" s="3"/>
      <c r="F351" s="3"/>
    </row>
    <row r="352" spans="4:6" ht="12.75" customHeight="1" x14ac:dyDescent="0.25">
      <c r="D352" s="3"/>
      <c r="E352" s="3"/>
      <c r="F352" s="3"/>
    </row>
    <row r="353" spans="4:6" ht="12.75" customHeight="1" x14ac:dyDescent="0.25">
      <c r="D353" s="3"/>
      <c r="E353" s="3"/>
      <c r="F353" s="3"/>
    </row>
    <row r="354" spans="4:6" ht="12.75" customHeight="1" x14ac:dyDescent="0.25">
      <c r="D354" s="3"/>
      <c r="E354" s="3"/>
      <c r="F354" s="3"/>
    </row>
    <row r="355" spans="4:6" ht="12.75" customHeight="1" x14ac:dyDescent="0.25">
      <c r="D355" s="3"/>
      <c r="E355" s="3"/>
      <c r="F355" s="3"/>
    </row>
    <row r="356" spans="4:6" ht="12.75" customHeight="1" x14ac:dyDescent="0.25">
      <c r="D356" s="3"/>
      <c r="E356" s="3"/>
      <c r="F356" s="3"/>
    </row>
    <row r="357" spans="4:6" ht="12.75" customHeight="1" x14ac:dyDescent="0.25">
      <c r="D357" s="3"/>
      <c r="E357" s="3"/>
      <c r="F357" s="3"/>
    </row>
    <row r="358" spans="4:6" ht="12.75" customHeight="1" x14ac:dyDescent="0.25">
      <c r="D358" s="3"/>
      <c r="E358" s="3"/>
      <c r="F358" s="3"/>
    </row>
    <row r="359" spans="4:6" ht="12.75" customHeight="1" x14ac:dyDescent="0.25">
      <c r="D359" s="3"/>
      <c r="E359" s="3"/>
      <c r="F359" s="3"/>
    </row>
    <row r="360" spans="4:6" ht="12.75" customHeight="1" x14ac:dyDescent="0.25">
      <c r="D360" s="3"/>
      <c r="E360" s="3"/>
      <c r="F360" s="3"/>
    </row>
    <row r="361" spans="4:6" ht="12.75" customHeight="1" x14ac:dyDescent="0.25">
      <c r="D361" s="3"/>
      <c r="E361" s="3"/>
      <c r="F361" s="3"/>
    </row>
    <row r="362" spans="4:6" ht="12.75" customHeight="1" x14ac:dyDescent="0.25">
      <c r="D362" s="3"/>
      <c r="E362" s="3"/>
      <c r="F362" s="3"/>
    </row>
    <row r="363" spans="4:6" ht="12.75" customHeight="1" x14ac:dyDescent="0.25">
      <c r="D363" s="3"/>
      <c r="E363" s="3"/>
      <c r="F363" s="3"/>
    </row>
    <row r="364" spans="4:6" ht="12.75" customHeight="1" x14ac:dyDescent="0.25">
      <c r="D364" s="3"/>
      <c r="E364" s="3"/>
      <c r="F364" s="3"/>
    </row>
    <row r="365" spans="4:6" ht="12.75" customHeight="1" x14ac:dyDescent="0.25">
      <c r="D365" s="3"/>
      <c r="E365" s="3"/>
      <c r="F365" s="3"/>
    </row>
    <row r="366" spans="4:6" ht="12.75" customHeight="1" x14ac:dyDescent="0.25">
      <c r="D366" s="3"/>
      <c r="E366" s="3"/>
      <c r="F366" s="3"/>
    </row>
    <row r="367" spans="4:6" ht="12.75" customHeight="1" x14ac:dyDescent="0.25">
      <c r="D367" s="3"/>
      <c r="E367" s="3"/>
      <c r="F367" s="3"/>
    </row>
    <row r="368" spans="4:6" ht="12.75" customHeight="1" x14ac:dyDescent="0.25">
      <c r="D368" s="3"/>
      <c r="E368" s="3"/>
      <c r="F368" s="3"/>
    </row>
    <row r="369" spans="4:6" ht="12.75" customHeight="1" x14ac:dyDescent="0.25">
      <c r="D369" s="3"/>
      <c r="E369" s="3"/>
      <c r="F369" s="3"/>
    </row>
    <row r="370" spans="4:6" ht="12.75" customHeight="1" x14ac:dyDescent="0.25">
      <c r="D370" s="3"/>
      <c r="E370" s="3"/>
      <c r="F370" s="3"/>
    </row>
    <row r="371" spans="4:6" ht="12.75" customHeight="1" x14ac:dyDescent="0.25">
      <c r="D371" s="3"/>
      <c r="E371" s="3"/>
      <c r="F371" s="3"/>
    </row>
    <row r="372" spans="4:6" ht="12.75" customHeight="1" x14ac:dyDescent="0.25">
      <c r="D372" s="3"/>
      <c r="E372" s="3"/>
      <c r="F372" s="3"/>
    </row>
    <row r="373" spans="4:6" ht="12.75" customHeight="1" x14ac:dyDescent="0.25">
      <c r="D373" s="3"/>
      <c r="E373" s="3"/>
      <c r="F373" s="3"/>
    </row>
    <row r="374" spans="4:6" ht="12.75" customHeight="1" x14ac:dyDescent="0.25">
      <c r="D374" s="3"/>
      <c r="E374" s="3"/>
      <c r="F374" s="3"/>
    </row>
    <row r="375" spans="4:6" ht="12.75" customHeight="1" x14ac:dyDescent="0.25">
      <c r="D375" s="3"/>
      <c r="E375" s="3"/>
      <c r="F375" s="3"/>
    </row>
    <row r="376" spans="4:6" ht="12.75" customHeight="1" x14ac:dyDescent="0.25">
      <c r="D376" s="3"/>
      <c r="E376" s="3"/>
      <c r="F376" s="3"/>
    </row>
    <row r="377" spans="4:6" ht="12.75" customHeight="1" x14ac:dyDescent="0.25">
      <c r="D377" s="3"/>
      <c r="E377" s="3"/>
      <c r="F377" s="3"/>
    </row>
    <row r="378" spans="4:6" ht="12.75" customHeight="1" x14ac:dyDescent="0.25">
      <c r="D378" s="3"/>
      <c r="E378" s="3"/>
      <c r="F378" s="3"/>
    </row>
    <row r="379" spans="4:6" ht="12.75" customHeight="1" x14ac:dyDescent="0.25">
      <c r="D379" s="3"/>
      <c r="E379" s="3"/>
      <c r="F379" s="3"/>
    </row>
    <row r="380" spans="4:6" ht="12.75" customHeight="1" x14ac:dyDescent="0.25">
      <c r="D380" s="3"/>
      <c r="E380" s="3"/>
      <c r="F380" s="3"/>
    </row>
    <row r="381" spans="4:6" ht="12.75" customHeight="1" x14ac:dyDescent="0.25">
      <c r="D381" s="3"/>
      <c r="E381" s="3"/>
      <c r="F381" s="3"/>
    </row>
    <row r="382" spans="4:6" ht="12.75" customHeight="1" x14ac:dyDescent="0.25">
      <c r="D382" s="3"/>
      <c r="E382" s="3"/>
      <c r="F382" s="3"/>
    </row>
    <row r="383" spans="4:6" ht="12.75" customHeight="1" x14ac:dyDescent="0.25">
      <c r="D383" s="3"/>
      <c r="E383" s="3"/>
      <c r="F383" s="3"/>
    </row>
    <row r="384" spans="4:6" ht="12.75" customHeight="1" x14ac:dyDescent="0.25">
      <c r="D384" s="3"/>
      <c r="E384" s="3"/>
      <c r="F384" s="3"/>
    </row>
    <row r="385" spans="4:6" ht="12.75" customHeight="1" x14ac:dyDescent="0.25">
      <c r="D385" s="3"/>
      <c r="E385" s="3"/>
      <c r="F385" s="3"/>
    </row>
    <row r="386" spans="4:6" ht="12.75" customHeight="1" x14ac:dyDescent="0.25">
      <c r="D386" s="3"/>
      <c r="E386" s="3"/>
      <c r="F386" s="3"/>
    </row>
    <row r="387" spans="4:6" ht="12.75" customHeight="1" x14ac:dyDescent="0.25">
      <c r="D387" s="3"/>
      <c r="E387" s="3"/>
      <c r="F387" s="3"/>
    </row>
    <row r="388" spans="4:6" ht="12.75" customHeight="1" x14ac:dyDescent="0.25">
      <c r="D388" s="3"/>
      <c r="E388" s="3"/>
      <c r="F388" s="3"/>
    </row>
    <row r="389" spans="4:6" ht="12.75" customHeight="1" x14ac:dyDescent="0.25">
      <c r="D389" s="3"/>
      <c r="E389" s="3"/>
      <c r="F389" s="3"/>
    </row>
    <row r="390" spans="4:6" ht="12.75" customHeight="1" x14ac:dyDescent="0.25">
      <c r="D390" s="3"/>
      <c r="E390" s="3"/>
      <c r="F390" s="3"/>
    </row>
    <row r="391" spans="4:6" ht="12.75" customHeight="1" x14ac:dyDescent="0.25">
      <c r="D391" s="3"/>
      <c r="E391" s="3"/>
      <c r="F391" s="3"/>
    </row>
    <row r="392" spans="4:6" ht="12.75" customHeight="1" x14ac:dyDescent="0.25">
      <c r="D392" s="3"/>
      <c r="E392" s="3"/>
      <c r="F392" s="3"/>
    </row>
    <row r="393" spans="4:6" ht="12.75" customHeight="1" x14ac:dyDescent="0.25">
      <c r="D393" s="3"/>
      <c r="E393" s="3"/>
      <c r="F393" s="3"/>
    </row>
    <row r="394" spans="4:6" ht="12.75" customHeight="1" x14ac:dyDescent="0.25">
      <c r="D394" s="3"/>
      <c r="E394" s="3"/>
      <c r="F394" s="3"/>
    </row>
    <row r="395" spans="4:6" ht="12.75" customHeight="1" x14ac:dyDescent="0.25">
      <c r="D395" s="3"/>
      <c r="E395" s="3"/>
      <c r="F395" s="3"/>
    </row>
    <row r="396" spans="4:6" ht="12.75" customHeight="1" x14ac:dyDescent="0.25">
      <c r="D396" s="3"/>
      <c r="E396" s="3"/>
      <c r="F396" s="3"/>
    </row>
    <row r="397" spans="4:6" ht="12.75" customHeight="1" x14ac:dyDescent="0.25">
      <c r="D397" s="3"/>
      <c r="E397" s="3"/>
      <c r="F397" s="3"/>
    </row>
    <row r="398" spans="4:6" ht="12.75" customHeight="1" x14ac:dyDescent="0.25">
      <c r="D398" s="3"/>
      <c r="E398" s="3"/>
      <c r="F398" s="3"/>
    </row>
    <row r="399" spans="4:6" ht="12.75" customHeight="1" x14ac:dyDescent="0.25">
      <c r="D399" s="3"/>
      <c r="E399" s="3"/>
      <c r="F399" s="3"/>
    </row>
    <row r="400" spans="4:6" ht="12.75" customHeight="1" x14ac:dyDescent="0.25">
      <c r="D400" s="3"/>
      <c r="E400" s="3"/>
      <c r="F400" s="3"/>
    </row>
    <row r="401" spans="4:6" ht="12.75" customHeight="1" x14ac:dyDescent="0.25">
      <c r="D401" s="3"/>
      <c r="E401" s="3"/>
      <c r="F401" s="3"/>
    </row>
    <row r="402" spans="4:6" ht="12.75" customHeight="1" x14ac:dyDescent="0.25">
      <c r="D402" s="3"/>
      <c r="E402" s="3"/>
      <c r="F402" s="3"/>
    </row>
    <row r="403" spans="4:6" ht="12.75" customHeight="1" x14ac:dyDescent="0.25">
      <c r="D403" s="3"/>
      <c r="E403" s="3"/>
      <c r="F403" s="3"/>
    </row>
    <row r="404" spans="4:6" ht="12.75" customHeight="1" x14ac:dyDescent="0.25">
      <c r="D404" s="3"/>
      <c r="E404" s="3"/>
      <c r="F404" s="3"/>
    </row>
    <row r="405" spans="4:6" ht="12.75" customHeight="1" x14ac:dyDescent="0.25">
      <c r="D405" s="3"/>
      <c r="E405" s="3"/>
      <c r="F405" s="3"/>
    </row>
    <row r="406" spans="4:6" ht="12.75" customHeight="1" x14ac:dyDescent="0.25">
      <c r="D406" s="3"/>
      <c r="E406" s="3"/>
      <c r="F406" s="3"/>
    </row>
    <row r="407" spans="4:6" ht="12.75" customHeight="1" x14ac:dyDescent="0.25">
      <c r="D407" s="3"/>
      <c r="E407" s="3"/>
      <c r="F407" s="3"/>
    </row>
    <row r="408" spans="4:6" ht="12.75" customHeight="1" x14ac:dyDescent="0.25">
      <c r="D408" s="3"/>
      <c r="E408" s="3"/>
      <c r="F408" s="3"/>
    </row>
    <row r="409" spans="4:6" ht="12.75" customHeight="1" x14ac:dyDescent="0.25">
      <c r="D409" s="3"/>
      <c r="E409" s="3"/>
      <c r="F409" s="3"/>
    </row>
    <row r="410" spans="4:6" ht="12.75" customHeight="1" x14ac:dyDescent="0.25">
      <c r="D410" s="3"/>
      <c r="E410" s="3"/>
      <c r="F410" s="3"/>
    </row>
    <row r="411" spans="4:6" ht="12.75" customHeight="1" x14ac:dyDescent="0.25">
      <c r="D411" s="3"/>
      <c r="E411" s="3"/>
      <c r="F411" s="3"/>
    </row>
    <row r="412" spans="4:6" ht="12.75" customHeight="1" x14ac:dyDescent="0.25">
      <c r="D412" s="3"/>
      <c r="E412" s="3"/>
      <c r="F412" s="3"/>
    </row>
    <row r="413" spans="4:6" ht="12.75" customHeight="1" x14ac:dyDescent="0.25">
      <c r="D413" s="3"/>
      <c r="E413" s="3"/>
      <c r="F413" s="3"/>
    </row>
    <row r="414" spans="4:6" ht="12.75" customHeight="1" x14ac:dyDescent="0.25">
      <c r="D414" s="3"/>
      <c r="E414" s="3"/>
      <c r="F414" s="3"/>
    </row>
    <row r="415" spans="4:6" ht="12.75" customHeight="1" x14ac:dyDescent="0.25">
      <c r="D415" s="3"/>
      <c r="E415" s="3"/>
      <c r="F415" s="3"/>
    </row>
    <row r="416" spans="4:6" ht="12.75" customHeight="1" x14ac:dyDescent="0.25">
      <c r="D416" s="3"/>
      <c r="E416" s="3"/>
      <c r="F416" s="3"/>
    </row>
    <row r="417" spans="4:6" ht="12.75" customHeight="1" x14ac:dyDescent="0.25">
      <c r="D417" s="3"/>
      <c r="E417" s="3"/>
      <c r="F417" s="3"/>
    </row>
    <row r="418" spans="4:6" ht="12.75" customHeight="1" x14ac:dyDescent="0.25">
      <c r="D418" s="3"/>
      <c r="E418" s="3"/>
      <c r="F418" s="3"/>
    </row>
    <row r="419" spans="4:6" ht="12.75" customHeight="1" x14ac:dyDescent="0.25">
      <c r="D419" s="3"/>
      <c r="E419" s="3"/>
      <c r="F419" s="3"/>
    </row>
    <row r="420" spans="4:6" ht="12.75" customHeight="1" x14ac:dyDescent="0.25">
      <c r="D420" s="3"/>
      <c r="E420" s="3"/>
      <c r="F420" s="3"/>
    </row>
    <row r="421" spans="4:6" ht="12.75" customHeight="1" x14ac:dyDescent="0.25">
      <c r="D421" s="3"/>
      <c r="E421" s="3"/>
      <c r="F421" s="3"/>
    </row>
    <row r="422" spans="4:6" ht="12.75" customHeight="1" x14ac:dyDescent="0.25">
      <c r="D422" s="3"/>
      <c r="E422" s="3"/>
      <c r="F422" s="3"/>
    </row>
    <row r="423" spans="4:6" ht="12.75" customHeight="1" x14ac:dyDescent="0.25">
      <c r="D423" s="3"/>
      <c r="E423" s="3"/>
      <c r="F423" s="3"/>
    </row>
    <row r="424" spans="4:6" ht="12.75" customHeight="1" x14ac:dyDescent="0.25">
      <c r="D424" s="3"/>
      <c r="E424" s="3"/>
      <c r="F424" s="3"/>
    </row>
    <row r="425" spans="4:6" ht="12.75" customHeight="1" x14ac:dyDescent="0.25">
      <c r="D425" s="3"/>
      <c r="E425" s="3"/>
      <c r="F425" s="3"/>
    </row>
    <row r="426" spans="4:6" ht="12.75" customHeight="1" x14ac:dyDescent="0.25">
      <c r="D426" s="3"/>
      <c r="E426" s="3"/>
      <c r="F426" s="3"/>
    </row>
    <row r="427" spans="4:6" ht="12.75" customHeight="1" x14ac:dyDescent="0.25">
      <c r="D427" s="3"/>
      <c r="E427" s="3"/>
      <c r="F427" s="3"/>
    </row>
    <row r="428" spans="4:6" ht="12.75" customHeight="1" x14ac:dyDescent="0.25">
      <c r="D428" s="3"/>
      <c r="E428" s="3"/>
      <c r="F428" s="3"/>
    </row>
    <row r="429" spans="4:6" ht="12.75" customHeight="1" x14ac:dyDescent="0.25">
      <c r="D429" s="3"/>
      <c r="E429" s="3"/>
      <c r="F429" s="3"/>
    </row>
    <row r="430" spans="4:6" ht="12.75" customHeight="1" x14ac:dyDescent="0.25">
      <c r="D430" s="3"/>
      <c r="E430" s="3"/>
      <c r="F430" s="3"/>
    </row>
    <row r="431" spans="4:6" ht="12.75" customHeight="1" x14ac:dyDescent="0.25">
      <c r="D431" s="3"/>
      <c r="E431" s="3"/>
      <c r="F431" s="3"/>
    </row>
    <row r="432" spans="4:6" ht="12.75" customHeight="1" x14ac:dyDescent="0.25">
      <c r="D432" s="3"/>
      <c r="E432" s="3"/>
      <c r="F432" s="3"/>
    </row>
    <row r="433" spans="4:6" ht="12.75" customHeight="1" x14ac:dyDescent="0.25">
      <c r="D433" s="3"/>
      <c r="E433" s="3"/>
      <c r="F433" s="3"/>
    </row>
    <row r="434" spans="4:6" ht="12.75" customHeight="1" x14ac:dyDescent="0.25">
      <c r="D434" s="3"/>
      <c r="E434" s="3"/>
      <c r="F434" s="3"/>
    </row>
    <row r="435" spans="4:6" ht="12.75" customHeight="1" x14ac:dyDescent="0.25">
      <c r="D435" s="3"/>
      <c r="E435" s="3"/>
      <c r="F435" s="3"/>
    </row>
    <row r="436" spans="4:6" ht="12.75" customHeight="1" x14ac:dyDescent="0.25">
      <c r="D436" s="3"/>
      <c r="E436" s="3"/>
      <c r="F436" s="3"/>
    </row>
    <row r="437" spans="4:6" ht="12.75" customHeight="1" x14ac:dyDescent="0.25">
      <c r="D437" s="3"/>
      <c r="E437" s="3"/>
      <c r="F437" s="3"/>
    </row>
    <row r="438" spans="4:6" ht="12.75" customHeight="1" x14ac:dyDescent="0.25">
      <c r="D438" s="3"/>
      <c r="E438" s="3"/>
      <c r="F438" s="3"/>
    </row>
    <row r="439" spans="4:6" ht="12.75" customHeight="1" x14ac:dyDescent="0.25">
      <c r="D439" s="3"/>
      <c r="E439" s="3"/>
      <c r="F439" s="3"/>
    </row>
    <row r="440" spans="4:6" ht="12.75" customHeight="1" x14ac:dyDescent="0.25">
      <c r="D440" s="3"/>
      <c r="E440" s="3"/>
      <c r="F440" s="3"/>
    </row>
    <row r="441" spans="4:6" ht="12.75" customHeight="1" x14ac:dyDescent="0.25">
      <c r="D441" s="3"/>
      <c r="E441" s="3"/>
      <c r="F441" s="3"/>
    </row>
    <row r="442" spans="4:6" ht="12.75" customHeight="1" x14ac:dyDescent="0.25">
      <c r="D442" s="3"/>
      <c r="E442" s="3"/>
      <c r="F442" s="3"/>
    </row>
    <row r="443" spans="4:6" ht="12.75" customHeight="1" x14ac:dyDescent="0.25">
      <c r="D443" s="3"/>
      <c r="E443" s="3"/>
      <c r="F443" s="3"/>
    </row>
    <row r="444" spans="4:6" ht="12.75" customHeight="1" x14ac:dyDescent="0.25">
      <c r="D444" s="3"/>
      <c r="E444" s="3"/>
      <c r="F444" s="3"/>
    </row>
    <row r="445" spans="4:6" ht="12.75" customHeight="1" x14ac:dyDescent="0.25">
      <c r="D445" s="3"/>
      <c r="E445" s="3"/>
      <c r="F445" s="3"/>
    </row>
    <row r="446" spans="4:6" ht="12.75" customHeight="1" x14ac:dyDescent="0.25">
      <c r="D446" s="3"/>
      <c r="E446" s="3"/>
      <c r="F446" s="3"/>
    </row>
    <row r="447" spans="4:6" ht="12.75" customHeight="1" x14ac:dyDescent="0.25">
      <c r="D447" s="3"/>
      <c r="E447" s="3"/>
      <c r="F447" s="3"/>
    </row>
    <row r="448" spans="4:6" ht="12.75" customHeight="1" x14ac:dyDescent="0.25">
      <c r="D448" s="3"/>
      <c r="E448" s="3"/>
      <c r="F448" s="3"/>
    </row>
    <row r="449" spans="4:6" ht="12.75" customHeight="1" x14ac:dyDescent="0.25">
      <c r="D449" s="3"/>
      <c r="E449" s="3"/>
      <c r="F449" s="3"/>
    </row>
    <row r="450" spans="4:6" ht="12.75" customHeight="1" x14ac:dyDescent="0.25">
      <c r="D450" s="3"/>
      <c r="E450" s="3"/>
      <c r="F450" s="3"/>
    </row>
    <row r="451" spans="4:6" ht="12.75" customHeight="1" x14ac:dyDescent="0.25">
      <c r="D451" s="3"/>
      <c r="E451" s="3"/>
      <c r="F451" s="3"/>
    </row>
    <row r="452" spans="4:6" ht="12.75" customHeight="1" x14ac:dyDescent="0.25">
      <c r="D452" s="3"/>
      <c r="E452" s="3"/>
      <c r="F452" s="3"/>
    </row>
    <row r="453" spans="4:6" ht="12.75" customHeight="1" x14ac:dyDescent="0.25">
      <c r="D453" s="3"/>
      <c r="E453" s="3"/>
      <c r="F453" s="3"/>
    </row>
    <row r="454" spans="4:6" ht="12.75" customHeight="1" x14ac:dyDescent="0.25">
      <c r="D454" s="3"/>
      <c r="E454" s="3"/>
      <c r="F454" s="3"/>
    </row>
    <row r="455" spans="4:6" ht="12.75" customHeight="1" x14ac:dyDescent="0.25">
      <c r="D455" s="3"/>
      <c r="E455" s="3"/>
      <c r="F455" s="3"/>
    </row>
    <row r="456" spans="4:6" ht="12.75" customHeight="1" x14ac:dyDescent="0.25">
      <c r="D456" s="3"/>
      <c r="E456" s="3"/>
      <c r="F456" s="3"/>
    </row>
    <row r="457" spans="4:6" ht="12.75" customHeight="1" x14ac:dyDescent="0.25">
      <c r="D457" s="3"/>
      <c r="E457" s="3"/>
      <c r="F457" s="3"/>
    </row>
    <row r="458" spans="4:6" ht="12.75" customHeight="1" x14ac:dyDescent="0.25">
      <c r="D458" s="3"/>
      <c r="E458" s="3"/>
      <c r="F458" s="3"/>
    </row>
    <row r="459" spans="4:6" ht="12.75" customHeight="1" x14ac:dyDescent="0.25">
      <c r="D459" s="3"/>
      <c r="E459" s="3"/>
      <c r="F459" s="3"/>
    </row>
    <row r="460" spans="4:6" ht="12.75" customHeight="1" x14ac:dyDescent="0.25">
      <c r="D460" s="3"/>
      <c r="E460" s="3"/>
      <c r="F460" s="3"/>
    </row>
    <row r="461" spans="4:6" ht="12.75" customHeight="1" x14ac:dyDescent="0.25">
      <c r="D461" s="3"/>
      <c r="E461" s="3"/>
      <c r="F461" s="3"/>
    </row>
    <row r="462" spans="4:6" ht="12.75" customHeight="1" x14ac:dyDescent="0.25">
      <c r="D462" s="3"/>
      <c r="E462" s="3"/>
      <c r="F462" s="3"/>
    </row>
    <row r="463" spans="4:6" ht="12.75" customHeight="1" x14ac:dyDescent="0.25">
      <c r="D463" s="3"/>
      <c r="E463" s="3"/>
      <c r="F463" s="3"/>
    </row>
    <row r="464" spans="4:6" ht="12.75" customHeight="1" x14ac:dyDescent="0.25">
      <c r="D464" s="3"/>
      <c r="E464" s="3"/>
      <c r="F464" s="3"/>
    </row>
    <row r="465" spans="4:6" ht="12.75" customHeight="1" x14ac:dyDescent="0.25">
      <c r="D465" s="3"/>
      <c r="E465" s="3"/>
      <c r="F465" s="3"/>
    </row>
    <row r="466" spans="4:6" ht="12.75" customHeight="1" x14ac:dyDescent="0.25">
      <c r="D466" s="3"/>
      <c r="E466" s="3"/>
      <c r="F466" s="3"/>
    </row>
    <row r="467" spans="4:6" ht="12.75" customHeight="1" x14ac:dyDescent="0.25">
      <c r="D467" s="3"/>
      <c r="E467" s="3"/>
      <c r="F467" s="3"/>
    </row>
    <row r="468" spans="4:6" ht="12.75" customHeight="1" x14ac:dyDescent="0.25">
      <c r="D468" s="3"/>
      <c r="E468" s="3"/>
      <c r="F468" s="3"/>
    </row>
    <row r="469" spans="4:6" ht="12.75" customHeight="1" x14ac:dyDescent="0.25">
      <c r="D469" s="3"/>
      <c r="E469" s="3"/>
      <c r="F469" s="3"/>
    </row>
    <row r="470" spans="4:6" ht="12.75" customHeight="1" x14ac:dyDescent="0.25">
      <c r="D470" s="3"/>
      <c r="E470" s="3"/>
      <c r="F470" s="3"/>
    </row>
    <row r="471" spans="4:6" ht="12.75" customHeight="1" x14ac:dyDescent="0.25">
      <c r="D471" s="3"/>
      <c r="E471" s="3"/>
      <c r="F471" s="3"/>
    </row>
    <row r="472" spans="4:6" ht="12.75" customHeight="1" x14ac:dyDescent="0.25">
      <c r="D472" s="3"/>
      <c r="E472" s="3"/>
      <c r="F472" s="3"/>
    </row>
    <row r="473" spans="4:6" ht="12.75" customHeight="1" x14ac:dyDescent="0.25">
      <c r="D473" s="3"/>
      <c r="E473" s="3"/>
      <c r="F473" s="3"/>
    </row>
    <row r="474" spans="4:6" ht="12.75" customHeight="1" x14ac:dyDescent="0.25">
      <c r="D474" s="3"/>
      <c r="E474" s="3"/>
      <c r="F474" s="3"/>
    </row>
    <row r="475" spans="4:6" ht="12.75" customHeight="1" x14ac:dyDescent="0.25">
      <c r="D475" s="3"/>
      <c r="E475" s="3"/>
      <c r="F475" s="3"/>
    </row>
    <row r="476" spans="4:6" ht="12.75" customHeight="1" x14ac:dyDescent="0.25">
      <c r="D476" s="3"/>
      <c r="E476" s="3"/>
      <c r="F476" s="3"/>
    </row>
    <row r="477" spans="4:6" ht="12.75" customHeight="1" x14ac:dyDescent="0.25">
      <c r="D477" s="3"/>
      <c r="E477" s="3"/>
      <c r="F477" s="3"/>
    </row>
    <row r="478" spans="4:6" ht="12.75" customHeight="1" x14ac:dyDescent="0.25">
      <c r="D478" s="3"/>
      <c r="E478" s="3"/>
      <c r="F478" s="3"/>
    </row>
    <row r="479" spans="4:6" ht="12.75" customHeight="1" x14ac:dyDescent="0.25">
      <c r="D479" s="3"/>
      <c r="E479" s="3"/>
      <c r="F479" s="3"/>
    </row>
    <row r="480" spans="4:6" ht="12.75" customHeight="1" x14ac:dyDescent="0.25">
      <c r="D480" s="3"/>
      <c r="E480" s="3"/>
      <c r="F480" s="3"/>
    </row>
    <row r="481" spans="4:6" ht="12.75" customHeight="1" x14ac:dyDescent="0.25">
      <c r="D481" s="3"/>
      <c r="E481" s="3"/>
      <c r="F481" s="3"/>
    </row>
    <row r="482" spans="4:6" ht="12.75" customHeight="1" x14ac:dyDescent="0.25">
      <c r="D482" s="3"/>
      <c r="E482" s="3"/>
      <c r="F482" s="3"/>
    </row>
    <row r="483" spans="4:6" ht="12.75" customHeight="1" x14ac:dyDescent="0.25">
      <c r="D483" s="3"/>
      <c r="E483" s="3"/>
      <c r="F483" s="3"/>
    </row>
    <row r="484" spans="4:6" ht="12.75" customHeight="1" x14ac:dyDescent="0.25">
      <c r="D484" s="3"/>
      <c r="E484" s="3"/>
      <c r="F484" s="3"/>
    </row>
    <row r="485" spans="4:6" ht="12.75" customHeight="1" x14ac:dyDescent="0.25">
      <c r="D485" s="3"/>
      <c r="E485" s="3"/>
      <c r="F485" s="3"/>
    </row>
    <row r="486" spans="4:6" ht="12.75" customHeight="1" x14ac:dyDescent="0.25">
      <c r="D486" s="3"/>
      <c r="E486" s="3"/>
      <c r="F486" s="3"/>
    </row>
    <row r="487" spans="4:6" ht="12.75" customHeight="1" x14ac:dyDescent="0.25">
      <c r="D487" s="3"/>
      <c r="E487" s="3"/>
      <c r="F487" s="3"/>
    </row>
    <row r="488" spans="4:6" ht="12.75" customHeight="1" x14ac:dyDescent="0.25">
      <c r="D488" s="3"/>
      <c r="E488" s="3"/>
      <c r="F488" s="3"/>
    </row>
    <row r="489" spans="4:6" ht="12.75" customHeight="1" x14ac:dyDescent="0.25">
      <c r="D489" s="3"/>
      <c r="E489" s="3"/>
      <c r="F489" s="3"/>
    </row>
    <row r="490" spans="4:6" ht="12.75" customHeight="1" x14ac:dyDescent="0.25">
      <c r="D490" s="3"/>
      <c r="E490" s="3"/>
      <c r="F490" s="3"/>
    </row>
    <row r="491" spans="4:6" ht="12.75" customHeight="1" x14ac:dyDescent="0.25">
      <c r="D491" s="3"/>
      <c r="E491" s="3"/>
      <c r="F491" s="3"/>
    </row>
    <row r="492" spans="4:6" ht="12.75" customHeight="1" x14ac:dyDescent="0.25">
      <c r="D492" s="3"/>
      <c r="E492" s="3"/>
      <c r="F492" s="3"/>
    </row>
    <row r="493" spans="4:6" ht="12.75" customHeight="1" x14ac:dyDescent="0.25">
      <c r="D493" s="3"/>
      <c r="E493" s="3"/>
      <c r="F493" s="3"/>
    </row>
    <row r="494" spans="4:6" ht="12.75" customHeight="1" x14ac:dyDescent="0.25">
      <c r="D494" s="3"/>
      <c r="E494" s="3"/>
      <c r="F494" s="3"/>
    </row>
    <row r="495" spans="4:6" ht="12.75" customHeight="1" x14ac:dyDescent="0.25">
      <c r="D495" s="3"/>
      <c r="E495" s="3"/>
      <c r="F495" s="3"/>
    </row>
    <row r="496" spans="4:6" ht="12.75" customHeight="1" x14ac:dyDescent="0.25">
      <c r="D496" s="3"/>
      <c r="E496" s="3"/>
      <c r="F496" s="3"/>
    </row>
    <row r="497" spans="4:6" ht="12.75" customHeight="1" x14ac:dyDescent="0.25">
      <c r="D497" s="3"/>
      <c r="E497" s="3"/>
      <c r="F497" s="3"/>
    </row>
    <row r="498" spans="4:6" ht="12.75" customHeight="1" x14ac:dyDescent="0.25">
      <c r="D498" s="3"/>
      <c r="E498" s="3"/>
      <c r="F498" s="3"/>
    </row>
    <row r="499" spans="4:6" ht="12.75" customHeight="1" x14ac:dyDescent="0.25">
      <c r="D499" s="3"/>
      <c r="E499" s="3"/>
      <c r="F499" s="3"/>
    </row>
    <row r="500" spans="4:6" ht="12.75" customHeight="1" x14ac:dyDescent="0.25">
      <c r="D500" s="3"/>
      <c r="E500" s="3"/>
      <c r="F500" s="3"/>
    </row>
    <row r="501" spans="4:6" ht="12.75" customHeight="1" x14ac:dyDescent="0.25">
      <c r="D501" s="3"/>
      <c r="E501" s="3"/>
      <c r="F501" s="3"/>
    </row>
    <row r="502" spans="4:6" ht="12.75" customHeight="1" x14ac:dyDescent="0.25">
      <c r="D502" s="3"/>
      <c r="E502" s="3"/>
      <c r="F502" s="3"/>
    </row>
    <row r="503" spans="4:6" ht="12.75" customHeight="1" x14ac:dyDescent="0.25">
      <c r="D503" s="3"/>
      <c r="E503" s="3"/>
      <c r="F503" s="3"/>
    </row>
    <row r="504" spans="4:6" ht="12.75" customHeight="1" x14ac:dyDescent="0.25">
      <c r="D504" s="3"/>
      <c r="E504" s="3"/>
      <c r="F504" s="3"/>
    </row>
    <row r="505" spans="4:6" ht="12.75" customHeight="1" x14ac:dyDescent="0.25">
      <c r="D505" s="3"/>
      <c r="E505" s="3"/>
      <c r="F505" s="3"/>
    </row>
    <row r="506" spans="4:6" ht="12.75" customHeight="1" x14ac:dyDescent="0.25">
      <c r="D506" s="3"/>
      <c r="E506" s="3"/>
      <c r="F506" s="3"/>
    </row>
    <row r="507" spans="4:6" ht="12.75" customHeight="1" x14ac:dyDescent="0.25">
      <c r="D507" s="3"/>
      <c r="E507" s="3"/>
      <c r="F507" s="3"/>
    </row>
    <row r="508" spans="4:6" ht="12.75" customHeight="1" x14ac:dyDescent="0.25">
      <c r="D508" s="3"/>
      <c r="E508" s="3"/>
      <c r="F508" s="3"/>
    </row>
    <row r="509" spans="4:6" ht="12.75" customHeight="1" x14ac:dyDescent="0.25">
      <c r="D509" s="3"/>
      <c r="E509" s="3"/>
      <c r="F509" s="3"/>
    </row>
    <row r="510" spans="4:6" ht="12.75" customHeight="1" x14ac:dyDescent="0.25">
      <c r="D510" s="3"/>
      <c r="E510" s="3"/>
      <c r="F510" s="3"/>
    </row>
    <row r="511" spans="4:6" ht="12.75" customHeight="1" x14ac:dyDescent="0.25">
      <c r="D511" s="3"/>
      <c r="E511" s="3"/>
      <c r="F511" s="3"/>
    </row>
    <row r="512" spans="4:6" ht="12.75" customHeight="1" x14ac:dyDescent="0.25">
      <c r="D512" s="3"/>
      <c r="E512" s="3"/>
      <c r="F512" s="3"/>
    </row>
    <row r="513" spans="4:6" ht="12.75" customHeight="1" x14ac:dyDescent="0.25">
      <c r="D513" s="3"/>
      <c r="E513" s="3"/>
      <c r="F513" s="3"/>
    </row>
    <row r="514" spans="4:6" ht="12.75" customHeight="1" x14ac:dyDescent="0.25">
      <c r="D514" s="3"/>
      <c r="E514" s="3"/>
      <c r="F514" s="3"/>
    </row>
    <row r="515" spans="4:6" ht="12.75" customHeight="1" x14ac:dyDescent="0.25">
      <c r="D515" s="3"/>
      <c r="E515" s="3"/>
      <c r="F515" s="3"/>
    </row>
    <row r="516" spans="4:6" ht="12.75" customHeight="1" x14ac:dyDescent="0.25">
      <c r="D516" s="3"/>
      <c r="E516" s="3"/>
      <c r="F516" s="3"/>
    </row>
    <row r="517" spans="4:6" ht="12.75" customHeight="1" x14ac:dyDescent="0.25">
      <c r="D517" s="3"/>
      <c r="E517" s="3"/>
      <c r="F517" s="3"/>
    </row>
    <row r="518" spans="4:6" ht="12.75" customHeight="1" x14ac:dyDescent="0.25">
      <c r="D518" s="3"/>
      <c r="E518" s="3"/>
      <c r="F518" s="3"/>
    </row>
    <row r="519" spans="4:6" ht="12.75" customHeight="1" x14ac:dyDescent="0.25">
      <c r="D519" s="3"/>
      <c r="E519" s="3"/>
      <c r="F519" s="3"/>
    </row>
    <row r="520" spans="4:6" ht="12.75" customHeight="1" x14ac:dyDescent="0.25">
      <c r="D520" s="3"/>
      <c r="E520" s="3"/>
      <c r="F520" s="3"/>
    </row>
    <row r="521" spans="4:6" ht="12.75" customHeight="1" x14ac:dyDescent="0.25">
      <c r="D521" s="3"/>
      <c r="E521" s="3"/>
      <c r="F521" s="3"/>
    </row>
    <row r="522" spans="4:6" ht="12.75" customHeight="1" x14ac:dyDescent="0.25">
      <c r="D522" s="3"/>
      <c r="E522" s="3"/>
      <c r="F522" s="3"/>
    </row>
    <row r="523" spans="4:6" ht="12.75" customHeight="1" x14ac:dyDescent="0.25">
      <c r="D523" s="3"/>
      <c r="E523" s="3"/>
      <c r="F523" s="3"/>
    </row>
    <row r="524" spans="4:6" ht="12.75" customHeight="1" x14ac:dyDescent="0.25">
      <c r="D524" s="3"/>
      <c r="E524" s="3"/>
      <c r="F524" s="3"/>
    </row>
    <row r="525" spans="4:6" ht="12.75" customHeight="1" x14ac:dyDescent="0.25">
      <c r="D525" s="3"/>
      <c r="E525" s="3"/>
      <c r="F525" s="3"/>
    </row>
    <row r="526" spans="4:6" ht="12.75" customHeight="1" x14ac:dyDescent="0.25">
      <c r="D526" s="3"/>
      <c r="E526" s="3"/>
      <c r="F526" s="3"/>
    </row>
    <row r="527" spans="4:6" ht="12.75" customHeight="1" x14ac:dyDescent="0.25">
      <c r="D527" s="3"/>
      <c r="E527" s="3"/>
      <c r="F527" s="3"/>
    </row>
    <row r="528" spans="4:6" ht="12.75" customHeight="1" x14ac:dyDescent="0.25">
      <c r="D528" s="3"/>
      <c r="E528" s="3"/>
      <c r="F528" s="3"/>
    </row>
    <row r="529" spans="4:6" ht="12.75" customHeight="1" x14ac:dyDescent="0.25">
      <c r="D529" s="3"/>
      <c r="E529" s="3"/>
      <c r="F529" s="3"/>
    </row>
    <row r="530" spans="4:6" ht="12.75" customHeight="1" x14ac:dyDescent="0.25">
      <c r="D530" s="3"/>
      <c r="E530" s="3"/>
      <c r="F530" s="3"/>
    </row>
    <row r="531" spans="4:6" ht="12.75" customHeight="1" x14ac:dyDescent="0.25">
      <c r="D531" s="3"/>
      <c r="E531" s="3"/>
      <c r="F531" s="3"/>
    </row>
    <row r="532" spans="4:6" ht="12.75" customHeight="1" x14ac:dyDescent="0.25">
      <c r="D532" s="3"/>
      <c r="E532" s="3"/>
      <c r="F532" s="3"/>
    </row>
    <row r="533" spans="4:6" ht="12.75" customHeight="1" x14ac:dyDescent="0.25">
      <c r="D533" s="3"/>
      <c r="E533" s="3"/>
      <c r="F533" s="3"/>
    </row>
    <row r="534" spans="4:6" ht="12.75" customHeight="1" x14ac:dyDescent="0.25">
      <c r="D534" s="3"/>
      <c r="E534" s="3"/>
      <c r="F534" s="3"/>
    </row>
    <row r="535" spans="4:6" ht="12.75" customHeight="1" x14ac:dyDescent="0.25">
      <c r="D535" s="3"/>
      <c r="E535" s="3"/>
      <c r="F535" s="3"/>
    </row>
    <row r="536" spans="4:6" ht="12.75" customHeight="1" x14ac:dyDescent="0.25">
      <c r="D536" s="3"/>
      <c r="E536" s="3"/>
      <c r="F536" s="3"/>
    </row>
    <row r="537" spans="4:6" ht="12.75" customHeight="1" x14ac:dyDescent="0.25">
      <c r="D537" s="3"/>
      <c r="E537" s="3"/>
      <c r="F537" s="3"/>
    </row>
    <row r="538" spans="4:6" ht="12.75" customHeight="1" x14ac:dyDescent="0.25">
      <c r="D538" s="3"/>
      <c r="E538" s="3"/>
      <c r="F538" s="3"/>
    </row>
    <row r="539" spans="4:6" ht="12.75" customHeight="1" x14ac:dyDescent="0.25">
      <c r="D539" s="3"/>
      <c r="E539" s="3"/>
      <c r="F539" s="3"/>
    </row>
    <row r="540" spans="4:6" ht="12.75" customHeight="1" x14ac:dyDescent="0.25">
      <c r="D540" s="3"/>
      <c r="E540" s="3"/>
      <c r="F540" s="3"/>
    </row>
    <row r="541" spans="4:6" ht="12.75" customHeight="1" x14ac:dyDescent="0.25">
      <c r="D541" s="3"/>
      <c r="E541" s="3"/>
      <c r="F541" s="3"/>
    </row>
    <row r="542" spans="4:6" ht="12.75" customHeight="1" x14ac:dyDescent="0.25">
      <c r="D542" s="3"/>
      <c r="E542" s="3"/>
      <c r="F542" s="3"/>
    </row>
    <row r="543" spans="4:6" ht="12.75" customHeight="1" x14ac:dyDescent="0.25">
      <c r="D543" s="3"/>
      <c r="E543" s="3"/>
      <c r="F543" s="3"/>
    </row>
    <row r="544" spans="4:6" ht="12.75" customHeight="1" x14ac:dyDescent="0.25">
      <c r="D544" s="3"/>
      <c r="E544" s="3"/>
      <c r="F544" s="3"/>
    </row>
    <row r="545" spans="4:6" ht="12.75" customHeight="1" x14ac:dyDescent="0.25">
      <c r="D545" s="3"/>
      <c r="E545" s="3"/>
      <c r="F545" s="3"/>
    </row>
    <row r="546" spans="4:6" ht="12.75" customHeight="1" x14ac:dyDescent="0.25">
      <c r="D546" s="3"/>
      <c r="E546" s="3"/>
      <c r="F546" s="3"/>
    </row>
    <row r="547" spans="4:6" ht="12.75" customHeight="1" x14ac:dyDescent="0.25">
      <c r="D547" s="3"/>
      <c r="E547" s="3"/>
      <c r="F547" s="3"/>
    </row>
    <row r="548" spans="4:6" ht="12.75" customHeight="1" x14ac:dyDescent="0.25">
      <c r="D548" s="3"/>
      <c r="E548" s="3"/>
      <c r="F548" s="3"/>
    </row>
    <row r="549" spans="4:6" ht="12.75" customHeight="1" x14ac:dyDescent="0.25">
      <c r="D549" s="3"/>
      <c r="E549" s="3"/>
      <c r="F549" s="3"/>
    </row>
    <row r="550" spans="4:6" ht="12.75" customHeight="1" x14ac:dyDescent="0.25">
      <c r="D550" s="3"/>
      <c r="E550" s="3"/>
      <c r="F550" s="3"/>
    </row>
    <row r="551" spans="4:6" ht="12.75" customHeight="1" x14ac:dyDescent="0.25">
      <c r="D551" s="3"/>
      <c r="E551" s="3"/>
      <c r="F551" s="3"/>
    </row>
    <row r="552" spans="4:6" ht="12.75" customHeight="1" x14ac:dyDescent="0.25">
      <c r="D552" s="3"/>
      <c r="E552" s="3"/>
      <c r="F552" s="3"/>
    </row>
    <row r="553" spans="4:6" ht="12.75" customHeight="1" x14ac:dyDescent="0.25">
      <c r="D553" s="3"/>
      <c r="E553" s="3"/>
      <c r="F553" s="3"/>
    </row>
    <row r="554" spans="4:6" ht="12.75" customHeight="1" x14ac:dyDescent="0.25">
      <c r="D554" s="3"/>
      <c r="E554" s="3"/>
      <c r="F554" s="3"/>
    </row>
    <row r="555" spans="4:6" ht="12.75" customHeight="1" x14ac:dyDescent="0.25">
      <c r="D555" s="3"/>
      <c r="E555" s="3"/>
      <c r="F555" s="3"/>
    </row>
    <row r="556" spans="4:6" ht="12.75" customHeight="1" x14ac:dyDescent="0.25">
      <c r="D556" s="3"/>
      <c r="E556" s="3"/>
      <c r="F556" s="3"/>
    </row>
    <row r="557" spans="4:6" ht="12.75" customHeight="1" x14ac:dyDescent="0.25">
      <c r="D557" s="3"/>
      <c r="E557" s="3"/>
      <c r="F557" s="3"/>
    </row>
    <row r="558" spans="4:6" ht="12.75" customHeight="1" x14ac:dyDescent="0.25">
      <c r="D558" s="3"/>
      <c r="E558" s="3"/>
      <c r="F558" s="3"/>
    </row>
    <row r="559" spans="4:6" ht="12.75" customHeight="1" x14ac:dyDescent="0.25">
      <c r="D559" s="3"/>
      <c r="E559" s="3"/>
      <c r="F559" s="3"/>
    </row>
    <row r="560" spans="4:6" ht="12.75" customHeight="1" x14ac:dyDescent="0.25">
      <c r="D560" s="3"/>
      <c r="E560" s="3"/>
      <c r="F560" s="3"/>
    </row>
    <row r="561" spans="4:6" ht="12.75" customHeight="1" x14ac:dyDescent="0.25">
      <c r="D561" s="3"/>
      <c r="E561" s="3"/>
      <c r="F561" s="3"/>
    </row>
    <row r="562" spans="4:6" ht="12.75" customHeight="1" x14ac:dyDescent="0.25">
      <c r="D562" s="3"/>
      <c r="E562" s="3"/>
      <c r="F562" s="3"/>
    </row>
    <row r="563" spans="4:6" ht="12.75" customHeight="1" x14ac:dyDescent="0.25">
      <c r="D563" s="3"/>
      <c r="E563" s="3"/>
      <c r="F563" s="3"/>
    </row>
    <row r="564" spans="4:6" ht="12.75" customHeight="1" x14ac:dyDescent="0.25">
      <c r="D564" s="3"/>
      <c r="E564" s="3"/>
      <c r="F564" s="3"/>
    </row>
    <row r="565" spans="4:6" ht="12.75" customHeight="1" x14ac:dyDescent="0.25">
      <c r="D565" s="3"/>
      <c r="E565" s="3"/>
      <c r="F565" s="3"/>
    </row>
    <row r="566" spans="4:6" ht="12.75" customHeight="1" x14ac:dyDescent="0.25">
      <c r="D566" s="3"/>
      <c r="E566" s="3"/>
      <c r="F566" s="3"/>
    </row>
    <row r="567" spans="4:6" ht="12.75" customHeight="1" x14ac:dyDescent="0.25">
      <c r="D567" s="3"/>
      <c r="E567" s="3"/>
      <c r="F567" s="3"/>
    </row>
    <row r="568" spans="4:6" ht="12.75" customHeight="1" x14ac:dyDescent="0.25">
      <c r="D568" s="3"/>
      <c r="E568" s="3"/>
      <c r="F568" s="3"/>
    </row>
    <row r="569" spans="4:6" ht="12.75" customHeight="1" x14ac:dyDescent="0.25">
      <c r="D569" s="3"/>
      <c r="E569" s="3"/>
      <c r="F569" s="3"/>
    </row>
    <row r="570" spans="4:6" ht="12.75" customHeight="1" x14ac:dyDescent="0.25">
      <c r="D570" s="3"/>
      <c r="E570" s="3"/>
      <c r="F570" s="3"/>
    </row>
    <row r="571" spans="4:6" ht="12.75" customHeight="1" x14ac:dyDescent="0.25">
      <c r="D571" s="3"/>
      <c r="E571" s="3"/>
      <c r="F571" s="3"/>
    </row>
    <row r="572" spans="4:6" ht="12.75" customHeight="1" x14ac:dyDescent="0.25">
      <c r="D572" s="3"/>
      <c r="E572" s="3"/>
      <c r="F572" s="3"/>
    </row>
    <row r="573" spans="4:6" ht="12.75" customHeight="1" x14ac:dyDescent="0.25">
      <c r="D573" s="3"/>
      <c r="E573" s="3"/>
      <c r="F573" s="3"/>
    </row>
    <row r="574" spans="4:6" ht="12.75" customHeight="1" x14ac:dyDescent="0.25">
      <c r="D574" s="3"/>
      <c r="E574" s="3"/>
      <c r="F574" s="3"/>
    </row>
    <row r="575" spans="4:6" ht="12.75" customHeight="1" x14ac:dyDescent="0.25">
      <c r="D575" s="3"/>
      <c r="E575" s="3"/>
      <c r="F575" s="3"/>
    </row>
    <row r="576" spans="4:6" ht="12.75" customHeight="1" x14ac:dyDescent="0.25">
      <c r="D576" s="3"/>
      <c r="E576" s="3"/>
      <c r="F576" s="3"/>
    </row>
    <row r="577" spans="4:6" ht="12.75" customHeight="1" x14ac:dyDescent="0.25">
      <c r="D577" s="3"/>
      <c r="E577" s="3"/>
      <c r="F577" s="3"/>
    </row>
    <row r="578" spans="4:6" ht="12.75" customHeight="1" x14ac:dyDescent="0.25">
      <c r="D578" s="3"/>
      <c r="E578" s="3"/>
      <c r="F578" s="3"/>
    </row>
    <row r="579" spans="4:6" ht="12.75" customHeight="1" x14ac:dyDescent="0.25">
      <c r="D579" s="3"/>
      <c r="E579" s="3"/>
      <c r="F579" s="3"/>
    </row>
    <row r="580" spans="4:6" ht="12.75" customHeight="1" x14ac:dyDescent="0.25">
      <c r="D580" s="3"/>
      <c r="E580" s="3"/>
      <c r="F580" s="3"/>
    </row>
    <row r="581" spans="4:6" ht="12.75" customHeight="1" x14ac:dyDescent="0.25">
      <c r="D581" s="3"/>
      <c r="E581" s="3"/>
      <c r="F581" s="3"/>
    </row>
    <row r="582" spans="4:6" ht="12.75" customHeight="1" x14ac:dyDescent="0.25">
      <c r="D582" s="3"/>
      <c r="E582" s="3"/>
      <c r="F582" s="3"/>
    </row>
    <row r="583" spans="4:6" ht="12.75" customHeight="1" x14ac:dyDescent="0.25">
      <c r="D583" s="3"/>
      <c r="E583" s="3"/>
      <c r="F583" s="3"/>
    </row>
    <row r="584" spans="4:6" ht="12.75" customHeight="1" x14ac:dyDescent="0.25">
      <c r="D584" s="3"/>
      <c r="E584" s="3"/>
      <c r="F584" s="3"/>
    </row>
    <row r="585" spans="4:6" ht="12.75" customHeight="1" x14ac:dyDescent="0.25">
      <c r="D585" s="3"/>
      <c r="E585" s="3"/>
      <c r="F585" s="3"/>
    </row>
    <row r="586" spans="4:6" ht="12.75" customHeight="1" x14ac:dyDescent="0.25">
      <c r="D586" s="3"/>
      <c r="E586" s="3"/>
      <c r="F586" s="3"/>
    </row>
    <row r="587" spans="4:6" ht="12.75" customHeight="1" x14ac:dyDescent="0.25">
      <c r="D587" s="3"/>
      <c r="E587" s="3"/>
      <c r="F587" s="3"/>
    </row>
    <row r="588" spans="4:6" ht="12.75" customHeight="1" x14ac:dyDescent="0.25">
      <c r="D588" s="3"/>
      <c r="E588" s="3"/>
      <c r="F588" s="3"/>
    </row>
    <row r="589" spans="4:6" ht="12.75" customHeight="1" x14ac:dyDescent="0.25">
      <c r="D589" s="3"/>
      <c r="E589" s="3"/>
      <c r="F589" s="3"/>
    </row>
    <row r="590" spans="4:6" ht="12.75" customHeight="1" x14ac:dyDescent="0.25">
      <c r="D590" s="3"/>
      <c r="E590" s="3"/>
      <c r="F590" s="3"/>
    </row>
    <row r="591" spans="4:6" ht="12.75" customHeight="1" x14ac:dyDescent="0.25">
      <c r="D591" s="3"/>
      <c r="E591" s="3"/>
      <c r="F591" s="3"/>
    </row>
    <row r="592" spans="4:6" ht="12.75" customHeight="1" x14ac:dyDescent="0.25">
      <c r="D592" s="3"/>
      <c r="E592" s="3"/>
      <c r="F592" s="3"/>
    </row>
    <row r="593" spans="4:6" ht="12.75" customHeight="1" x14ac:dyDescent="0.25">
      <c r="D593" s="3"/>
      <c r="E593" s="3"/>
      <c r="F593" s="3"/>
    </row>
    <row r="594" spans="4:6" ht="12.75" customHeight="1" x14ac:dyDescent="0.25">
      <c r="D594" s="3"/>
      <c r="E594" s="3"/>
      <c r="F594" s="3"/>
    </row>
    <row r="595" spans="4:6" ht="12.75" customHeight="1" x14ac:dyDescent="0.25">
      <c r="D595" s="3"/>
      <c r="E595" s="3"/>
      <c r="F595" s="3"/>
    </row>
    <row r="596" spans="4:6" ht="12.75" customHeight="1" x14ac:dyDescent="0.25">
      <c r="D596" s="3"/>
      <c r="E596" s="3"/>
      <c r="F596" s="3"/>
    </row>
    <row r="597" spans="4:6" ht="12.75" customHeight="1" x14ac:dyDescent="0.25">
      <c r="D597" s="3"/>
      <c r="E597" s="3"/>
      <c r="F597" s="3"/>
    </row>
    <row r="598" spans="4:6" ht="12.75" customHeight="1" x14ac:dyDescent="0.25">
      <c r="D598" s="3"/>
      <c r="E598" s="3"/>
      <c r="F598" s="3"/>
    </row>
    <row r="599" spans="4:6" ht="12.75" customHeight="1" x14ac:dyDescent="0.25">
      <c r="D599" s="3"/>
      <c r="E599" s="3"/>
      <c r="F599" s="3"/>
    </row>
    <row r="600" spans="4:6" ht="12.75" customHeight="1" x14ac:dyDescent="0.25">
      <c r="D600" s="3"/>
      <c r="E600" s="3"/>
      <c r="F600" s="3"/>
    </row>
    <row r="601" spans="4:6" ht="12.75" customHeight="1" x14ac:dyDescent="0.25">
      <c r="D601" s="3"/>
      <c r="E601" s="3"/>
      <c r="F601" s="3"/>
    </row>
    <row r="602" spans="4:6" ht="12.75" customHeight="1" x14ac:dyDescent="0.25">
      <c r="D602" s="3"/>
      <c r="E602" s="3"/>
      <c r="F602" s="3"/>
    </row>
    <row r="603" spans="4:6" ht="12.75" customHeight="1" x14ac:dyDescent="0.25">
      <c r="D603" s="3"/>
      <c r="E603" s="3"/>
      <c r="F603" s="3"/>
    </row>
    <row r="604" spans="4:6" ht="12.75" customHeight="1" x14ac:dyDescent="0.25">
      <c r="D604" s="3"/>
      <c r="E604" s="3"/>
      <c r="F604" s="3"/>
    </row>
    <row r="605" spans="4:6" ht="12.75" customHeight="1" x14ac:dyDescent="0.25">
      <c r="D605" s="3"/>
      <c r="E605" s="3"/>
      <c r="F605" s="3"/>
    </row>
    <row r="606" spans="4:6" ht="12.75" customHeight="1" x14ac:dyDescent="0.25">
      <c r="D606" s="3"/>
      <c r="E606" s="3"/>
      <c r="F606" s="3"/>
    </row>
    <row r="607" spans="4:6" ht="12.75" customHeight="1" x14ac:dyDescent="0.25">
      <c r="D607" s="3"/>
      <c r="E607" s="3"/>
      <c r="F607" s="3"/>
    </row>
    <row r="608" spans="4:6" ht="12.75" customHeight="1" x14ac:dyDescent="0.25">
      <c r="D608" s="3"/>
      <c r="E608" s="3"/>
      <c r="F608" s="3"/>
    </row>
    <row r="609" spans="4:6" ht="12.75" customHeight="1" x14ac:dyDescent="0.25">
      <c r="D609" s="3"/>
      <c r="E609" s="3"/>
      <c r="F609" s="3"/>
    </row>
    <row r="610" spans="4:6" ht="12.75" customHeight="1" x14ac:dyDescent="0.25">
      <c r="D610" s="3"/>
      <c r="E610" s="3"/>
      <c r="F610" s="3"/>
    </row>
    <row r="611" spans="4:6" ht="12.75" customHeight="1" x14ac:dyDescent="0.25">
      <c r="D611" s="3"/>
      <c r="E611" s="3"/>
      <c r="F611" s="3"/>
    </row>
    <row r="612" spans="4:6" ht="12.75" customHeight="1" x14ac:dyDescent="0.25">
      <c r="D612" s="3"/>
      <c r="E612" s="3"/>
      <c r="F612" s="3"/>
    </row>
    <row r="613" spans="4:6" ht="12.75" customHeight="1" x14ac:dyDescent="0.25">
      <c r="D613" s="3"/>
      <c r="E613" s="3"/>
      <c r="F613" s="3"/>
    </row>
    <row r="614" spans="4:6" ht="12.75" customHeight="1" x14ac:dyDescent="0.25">
      <c r="D614" s="3"/>
      <c r="E614" s="3"/>
      <c r="F614" s="3"/>
    </row>
    <row r="615" spans="4:6" ht="12.75" customHeight="1" x14ac:dyDescent="0.25">
      <c r="D615" s="3"/>
      <c r="E615" s="3"/>
      <c r="F615" s="3"/>
    </row>
    <row r="616" spans="4:6" ht="12.75" customHeight="1" x14ac:dyDescent="0.25">
      <c r="D616" s="3"/>
      <c r="E616" s="3"/>
      <c r="F616" s="3"/>
    </row>
    <row r="617" spans="4:6" ht="12.75" customHeight="1" x14ac:dyDescent="0.25">
      <c r="D617" s="3"/>
      <c r="E617" s="3"/>
      <c r="F617" s="3"/>
    </row>
    <row r="618" spans="4:6" ht="12.75" customHeight="1" x14ac:dyDescent="0.25">
      <c r="D618" s="3"/>
      <c r="E618" s="3"/>
      <c r="F618" s="3"/>
    </row>
    <row r="619" spans="4:6" ht="12.75" customHeight="1" x14ac:dyDescent="0.25">
      <c r="D619" s="3"/>
      <c r="E619" s="3"/>
      <c r="F619" s="3"/>
    </row>
    <row r="620" spans="4:6" ht="12.75" customHeight="1" x14ac:dyDescent="0.25">
      <c r="D620" s="3"/>
      <c r="E620" s="3"/>
      <c r="F620" s="3"/>
    </row>
    <row r="621" spans="4:6" ht="12.75" customHeight="1" x14ac:dyDescent="0.25">
      <c r="D621" s="3"/>
      <c r="E621" s="3"/>
      <c r="F621" s="3"/>
    </row>
    <row r="622" spans="4:6" ht="12.75" customHeight="1" x14ac:dyDescent="0.25">
      <c r="D622" s="3"/>
      <c r="E622" s="3"/>
      <c r="F622" s="3"/>
    </row>
    <row r="623" spans="4:6" ht="12.75" customHeight="1" x14ac:dyDescent="0.25">
      <c r="D623" s="3"/>
      <c r="E623" s="3"/>
      <c r="F623" s="3"/>
    </row>
    <row r="624" spans="4:6" ht="12.75" customHeight="1" x14ac:dyDescent="0.25">
      <c r="D624" s="3"/>
      <c r="E624" s="3"/>
      <c r="F624" s="3"/>
    </row>
    <row r="625" spans="4:6" ht="12.75" customHeight="1" x14ac:dyDescent="0.25">
      <c r="D625" s="3"/>
      <c r="E625" s="3"/>
      <c r="F625" s="3"/>
    </row>
    <row r="626" spans="4:6" ht="12.75" customHeight="1" x14ac:dyDescent="0.25">
      <c r="D626" s="3"/>
      <c r="E626" s="3"/>
      <c r="F626" s="3"/>
    </row>
    <row r="627" spans="4:6" ht="12.75" customHeight="1" x14ac:dyDescent="0.25">
      <c r="D627" s="3"/>
      <c r="E627" s="3"/>
      <c r="F627" s="3"/>
    </row>
    <row r="628" spans="4:6" ht="12.75" customHeight="1" x14ac:dyDescent="0.25">
      <c r="D628" s="3"/>
      <c r="E628" s="3"/>
      <c r="F628" s="3"/>
    </row>
    <row r="629" spans="4:6" ht="12.75" customHeight="1" x14ac:dyDescent="0.25">
      <c r="D629" s="3"/>
      <c r="E629" s="3"/>
      <c r="F629" s="3"/>
    </row>
    <row r="630" spans="4:6" ht="12.75" customHeight="1" x14ac:dyDescent="0.25">
      <c r="D630" s="3"/>
      <c r="E630" s="3"/>
      <c r="F630" s="3"/>
    </row>
    <row r="631" spans="4:6" ht="12.75" customHeight="1" x14ac:dyDescent="0.25">
      <c r="D631" s="3"/>
      <c r="E631" s="3"/>
      <c r="F631" s="3"/>
    </row>
    <row r="632" spans="4:6" ht="12.75" customHeight="1" x14ac:dyDescent="0.25">
      <c r="D632" s="3"/>
      <c r="E632" s="3"/>
      <c r="F632" s="3"/>
    </row>
    <row r="633" spans="4:6" ht="12.75" customHeight="1" x14ac:dyDescent="0.25">
      <c r="D633" s="3"/>
      <c r="E633" s="3"/>
      <c r="F633" s="3"/>
    </row>
    <row r="634" spans="4:6" ht="12.75" customHeight="1" x14ac:dyDescent="0.25">
      <c r="D634" s="3"/>
      <c r="E634" s="3"/>
      <c r="F634" s="3"/>
    </row>
    <row r="635" spans="4:6" ht="12.75" customHeight="1" x14ac:dyDescent="0.25">
      <c r="D635" s="3"/>
      <c r="E635" s="3"/>
      <c r="F635" s="3"/>
    </row>
    <row r="636" spans="4:6" ht="12.75" customHeight="1" x14ac:dyDescent="0.25">
      <c r="D636" s="3"/>
      <c r="E636" s="3"/>
      <c r="F636" s="3"/>
    </row>
    <row r="637" spans="4:6" ht="12.75" customHeight="1" x14ac:dyDescent="0.25">
      <c r="D637" s="3"/>
      <c r="E637" s="3"/>
      <c r="F637" s="3"/>
    </row>
    <row r="638" spans="4:6" ht="12.75" customHeight="1" x14ac:dyDescent="0.25">
      <c r="D638" s="3"/>
      <c r="E638" s="3"/>
      <c r="F638" s="3"/>
    </row>
    <row r="639" spans="4:6" ht="12.75" customHeight="1" x14ac:dyDescent="0.25">
      <c r="D639" s="3"/>
      <c r="E639" s="3"/>
      <c r="F639" s="3"/>
    </row>
    <row r="640" spans="4:6" ht="12.75" customHeight="1" x14ac:dyDescent="0.25">
      <c r="D640" s="3"/>
      <c r="E640" s="3"/>
      <c r="F640" s="3"/>
    </row>
    <row r="641" spans="4:6" ht="12.75" customHeight="1" x14ac:dyDescent="0.25">
      <c r="D641" s="3"/>
      <c r="E641" s="3"/>
      <c r="F641" s="3"/>
    </row>
    <row r="642" spans="4:6" ht="12.75" customHeight="1" x14ac:dyDescent="0.25">
      <c r="D642" s="3"/>
      <c r="E642" s="3"/>
      <c r="F642" s="3"/>
    </row>
    <row r="643" spans="4:6" ht="12.75" customHeight="1" x14ac:dyDescent="0.25">
      <c r="D643" s="3"/>
      <c r="E643" s="3"/>
      <c r="F643" s="3"/>
    </row>
    <row r="644" spans="4:6" ht="12.75" customHeight="1" x14ac:dyDescent="0.25">
      <c r="D644" s="3"/>
      <c r="E644" s="3"/>
      <c r="F644" s="3"/>
    </row>
    <row r="645" spans="4:6" ht="12.75" customHeight="1" x14ac:dyDescent="0.25">
      <c r="D645" s="3"/>
      <c r="E645" s="3"/>
      <c r="F645" s="3"/>
    </row>
    <row r="646" spans="4:6" ht="12.75" customHeight="1" x14ac:dyDescent="0.25">
      <c r="D646" s="3"/>
      <c r="E646" s="3"/>
      <c r="F646" s="3"/>
    </row>
    <row r="647" spans="4:6" ht="12.75" customHeight="1" x14ac:dyDescent="0.25">
      <c r="D647" s="3"/>
      <c r="E647" s="3"/>
      <c r="F647" s="3"/>
    </row>
    <row r="648" spans="4:6" ht="12.75" customHeight="1" x14ac:dyDescent="0.25">
      <c r="D648" s="3"/>
      <c r="E648" s="3"/>
      <c r="F648" s="3"/>
    </row>
    <row r="649" spans="4:6" ht="12.75" customHeight="1" x14ac:dyDescent="0.25">
      <c r="D649" s="3"/>
      <c r="E649" s="3"/>
      <c r="F649" s="3"/>
    </row>
    <row r="650" spans="4:6" ht="12.75" customHeight="1" x14ac:dyDescent="0.25">
      <c r="D650" s="3"/>
      <c r="E650" s="3"/>
      <c r="F650" s="3"/>
    </row>
    <row r="651" spans="4:6" ht="12.75" customHeight="1" x14ac:dyDescent="0.25">
      <c r="D651" s="3"/>
      <c r="E651" s="3"/>
      <c r="F651" s="3"/>
    </row>
    <row r="652" spans="4:6" ht="12.75" customHeight="1" x14ac:dyDescent="0.25">
      <c r="D652" s="3"/>
      <c r="E652" s="3"/>
      <c r="F652" s="3"/>
    </row>
    <row r="653" spans="4:6" ht="12.75" customHeight="1" x14ac:dyDescent="0.25">
      <c r="D653" s="3"/>
      <c r="E653" s="3"/>
      <c r="F653" s="3"/>
    </row>
    <row r="654" spans="4:6" ht="12.75" customHeight="1" x14ac:dyDescent="0.25">
      <c r="D654" s="3"/>
      <c r="E654" s="3"/>
      <c r="F654" s="3"/>
    </row>
    <row r="655" spans="4:6" ht="12.75" customHeight="1" x14ac:dyDescent="0.25">
      <c r="D655" s="3"/>
      <c r="E655" s="3"/>
      <c r="F655" s="3"/>
    </row>
    <row r="656" spans="4:6" ht="12.75" customHeight="1" x14ac:dyDescent="0.25">
      <c r="D656" s="3"/>
      <c r="E656" s="3"/>
      <c r="F656" s="3"/>
    </row>
    <row r="657" spans="4:6" ht="12.75" customHeight="1" x14ac:dyDescent="0.25">
      <c r="D657" s="3"/>
      <c r="E657" s="3"/>
      <c r="F657" s="3"/>
    </row>
    <row r="658" spans="4:6" ht="12.75" customHeight="1" x14ac:dyDescent="0.25">
      <c r="D658" s="3"/>
      <c r="E658" s="3"/>
      <c r="F658" s="3"/>
    </row>
    <row r="659" spans="4:6" ht="12.75" customHeight="1" x14ac:dyDescent="0.25">
      <c r="D659" s="3"/>
      <c r="E659" s="3"/>
      <c r="F659" s="3"/>
    </row>
    <row r="660" spans="4:6" ht="12.75" customHeight="1" x14ac:dyDescent="0.25">
      <c r="D660" s="3"/>
      <c r="E660" s="3"/>
      <c r="F660" s="3"/>
    </row>
    <row r="661" spans="4:6" ht="12.75" customHeight="1" x14ac:dyDescent="0.25">
      <c r="D661" s="3"/>
      <c r="E661" s="3"/>
      <c r="F661" s="3"/>
    </row>
    <row r="662" spans="4:6" ht="12.75" customHeight="1" x14ac:dyDescent="0.25">
      <c r="D662" s="3"/>
      <c r="E662" s="3"/>
      <c r="F662" s="3"/>
    </row>
    <row r="663" spans="4:6" ht="12.75" customHeight="1" x14ac:dyDescent="0.25">
      <c r="D663" s="3"/>
      <c r="E663" s="3"/>
      <c r="F663" s="3"/>
    </row>
    <row r="664" spans="4:6" ht="12.75" customHeight="1" x14ac:dyDescent="0.25">
      <c r="D664" s="3"/>
      <c r="E664" s="3"/>
      <c r="F664" s="3"/>
    </row>
    <row r="665" spans="4:6" ht="12.75" customHeight="1" x14ac:dyDescent="0.25">
      <c r="D665" s="3"/>
      <c r="E665" s="3"/>
      <c r="F665" s="3"/>
    </row>
    <row r="666" spans="4:6" ht="12.75" customHeight="1" x14ac:dyDescent="0.25">
      <c r="D666" s="3"/>
      <c r="E666" s="3"/>
      <c r="F666" s="3"/>
    </row>
    <row r="667" spans="4:6" ht="12.75" customHeight="1" x14ac:dyDescent="0.25">
      <c r="D667" s="3"/>
      <c r="E667" s="3"/>
      <c r="F667" s="3"/>
    </row>
    <row r="668" spans="4:6" ht="12.75" customHeight="1" x14ac:dyDescent="0.25">
      <c r="D668" s="3"/>
      <c r="E668" s="3"/>
      <c r="F668" s="3"/>
    </row>
    <row r="669" spans="4:6" ht="12.75" customHeight="1" x14ac:dyDescent="0.25">
      <c r="D669" s="3"/>
      <c r="E669" s="3"/>
      <c r="F669" s="3"/>
    </row>
    <row r="670" spans="4:6" ht="12.75" customHeight="1" x14ac:dyDescent="0.25">
      <c r="D670" s="3"/>
      <c r="E670" s="3"/>
      <c r="F670" s="3"/>
    </row>
    <row r="671" spans="4:6" ht="12.75" customHeight="1" x14ac:dyDescent="0.25">
      <c r="D671" s="3"/>
      <c r="E671" s="3"/>
      <c r="F671" s="3"/>
    </row>
    <row r="672" spans="4:6" ht="12.75" customHeight="1" x14ac:dyDescent="0.25">
      <c r="D672" s="3"/>
      <c r="E672" s="3"/>
      <c r="F672" s="3"/>
    </row>
    <row r="673" spans="4:6" ht="12.75" customHeight="1" x14ac:dyDescent="0.25">
      <c r="D673" s="3"/>
      <c r="E673" s="3"/>
      <c r="F673" s="3"/>
    </row>
    <row r="674" spans="4:6" ht="12.75" customHeight="1" x14ac:dyDescent="0.25">
      <c r="D674" s="3"/>
      <c r="E674" s="3"/>
      <c r="F674" s="3"/>
    </row>
    <row r="675" spans="4:6" ht="12.75" customHeight="1" x14ac:dyDescent="0.25">
      <c r="D675" s="3"/>
      <c r="E675" s="3"/>
      <c r="F675" s="3"/>
    </row>
    <row r="676" spans="4:6" ht="12.75" customHeight="1" x14ac:dyDescent="0.25">
      <c r="D676" s="3"/>
      <c r="E676" s="3"/>
      <c r="F676" s="3"/>
    </row>
    <row r="677" spans="4:6" ht="12.75" customHeight="1" x14ac:dyDescent="0.25">
      <c r="D677" s="3"/>
      <c r="E677" s="3"/>
      <c r="F677" s="3"/>
    </row>
    <row r="678" spans="4:6" ht="12.75" customHeight="1" x14ac:dyDescent="0.25">
      <c r="D678" s="3"/>
      <c r="E678" s="3"/>
      <c r="F678" s="3"/>
    </row>
    <row r="679" spans="4:6" ht="12.75" customHeight="1" x14ac:dyDescent="0.25">
      <c r="D679" s="3"/>
      <c r="E679" s="3"/>
      <c r="F679" s="3"/>
    </row>
    <row r="680" spans="4:6" ht="12.75" customHeight="1" x14ac:dyDescent="0.25">
      <c r="D680" s="3"/>
      <c r="E680" s="3"/>
      <c r="F680" s="3"/>
    </row>
    <row r="681" spans="4:6" ht="12.75" customHeight="1" x14ac:dyDescent="0.25">
      <c r="D681" s="3"/>
      <c r="E681" s="3"/>
      <c r="F681" s="3"/>
    </row>
    <row r="682" spans="4:6" ht="12.75" customHeight="1" x14ac:dyDescent="0.25">
      <c r="D682" s="3"/>
      <c r="E682" s="3"/>
      <c r="F682" s="3"/>
    </row>
    <row r="683" spans="4:6" ht="12.75" customHeight="1" x14ac:dyDescent="0.25">
      <c r="D683" s="3"/>
      <c r="E683" s="3"/>
      <c r="F683" s="3"/>
    </row>
    <row r="684" spans="4:6" ht="12.75" customHeight="1" x14ac:dyDescent="0.25">
      <c r="D684" s="3"/>
      <c r="E684" s="3"/>
      <c r="F684" s="3"/>
    </row>
    <row r="685" spans="4:6" ht="12.75" customHeight="1" x14ac:dyDescent="0.25">
      <c r="D685" s="3"/>
      <c r="E685" s="3"/>
      <c r="F685" s="3"/>
    </row>
    <row r="686" spans="4:6" ht="12.75" customHeight="1" x14ac:dyDescent="0.25">
      <c r="D686" s="3"/>
      <c r="E686" s="3"/>
      <c r="F686" s="3"/>
    </row>
    <row r="687" spans="4:6" ht="12.75" customHeight="1" x14ac:dyDescent="0.25">
      <c r="D687" s="3"/>
      <c r="E687" s="3"/>
      <c r="F687" s="3"/>
    </row>
    <row r="688" spans="4:6" ht="12.75" customHeight="1" x14ac:dyDescent="0.25">
      <c r="D688" s="3"/>
      <c r="E688" s="3"/>
      <c r="F688" s="3"/>
    </row>
    <row r="689" spans="4:6" ht="12.75" customHeight="1" x14ac:dyDescent="0.25">
      <c r="D689" s="3"/>
      <c r="E689" s="3"/>
      <c r="F689" s="3"/>
    </row>
    <row r="690" spans="4:6" ht="12.75" customHeight="1" x14ac:dyDescent="0.25">
      <c r="D690" s="3"/>
      <c r="E690" s="3"/>
      <c r="F690" s="3"/>
    </row>
    <row r="691" spans="4:6" ht="12.75" customHeight="1" x14ac:dyDescent="0.25">
      <c r="D691" s="3"/>
      <c r="E691" s="3"/>
      <c r="F691" s="3"/>
    </row>
    <row r="692" spans="4:6" ht="12.75" customHeight="1" x14ac:dyDescent="0.25">
      <c r="D692" s="3"/>
      <c r="E692" s="3"/>
      <c r="F692" s="3"/>
    </row>
    <row r="693" spans="4:6" ht="12.75" customHeight="1" x14ac:dyDescent="0.25">
      <c r="D693" s="3"/>
      <c r="E693" s="3"/>
      <c r="F693" s="3"/>
    </row>
    <row r="694" spans="4:6" ht="12.75" customHeight="1" x14ac:dyDescent="0.25">
      <c r="D694" s="3"/>
      <c r="E694" s="3"/>
      <c r="F694" s="3"/>
    </row>
    <row r="695" spans="4:6" ht="12.75" customHeight="1" x14ac:dyDescent="0.25">
      <c r="D695" s="3"/>
      <c r="E695" s="3"/>
      <c r="F695" s="3"/>
    </row>
    <row r="696" spans="4:6" ht="12.75" customHeight="1" x14ac:dyDescent="0.25">
      <c r="D696" s="3"/>
      <c r="E696" s="3"/>
      <c r="F696" s="3"/>
    </row>
    <row r="697" spans="4:6" ht="12.75" customHeight="1" x14ac:dyDescent="0.25">
      <c r="D697" s="3"/>
      <c r="E697" s="3"/>
      <c r="F697" s="3"/>
    </row>
    <row r="698" spans="4:6" ht="12.75" customHeight="1" x14ac:dyDescent="0.25">
      <c r="D698" s="3"/>
      <c r="E698" s="3"/>
      <c r="F698" s="3"/>
    </row>
    <row r="699" spans="4:6" ht="12.75" customHeight="1" x14ac:dyDescent="0.25">
      <c r="D699" s="3"/>
      <c r="E699" s="3"/>
      <c r="F699" s="3"/>
    </row>
    <row r="700" spans="4:6" ht="12.75" customHeight="1" x14ac:dyDescent="0.25">
      <c r="D700" s="3"/>
      <c r="E700" s="3"/>
      <c r="F700" s="3"/>
    </row>
    <row r="701" spans="4:6" ht="12.75" customHeight="1" x14ac:dyDescent="0.25">
      <c r="D701" s="3"/>
      <c r="E701" s="3"/>
      <c r="F701" s="3"/>
    </row>
    <row r="702" spans="4:6" ht="12.75" customHeight="1" x14ac:dyDescent="0.25">
      <c r="D702" s="3"/>
      <c r="E702" s="3"/>
      <c r="F702" s="3"/>
    </row>
    <row r="703" spans="4:6" ht="12.75" customHeight="1" x14ac:dyDescent="0.25">
      <c r="D703" s="3"/>
      <c r="E703" s="3"/>
      <c r="F703" s="3"/>
    </row>
    <row r="704" spans="4:6" ht="12.75" customHeight="1" x14ac:dyDescent="0.25">
      <c r="D704" s="3"/>
      <c r="E704" s="3"/>
      <c r="F704" s="3"/>
    </row>
    <row r="705" spans="4:6" ht="12.75" customHeight="1" x14ac:dyDescent="0.25">
      <c r="D705" s="3"/>
      <c r="E705" s="3"/>
      <c r="F705" s="3"/>
    </row>
    <row r="706" spans="4:6" ht="12.75" customHeight="1" x14ac:dyDescent="0.25">
      <c r="D706" s="3"/>
      <c r="E706" s="3"/>
      <c r="F706" s="3"/>
    </row>
    <row r="707" spans="4:6" ht="12.75" customHeight="1" x14ac:dyDescent="0.25">
      <c r="D707" s="3"/>
      <c r="E707" s="3"/>
      <c r="F707" s="3"/>
    </row>
    <row r="708" spans="4:6" ht="12.75" customHeight="1" x14ac:dyDescent="0.25">
      <c r="D708" s="3"/>
      <c r="E708" s="3"/>
      <c r="F708" s="3"/>
    </row>
    <row r="709" spans="4:6" ht="12.75" customHeight="1" x14ac:dyDescent="0.25">
      <c r="D709" s="3"/>
      <c r="E709" s="3"/>
      <c r="F709" s="3"/>
    </row>
    <row r="710" spans="4:6" ht="12.75" customHeight="1" x14ac:dyDescent="0.25">
      <c r="D710" s="3"/>
      <c r="E710" s="3"/>
      <c r="F710" s="3"/>
    </row>
    <row r="711" spans="4:6" ht="12.75" customHeight="1" x14ac:dyDescent="0.25">
      <c r="D711" s="3"/>
      <c r="E711" s="3"/>
      <c r="F711" s="3"/>
    </row>
    <row r="712" spans="4:6" ht="12.75" customHeight="1" x14ac:dyDescent="0.25">
      <c r="D712" s="3"/>
      <c r="E712" s="3"/>
      <c r="F712" s="3"/>
    </row>
    <row r="713" spans="4:6" ht="12.75" customHeight="1" x14ac:dyDescent="0.25">
      <c r="D713" s="3"/>
      <c r="E713" s="3"/>
      <c r="F713" s="3"/>
    </row>
    <row r="714" spans="4:6" ht="12.75" customHeight="1" x14ac:dyDescent="0.25">
      <c r="D714" s="3"/>
      <c r="E714" s="3"/>
      <c r="F714" s="3"/>
    </row>
    <row r="715" spans="4:6" ht="12.75" customHeight="1" x14ac:dyDescent="0.25">
      <c r="D715" s="3"/>
      <c r="E715" s="3"/>
      <c r="F715" s="3"/>
    </row>
    <row r="716" spans="4:6" ht="12.75" customHeight="1" x14ac:dyDescent="0.25">
      <c r="D716" s="3"/>
      <c r="E716" s="3"/>
      <c r="F716" s="3"/>
    </row>
    <row r="717" spans="4:6" ht="12.75" customHeight="1" x14ac:dyDescent="0.25">
      <c r="D717" s="3"/>
      <c r="E717" s="3"/>
      <c r="F717" s="3"/>
    </row>
    <row r="718" spans="4:6" ht="12.75" customHeight="1" x14ac:dyDescent="0.25">
      <c r="D718" s="3"/>
      <c r="E718" s="3"/>
      <c r="F718" s="3"/>
    </row>
    <row r="719" spans="4:6" ht="12.75" customHeight="1" x14ac:dyDescent="0.25">
      <c r="D719" s="3"/>
      <c r="E719" s="3"/>
      <c r="F719" s="3"/>
    </row>
    <row r="720" spans="4:6" ht="12.75" customHeight="1" x14ac:dyDescent="0.25">
      <c r="D720" s="3"/>
      <c r="E720" s="3"/>
      <c r="F720" s="3"/>
    </row>
    <row r="721" spans="4:6" ht="12.75" customHeight="1" x14ac:dyDescent="0.25">
      <c r="D721" s="3"/>
      <c r="E721" s="3"/>
      <c r="F721" s="3"/>
    </row>
    <row r="722" spans="4:6" ht="12.75" customHeight="1" x14ac:dyDescent="0.25">
      <c r="D722" s="3"/>
      <c r="E722" s="3"/>
      <c r="F722" s="3"/>
    </row>
    <row r="723" spans="4:6" ht="12.75" customHeight="1" x14ac:dyDescent="0.25">
      <c r="D723" s="3"/>
      <c r="E723" s="3"/>
      <c r="F723" s="3"/>
    </row>
    <row r="724" spans="4:6" ht="12.75" customHeight="1" x14ac:dyDescent="0.25">
      <c r="D724" s="3"/>
      <c r="E724" s="3"/>
      <c r="F724" s="3"/>
    </row>
    <row r="725" spans="4:6" ht="12.75" customHeight="1" x14ac:dyDescent="0.25">
      <c r="D725" s="3"/>
      <c r="E725" s="3"/>
      <c r="F725" s="3"/>
    </row>
    <row r="726" spans="4:6" ht="12.75" customHeight="1" x14ac:dyDescent="0.25">
      <c r="D726" s="3"/>
      <c r="E726" s="3"/>
      <c r="F726" s="3"/>
    </row>
    <row r="727" spans="4:6" ht="12.75" customHeight="1" x14ac:dyDescent="0.25">
      <c r="D727" s="3"/>
      <c r="E727" s="3"/>
      <c r="F727" s="3"/>
    </row>
    <row r="728" spans="4:6" ht="12.75" customHeight="1" x14ac:dyDescent="0.25">
      <c r="D728" s="3"/>
      <c r="E728" s="3"/>
      <c r="F728" s="3"/>
    </row>
    <row r="729" spans="4:6" ht="12.75" customHeight="1" x14ac:dyDescent="0.25">
      <c r="D729" s="3"/>
      <c r="E729" s="3"/>
      <c r="F729" s="3"/>
    </row>
    <row r="730" spans="4:6" ht="12.75" customHeight="1" x14ac:dyDescent="0.25">
      <c r="D730" s="3"/>
      <c r="E730" s="3"/>
      <c r="F730" s="3"/>
    </row>
    <row r="731" spans="4:6" ht="12.75" customHeight="1" x14ac:dyDescent="0.25">
      <c r="D731" s="3"/>
      <c r="E731" s="3"/>
      <c r="F731" s="3"/>
    </row>
    <row r="732" spans="4:6" ht="12.75" customHeight="1" x14ac:dyDescent="0.25">
      <c r="D732" s="3"/>
      <c r="E732" s="3"/>
      <c r="F732" s="3"/>
    </row>
    <row r="733" spans="4:6" ht="12.75" customHeight="1" x14ac:dyDescent="0.25">
      <c r="D733" s="3"/>
      <c r="E733" s="3"/>
      <c r="F733" s="3"/>
    </row>
    <row r="734" spans="4:6" ht="12.75" customHeight="1" x14ac:dyDescent="0.25">
      <c r="D734" s="3"/>
      <c r="E734" s="3"/>
      <c r="F734" s="3"/>
    </row>
    <row r="735" spans="4:6" ht="12.75" customHeight="1" x14ac:dyDescent="0.25">
      <c r="D735" s="3"/>
      <c r="E735" s="3"/>
      <c r="F735" s="3"/>
    </row>
    <row r="736" spans="4:6" ht="12.75" customHeight="1" x14ac:dyDescent="0.25">
      <c r="D736" s="3"/>
      <c r="E736" s="3"/>
      <c r="F736" s="3"/>
    </row>
    <row r="737" spans="4:6" ht="12.75" customHeight="1" x14ac:dyDescent="0.25">
      <c r="D737" s="3"/>
      <c r="E737" s="3"/>
      <c r="F737" s="3"/>
    </row>
    <row r="738" spans="4:6" ht="12.75" customHeight="1" x14ac:dyDescent="0.25">
      <c r="D738" s="3"/>
      <c r="E738" s="3"/>
      <c r="F738" s="3"/>
    </row>
    <row r="739" spans="4:6" ht="12.75" customHeight="1" x14ac:dyDescent="0.25">
      <c r="D739" s="3"/>
      <c r="E739" s="3"/>
      <c r="F739" s="3"/>
    </row>
    <row r="740" spans="4:6" ht="12.75" customHeight="1" x14ac:dyDescent="0.25">
      <c r="D740" s="3"/>
      <c r="E740" s="3"/>
      <c r="F740" s="3"/>
    </row>
    <row r="741" spans="4:6" ht="12.75" customHeight="1" x14ac:dyDescent="0.25">
      <c r="D741" s="3"/>
      <c r="E741" s="3"/>
      <c r="F741" s="3"/>
    </row>
    <row r="742" spans="4:6" ht="12.75" customHeight="1" x14ac:dyDescent="0.25">
      <c r="D742" s="3"/>
      <c r="E742" s="3"/>
      <c r="F742" s="3"/>
    </row>
    <row r="743" spans="4:6" ht="12.75" customHeight="1" x14ac:dyDescent="0.25">
      <c r="D743" s="3"/>
      <c r="E743" s="3"/>
      <c r="F743" s="3"/>
    </row>
    <row r="744" spans="4:6" ht="12.75" customHeight="1" x14ac:dyDescent="0.25">
      <c r="D744" s="3"/>
      <c r="E744" s="3"/>
      <c r="F744" s="3"/>
    </row>
    <row r="745" spans="4:6" ht="12.75" customHeight="1" x14ac:dyDescent="0.25">
      <c r="D745" s="3"/>
      <c r="E745" s="3"/>
      <c r="F745" s="3"/>
    </row>
    <row r="746" spans="4:6" ht="12.75" customHeight="1" x14ac:dyDescent="0.25">
      <c r="D746" s="3"/>
      <c r="E746" s="3"/>
      <c r="F746" s="3"/>
    </row>
    <row r="747" spans="4:6" ht="12.75" customHeight="1" x14ac:dyDescent="0.25">
      <c r="D747" s="3"/>
      <c r="E747" s="3"/>
      <c r="F747" s="3"/>
    </row>
    <row r="748" spans="4:6" ht="12.75" customHeight="1" x14ac:dyDescent="0.25">
      <c r="D748" s="3"/>
      <c r="E748" s="3"/>
      <c r="F748" s="3"/>
    </row>
    <row r="749" spans="4:6" ht="12.75" customHeight="1" x14ac:dyDescent="0.25">
      <c r="D749" s="3"/>
      <c r="E749" s="3"/>
      <c r="F749" s="3"/>
    </row>
    <row r="750" spans="4:6" ht="12.75" customHeight="1" x14ac:dyDescent="0.25">
      <c r="D750" s="3"/>
      <c r="E750" s="3"/>
      <c r="F750" s="3"/>
    </row>
    <row r="751" spans="4:6" ht="12.75" customHeight="1" x14ac:dyDescent="0.25">
      <c r="D751" s="3"/>
      <c r="E751" s="3"/>
      <c r="F751" s="3"/>
    </row>
    <row r="752" spans="4:6" ht="12.75" customHeight="1" x14ac:dyDescent="0.25">
      <c r="D752" s="3"/>
      <c r="E752" s="3"/>
      <c r="F752" s="3"/>
    </row>
    <row r="753" spans="4:6" ht="12.75" customHeight="1" x14ac:dyDescent="0.25">
      <c r="D753" s="3"/>
      <c r="E753" s="3"/>
      <c r="F753" s="3"/>
    </row>
    <row r="754" spans="4:6" ht="12.75" customHeight="1" x14ac:dyDescent="0.25">
      <c r="D754" s="3"/>
      <c r="E754" s="3"/>
      <c r="F754" s="3"/>
    </row>
    <row r="755" spans="4:6" ht="12.75" customHeight="1" x14ac:dyDescent="0.25">
      <c r="D755" s="3"/>
      <c r="E755" s="3"/>
      <c r="F755" s="3"/>
    </row>
    <row r="756" spans="4:6" ht="12.75" customHeight="1" x14ac:dyDescent="0.25">
      <c r="D756" s="3"/>
      <c r="E756" s="3"/>
      <c r="F756" s="3"/>
    </row>
    <row r="757" spans="4:6" ht="12.75" customHeight="1" x14ac:dyDescent="0.25">
      <c r="D757" s="3"/>
      <c r="E757" s="3"/>
      <c r="F757" s="3"/>
    </row>
    <row r="758" spans="4:6" ht="12.75" customHeight="1" x14ac:dyDescent="0.25">
      <c r="D758" s="3"/>
      <c r="E758" s="3"/>
      <c r="F758" s="3"/>
    </row>
    <row r="759" spans="4:6" ht="12.75" customHeight="1" x14ac:dyDescent="0.25">
      <c r="D759" s="3"/>
      <c r="E759" s="3"/>
      <c r="F759" s="3"/>
    </row>
    <row r="760" spans="4:6" ht="12.75" customHeight="1" x14ac:dyDescent="0.25">
      <c r="D760" s="3"/>
      <c r="E760" s="3"/>
      <c r="F760" s="3"/>
    </row>
    <row r="761" spans="4:6" ht="12.75" customHeight="1" x14ac:dyDescent="0.25">
      <c r="D761" s="3"/>
      <c r="E761" s="3"/>
      <c r="F761" s="3"/>
    </row>
    <row r="762" spans="4:6" ht="12.75" customHeight="1" x14ac:dyDescent="0.25">
      <c r="D762" s="3"/>
      <c r="E762" s="3"/>
      <c r="F762" s="3"/>
    </row>
    <row r="763" spans="4:6" ht="12.75" customHeight="1" x14ac:dyDescent="0.25">
      <c r="D763" s="3"/>
      <c r="E763" s="3"/>
      <c r="F763" s="3"/>
    </row>
    <row r="764" spans="4:6" ht="12.75" customHeight="1" x14ac:dyDescent="0.25">
      <c r="D764" s="3"/>
      <c r="E764" s="3"/>
      <c r="F764" s="3"/>
    </row>
    <row r="765" spans="4:6" ht="12.75" customHeight="1" x14ac:dyDescent="0.25">
      <c r="D765" s="3"/>
      <c r="E765" s="3"/>
      <c r="F765" s="3"/>
    </row>
    <row r="766" spans="4:6" ht="12.75" customHeight="1" x14ac:dyDescent="0.25">
      <c r="D766" s="3"/>
      <c r="E766" s="3"/>
      <c r="F766" s="3"/>
    </row>
    <row r="767" spans="4:6" ht="12.75" customHeight="1" x14ac:dyDescent="0.25">
      <c r="D767" s="3"/>
      <c r="E767" s="3"/>
      <c r="F767" s="3"/>
    </row>
    <row r="768" spans="4:6" ht="12.75" customHeight="1" x14ac:dyDescent="0.25">
      <c r="D768" s="3"/>
      <c r="E768" s="3"/>
      <c r="F768" s="3"/>
    </row>
    <row r="769" spans="4:6" ht="12.75" customHeight="1" x14ac:dyDescent="0.25">
      <c r="D769" s="3"/>
      <c r="E769" s="3"/>
      <c r="F769" s="3"/>
    </row>
    <row r="770" spans="4:6" ht="12.75" customHeight="1" x14ac:dyDescent="0.25">
      <c r="D770" s="3"/>
      <c r="E770" s="3"/>
      <c r="F770" s="3"/>
    </row>
    <row r="771" spans="4:6" ht="12.75" customHeight="1" x14ac:dyDescent="0.25">
      <c r="D771" s="3"/>
      <c r="E771" s="3"/>
      <c r="F771" s="3"/>
    </row>
    <row r="772" spans="4:6" ht="12.75" customHeight="1" x14ac:dyDescent="0.25">
      <c r="D772" s="3"/>
      <c r="E772" s="3"/>
      <c r="F772" s="3"/>
    </row>
    <row r="773" spans="4:6" ht="12.75" customHeight="1" x14ac:dyDescent="0.25">
      <c r="D773" s="3"/>
      <c r="E773" s="3"/>
      <c r="F773" s="3"/>
    </row>
    <row r="774" spans="4:6" ht="12.75" customHeight="1" x14ac:dyDescent="0.25">
      <c r="D774" s="3"/>
      <c r="E774" s="3"/>
      <c r="F774" s="3"/>
    </row>
    <row r="775" spans="4:6" ht="12.75" customHeight="1" x14ac:dyDescent="0.25">
      <c r="D775" s="3"/>
      <c r="E775" s="3"/>
      <c r="F775" s="3"/>
    </row>
    <row r="776" spans="4:6" ht="12.75" customHeight="1" x14ac:dyDescent="0.25">
      <c r="D776" s="3"/>
      <c r="E776" s="3"/>
      <c r="F776" s="3"/>
    </row>
    <row r="777" spans="4:6" ht="12.75" customHeight="1" x14ac:dyDescent="0.25">
      <c r="D777" s="3"/>
      <c r="E777" s="3"/>
      <c r="F777" s="3"/>
    </row>
    <row r="778" spans="4:6" ht="12.75" customHeight="1" x14ac:dyDescent="0.25">
      <c r="D778" s="3"/>
      <c r="E778" s="3"/>
      <c r="F778" s="3"/>
    </row>
    <row r="779" spans="4:6" ht="12.75" customHeight="1" x14ac:dyDescent="0.25">
      <c r="D779" s="3"/>
      <c r="E779" s="3"/>
      <c r="F779" s="3"/>
    </row>
    <row r="780" spans="4:6" ht="12.75" customHeight="1" x14ac:dyDescent="0.25">
      <c r="D780" s="3"/>
      <c r="E780" s="3"/>
      <c r="F780" s="3"/>
    </row>
    <row r="781" spans="4:6" ht="12.75" customHeight="1" x14ac:dyDescent="0.25">
      <c r="D781" s="3"/>
      <c r="E781" s="3"/>
      <c r="F781" s="3"/>
    </row>
    <row r="782" spans="4:6" ht="12.75" customHeight="1" x14ac:dyDescent="0.25">
      <c r="D782" s="3"/>
      <c r="E782" s="3"/>
      <c r="F782" s="3"/>
    </row>
    <row r="783" spans="4:6" ht="12.75" customHeight="1" x14ac:dyDescent="0.25">
      <c r="D783" s="3"/>
      <c r="E783" s="3"/>
      <c r="F783" s="3"/>
    </row>
    <row r="784" spans="4:6" ht="12.75" customHeight="1" x14ac:dyDescent="0.25">
      <c r="D784" s="3"/>
      <c r="E784" s="3"/>
      <c r="F784" s="3"/>
    </row>
    <row r="785" spans="4:6" ht="12.75" customHeight="1" x14ac:dyDescent="0.25">
      <c r="D785" s="3"/>
      <c r="E785" s="3"/>
      <c r="F785" s="3"/>
    </row>
    <row r="786" spans="4:6" ht="12.75" customHeight="1" x14ac:dyDescent="0.25">
      <c r="D786" s="3"/>
      <c r="E786" s="3"/>
      <c r="F786" s="3"/>
    </row>
    <row r="787" spans="4:6" ht="12.75" customHeight="1" x14ac:dyDescent="0.25">
      <c r="D787" s="3"/>
      <c r="E787" s="3"/>
      <c r="F787" s="3"/>
    </row>
    <row r="788" spans="4:6" ht="12.75" customHeight="1" x14ac:dyDescent="0.25">
      <c r="D788" s="3"/>
      <c r="E788" s="3"/>
      <c r="F788" s="3"/>
    </row>
    <row r="789" spans="4:6" ht="12.75" customHeight="1" x14ac:dyDescent="0.25">
      <c r="D789" s="3"/>
      <c r="E789" s="3"/>
      <c r="F789" s="3"/>
    </row>
    <row r="790" spans="4:6" ht="12.75" customHeight="1" x14ac:dyDescent="0.25">
      <c r="D790" s="3"/>
      <c r="E790" s="3"/>
      <c r="F790" s="3"/>
    </row>
    <row r="791" spans="4:6" ht="12.75" customHeight="1" x14ac:dyDescent="0.25">
      <c r="D791" s="3"/>
      <c r="E791" s="3"/>
      <c r="F791" s="3"/>
    </row>
    <row r="792" spans="4:6" ht="12.75" customHeight="1" x14ac:dyDescent="0.25">
      <c r="D792" s="3"/>
      <c r="E792" s="3"/>
      <c r="F792" s="3"/>
    </row>
    <row r="793" spans="4:6" ht="12.75" customHeight="1" x14ac:dyDescent="0.25">
      <c r="D793" s="3"/>
      <c r="E793" s="3"/>
      <c r="F793" s="3"/>
    </row>
    <row r="794" spans="4:6" ht="12.75" customHeight="1" x14ac:dyDescent="0.25">
      <c r="D794" s="3"/>
      <c r="E794" s="3"/>
      <c r="F794" s="3"/>
    </row>
    <row r="795" spans="4:6" ht="12.75" customHeight="1" x14ac:dyDescent="0.25">
      <c r="D795" s="3"/>
      <c r="E795" s="3"/>
      <c r="F795" s="3"/>
    </row>
    <row r="796" spans="4:6" ht="12.75" customHeight="1" x14ac:dyDescent="0.25">
      <c r="D796" s="3"/>
      <c r="E796" s="3"/>
      <c r="F796" s="3"/>
    </row>
    <row r="797" spans="4:6" ht="12.75" customHeight="1" x14ac:dyDescent="0.25">
      <c r="D797" s="3"/>
      <c r="E797" s="3"/>
      <c r="F797" s="3"/>
    </row>
    <row r="798" spans="4:6" ht="12.75" customHeight="1" x14ac:dyDescent="0.25">
      <c r="D798" s="3"/>
      <c r="E798" s="3"/>
      <c r="F798" s="3"/>
    </row>
    <row r="799" spans="4:6" ht="12.75" customHeight="1" x14ac:dyDescent="0.25">
      <c r="D799" s="3"/>
      <c r="E799" s="3"/>
      <c r="F799" s="3"/>
    </row>
    <row r="800" spans="4:6" ht="12.75" customHeight="1" x14ac:dyDescent="0.25">
      <c r="D800" s="3"/>
      <c r="E800" s="3"/>
      <c r="F800" s="3"/>
    </row>
    <row r="801" spans="4:6" ht="12.75" customHeight="1" x14ac:dyDescent="0.25">
      <c r="D801" s="3"/>
      <c r="E801" s="3"/>
      <c r="F801" s="3"/>
    </row>
    <row r="802" spans="4:6" ht="12.75" customHeight="1" x14ac:dyDescent="0.25">
      <c r="D802" s="3"/>
      <c r="E802" s="3"/>
      <c r="F802" s="3"/>
    </row>
    <row r="803" spans="4:6" ht="12.75" customHeight="1" x14ac:dyDescent="0.25">
      <c r="D803" s="3"/>
      <c r="E803" s="3"/>
      <c r="F803" s="3"/>
    </row>
    <row r="804" spans="4:6" ht="12.75" customHeight="1" x14ac:dyDescent="0.25">
      <c r="D804" s="3"/>
      <c r="E804" s="3"/>
      <c r="F804" s="3"/>
    </row>
    <row r="805" spans="4:6" ht="12.75" customHeight="1" x14ac:dyDescent="0.25">
      <c r="D805" s="3"/>
      <c r="E805" s="3"/>
      <c r="F805" s="3"/>
    </row>
    <row r="806" spans="4:6" ht="12.75" customHeight="1" x14ac:dyDescent="0.25">
      <c r="D806" s="3"/>
      <c r="E806" s="3"/>
      <c r="F806" s="3"/>
    </row>
    <row r="807" spans="4:6" ht="12.75" customHeight="1" x14ac:dyDescent="0.25">
      <c r="D807" s="3"/>
      <c r="E807" s="3"/>
      <c r="F807" s="3"/>
    </row>
    <row r="808" spans="4:6" ht="12.75" customHeight="1" x14ac:dyDescent="0.25">
      <c r="D808" s="3"/>
      <c r="E808" s="3"/>
      <c r="F808" s="3"/>
    </row>
    <row r="809" spans="4:6" ht="12.75" customHeight="1" x14ac:dyDescent="0.25">
      <c r="D809" s="3"/>
      <c r="E809" s="3"/>
      <c r="F809" s="3"/>
    </row>
    <row r="810" spans="4:6" ht="12.75" customHeight="1" x14ac:dyDescent="0.25">
      <c r="D810" s="3"/>
      <c r="E810" s="3"/>
      <c r="F810" s="3"/>
    </row>
    <row r="811" spans="4:6" ht="12.75" customHeight="1" x14ac:dyDescent="0.25">
      <c r="D811" s="3"/>
      <c r="E811" s="3"/>
      <c r="F811" s="3"/>
    </row>
    <row r="812" spans="4:6" ht="12.75" customHeight="1" x14ac:dyDescent="0.25">
      <c r="D812" s="3"/>
      <c r="E812" s="3"/>
      <c r="F812" s="3"/>
    </row>
    <row r="813" spans="4:6" ht="12.75" customHeight="1" x14ac:dyDescent="0.25">
      <c r="D813" s="3"/>
      <c r="E813" s="3"/>
      <c r="F813" s="3"/>
    </row>
    <row r="814" spans="4:6" ht="12.75" customHeight="1" x14ac:dyDescent="0.25">
      <c r="D814" s="3"/>
      <c r="E814" s="3"/>
      <c r="F814" s="3"/>
    </row>
    <row r="815" spans="4:6" ht="12.75" customHeight="1" x14ac:dyDescent="0.25">
      <c r="D815" s="3"/>
      <c r="E815" s="3"/>
      <c r="F815" s="3"/>
    </row>
    <row r="816" spans="4:6" ht="12.75" customHeight="1" x14ac:dyDescent="0.25">
      <c r="D816" s="3"/>
      <c r="E816" s="3"/>
      <c r="F816" s="3"/>
    </row>
    <row r="817" spans="4:6" ht="12.75" customHeight="1" x14ac:dyDescent="0.25">
      <c r="D817" s="3"/>
      <c r="E817" s="3"/>
      <c r="F817" s="3"/>
    </row>
    <row r="818" spans="4:6" ht="12.75" customHeight="1" x14ac:dyDescent="0.25">
      <c r="D818" s="3"/>
      <c r="E818" s="3"/>
      <c r="F818" s="3"/>
    </row>
    <row r="819" spans="4:6" ht="12.75" customHeight="1" x14ac:dyDescent="0.25">
      <c r="D819" s="3"/>
      <c r="E819" s="3"/>
      <c r="F819" s="3"/>
    </row>
    <row r="820" spans="4:6" ht="12.75" customHeight="1" x14ac:dyDescent="0.25">
      <c r="D820" s="3"/>
      <c r="E820" s="3"/>
      <c r="F820" s="3"/>
    </row>
    <row r="821" spans="4:6" ht="12.75" customHeight="1" x14ac:dyDescent="0.25">
      <c r="D821" s="3"/>
      <c r="E821" s="3"/>
      <c r="F821" s="3"/>
    </row>
    <row r="822" spans="4:6" ht="12.75" customHeight="1" x14ac:dyDescent="0.25">
      <c r="D822" s="3"/>
      <c r="E822" s="3"/>
      <c r="F822" s="3"/>
    </row>
    <row r="823" spans="4:6" ht="12.75" customHeight="1" x14ac:dyDescent="0.25">
      <c r="D823" s="3"/>
      <c r="E823" s="3"/>
      <c r="F823" s="3"/>
    </row>
    <row r="824" spans="4:6" ht="12.75" customHeight="1" x14ac:dyDescent="0.25">
      <c r="D824" s="3"/>
      <c r="E824" s="3"/>
      <c r="F824" s="3"/>
    </row>
    <row r="825" spans="4:6" ht="12.75" customHeight="1" x14ac:dyDescent="0.25">
      <c r="D825" s="3"/>
      <c r="E825" s="3"/>
      <c r="F825" s="3"/>
    </row>
    <row r="826" spans="4:6" ht="12.75" customHeight="1" x14ac:dyDescent="0.25">
      <c r="D826" s="3"/>
      <c r="E826" s="3"/>
      <c r="F826" s="3"/>
    </row>
    <row r="827" spans="4:6" ht="12.75" customHeight="1" x14ac:dyDescent="0.25">
      <c r="D827" s="3"/>
      <c r="E827" s="3"/>
      <c r="F827" s="3"/>
    </row>
    <row r="828" spans="4:6" ht="12.75" customHeight="1" x14ac:dyDescent="0.25">
      <c r="D828" s="3"/>
      <c r="E828" s="3"/>
      <c r="F828" s="3"/>
    </row>
    <row r="829" spans="4:6" ht="12.75" customHeight="1" x14ac:dyDescent="0.25">
      <c r="D829" s="3"/>
      <c r="E829" s="3"/>
      <c r="F829" s="3"/>
    </row>
    <row r="830" spans="4:6" ht="12.75" customHeight="1" x14ac:dyDescent="0.25">
      <c r="D830" s="3"/>
      <c r="E830" s="3"/>
      <c r="F830" s="3"/>
    </row>
    <row r="831" spans="4:6" ht="12.75" customHeight="1" x14ac:dyDescent="0.25">
      <c r="D831" s="3"/>
      <c r="E831" s="3"/>
      <c r="F831" s="3"/>
    </row>
    <row r="832" spans="4:6" ht="12.75" customHeight="1" x14ac:dyDescent="0.25">
      <c r="D832" s="3"/>
      <c r="E832" s="3"/>
      <c r="F832" s="3"/>
    </row>
    <row r="833" spans="4:6" ht="12.75" customHeight="1" x14ac:dyDescent="0.25">
      <c r="D833" s="3"/>
      <c r="E833" s="3"/>
      <c r="F833" s="3"/>
    </row>
    <row r="834" spans="4:6" ht="12.75" customHeight="1" x14ac:dyDescent="0.25">
      <c r="D834" s="3"/>
      <c r="E834" s="3"/>
      <c r="F834" s="3"/>
    </row>
    <row r="835" spans="4:6" ht="12.75" customHeight="1" x14ac:dyDescent="0.25">
      <c r="D835" s="3"/>
      <c r="E835" s="3"/>
      <c r="F835" s="3"/>
    </row>
    <row r="836" spans="4:6" ht="12.75" customHeight="1" x14ac:dyDescent="0.25">
      <c r="D836" s="3"/>
      <c r="E836" s="3"/>
      <c r="F836" s="3"/>
    </row>
    <row r="837" spans="4:6" ht="12.75" customHeight="1" x14ac:dyDescent="0.25">
      <c r="D837" s="3"/>
      <c r="E837" s="3"/>
      <c r="F837" s="3"/>
    </row>
    <row r="838" spans="4:6" ht="12.75" customHeight="1" x14ac:dyDescent="0.25">
      <c r="D838" s="3"/>
      <c r="E838" s="3"/>
      <c r="F838" s="3"/>
    </row>
    <row r="839" spans="4:6" ht="12.75" customHeight="1" x14ac:dyDescent="0.25">
      <c r="D839" s="3"/>
      <c r="E839" s="3"/>
      <c r="F839" s="3"/>
    </row>
    <row r="840" spans="4:6" ht="12.75" customHeight="1" x14ac:dyDescent="0.25">
      <c r="D840" s="3"/>
      <c r="E840" s="3"/>
      <c r="F840" s="3"/>
    </row>
    <row r="841" spans="4:6" ht="12.75" customHeight="1" x14ac:dyDescent="0.25">
      <c r="D841" s="3"/>
      <c r="E841" s="3"/>
      <c r="F841" s="3"/>
    </row>
    <row r="842" spans="4:6" ht="12.75" customHeight="1" x14ac:dyDescent="0.25">
      <c r="D842" s="3"/>
      <c r="E842" s="3"/>
      <c r="F842" s="3"/>
    </row>
    <row r="843" spans="4:6" ht="12.75" customHeight="1" x14ac:dyDescent="0.25">
      <c r="D843" s="3"/>
      <c r="E843" s="3"/>
      <c r="F843" s="3"/>
    </row>
    <row r="844" spans="4:6" ht="12.75" customHeight="1" x14ac:dyDescent="0.25">
      <c r="D844" s="3"/>
      <c r="E844" s="3"/>
      <c r="F844" s="3"/>
    </row>
    <row r="845" spans="4:6" ht="12.75" customHeight="1" x14ac:dyDescent="0.25">
      <c r="D845" s="3"/>
      <c r="E845" s="3"/>
      <c r="F845" s="3"/>
    </row>
    <row r="846" spans="4:6" ht="12.75" customHeight="1" x14ac:dyDescent="0.25">
      <c r="D846" s="3"/>
      <c r="E846" s="3"/>
      <c r="F846" s="3"/>
    </row>
    <row r="847" spans="4:6" ht="12.75" customHeight="1" x14ac:dyDescent="0.25">
      <c r="D847" s="3"/>
      <c r="E847" s="3"/>
      <c r="F847" s="3"/>
    </row>
    <row r="848" spans="4:6" ht="12.75" customHeight="1" x14ac:dyDescent="0.25">
      <c r="D848" s="3"/>
      <c r="E848" s="3"/>
      <c r="F848" s="3"/>
    </row>
    <row r="849" spans="4:6" ht="12.75" customHeight="1" x14ac:dyDescent="0.25">
      <c r="D849" s="3"/>
      <c r="E849" s="3"/>
      <c r="F849" s="3"/>
    </row>
    <row r="850" spans="4:6" ht="12.75" customHeight="1" x14ac:dyDescent="0.25">
      <c r="D850" s="3"/>
      <c r="E850" s="3"/>
      <c r="F850" s="3"/>
    </row>
    <row r="851" spans="4:6" ht="12.75" customHeight="1" x14ac:dyDescent="0.25">
      <c r="D851" s="3"/>
      <c r="E851" s="3"/>
      <c r="F851" s="3"/>
    </row>
    <row r="852" spans="4:6" ht="12.75" customHeight="1" x14ac:dyDescent="0.25">
      <c r="D852" s="3"/>
      <c r="E852" s="3"/>
      <c r="F852" s="3"/>
    </row>
    <row r="853" spans="4:6" ht="12.75" customHeight="1" x14ac:dyDescent="0.25">
      <c r="D853" s="3"/>
      <c r="E853" s="3"/>
      <c r="F853" s="3"/>
    </row>
    <row r="854" spans="4:6" ht="12.75" customHeight="1" x14ac:dyDescent="0.25">
      <c r="D854" s="3"/>
      <c r="E854" s="3"/>
      <c r="F854" s="3"/>
    </row>
    <row r="855" spans="4:6" ht="12.75" customHeight="1" x14ac:dyDescent="0.25">
      <c r="D855" s="3"/>
      <c r="E855" s="3"/>
      <c r="F855" s="3"/>
    </row>
    <row r="856" spans="4:6" ht="12.75" customHeight="1" x14ac:dyDescent="0.25">
      <c r="D856" s="3"/>
      <c r="E856" s="3"/>
      <c r="F856" s="3"/>
    </row>
    <row r="857" spans="4:6" ht="12.75" customHeight="1" x14ac:dyDescent="0.25">
      <c r="D857" s="3"/>
      <c r="E857" s="3"/>
      <c r="F857" s="3"/>
    </row>
    <row r="858" spans="4:6" ht="12.75" customHeight="1" x14ac:dyDescent="0.25">
      <c r="D858" s="3"/>
      <c r="E858" s="3"/>
      <c r="F858" s="3"/>
    </row>
    <row r="859" spans="4:6" ht="12.75" customHeight="1" x14ac:dyDescent="0.25">
      <c r="D859" s="3"/>
      <c r="E859" s="3"/>
      <c r="F859" s="3"/>
    </row>
    <row r="860" spans="4:6" ht="12.75" customHeight="1" x14ac:dyDescent="0.25">
      <c r="D860" s="3"/>
      <c r="E860" s="3"/>
      <c r="F860" s="3"/>
    </row>
    <row r="861" spans="4:6" ht="12.75" customHeight="1" x14ac:dyDescent="0.25">
      <c r="D861" s="3"/>
      <c r="E861" s="3"/>
      <c r="F861" s="3"/>
    </row>
    <row r="862" spans="4:6" ht="12.75" customHeight="1" x14ac:dyDescent="0.25">
      <c r="D862" s="3"/>
      <c r="E862" s="3"/>
      <c r="F862" s="3"/>
    </row>
    <row r="863" spans="4:6" ht="12.75" customHeight="1" x14ac:dyDescent="0.25">
      <c r="D863" s="3"/>
      <c r="E863" s="3"/>
      <c r="F863" s="3"/>
    </row>
    <row r="864" spans="4:6" ht="12.75" customHeight="1" x14ac:dyDescent="0.25">
      <c r="D864" s="3"/>
      <c r="E864" s="3"/>
      <c r="F864" s="3"/>
    </row>
    <row r="865" spans="4:6" ht="12.75" customHeight="1" x14ac:dyDescent="0.25">
      <c r="D865" s="3"/>
      <c r="E865" s="3"/>
      <c r="F865" s="3"/>
    </row>
    <row r="866" spans="4:6" ht="12.75" customHeight="1" x14ac:dyDescent="0.25">
      <c r="D866" s="3"/>
      <c r="E866" s="3"/>
      <c r="F866" s="3"/>
    </row>
    <row r="867" spans="4:6" ht="12.75" customHeight="1" x14ac:dyDescent="0.25">
      <c r="D867" s="3"/>
      <c r="E867" s="3"/>
      <c r="F867" s="3"/>
    </row>
    <row r="868" spans="4:6" ht="12.75" customHeight="1" x14ac:dyDescent="0.25">
      <c r="D868" s="3"/>
      <c r="E868" s="3"/>
      <c r="F868" s="3"/>
    </row>
    <row r="869" spans="4:6" ht="12.75" customHeight="1" x14ac:dyDescent="0.25">
      <c r="D869" s="3"/>
      <c r="E869" s="3"/>
      <c r="F869" s="3"/>
    </row>
    <row r="870" spans="4:6" ht="12.75" customHeight="1" x14ac:dyDescent="0.25">
      <c r="D870" s="3"/>
      <c r="E870" s="3"/>
      <c r="F870" s="3"/>
    </row>
    <row r="871" spans="4:6" ht="12.75" customHeight="1" x14ac:dyDescent="0.25">
      <c r="D871" s="3"/>
      <c r="E871" s="3"/>
      <c r="F871" s="3"/>
    </row>
    <row r="872" spans="4:6" ht="12.75" customHeight="1" x14ac:dyDescent="0.25">
      <c r="D872" s="3"/>
      <c r="E872" s="3"/>
      <c r="F872" s="3"/>
    </row>
    <row r="873" spans="4:6" ht="12.75" customHeight="1" x14ac:dyDescent="0.25">
      <c r="D873" s="3"/>
      <c r="E873" s="3"/>
      <c r="F873" s="3"/>
    </row>
    <row r="874" spans="4:6" ht="12.75" customHeight="1" x14ac:dyDescent="0.25">
      <c r="D874" s="3"/>
      <c r="E874" s="3"/>
      <c r="F874" s="3"/>
    </row>
    <row r="875" spans="4:6" ht="12.75" customHeight="1" x14ac:dyDescent="0.25">
      <c r="D875" s="3"/>
      <c r="E875" s="3"/>
      <c r="F875" s="3"/>
    </row>
    <row r="876" spans="4:6" ht="12.75" customHeight="1" x14ac:dyDescent="0.25">
      <c r="D876" s="3"/>
      <c r="E876" s="3"/>
      <c r="F876" s="3"/>
    </row>
    <row r="877" spans="4:6" ht="12.75" customHeight="1" x14ac:dyDescent="0.25">
      <c r="D877" s="3"/>
      <c r="E877" s="3"/>
      <c r="F877" s="3"/>
    </row>
    <row r="878" spans="4:6" ht="12.75" customHeight="1" x14ac:dyDescent="0.25">
      <c r="D878" s="3"/>
      <c r="E878" s="3"/>
      <c r="F878" s="3"/>
    </row>
    <row r="879" spans="4:6" ht="12.75" customHeight="1" x14ac:dyDescent="0.25">
      <c r="D879" s="3"/>
      <c r="E879" s="3"/>
      <c r="F879" s="3"/>
    </row>
    <row r="880" spans="4:6" ht="12.75" customHeight="1" x14ac:dyDescent="0.25">
      <c r="D880" s="3"/>
      <c r="E880" s="3"/>
      <c r="F880" s="3"/>
    </row>
    <row r="881" spans="4:6" ht="12.75" customHeight="1" x14ac:dyDescent="0.25">
      <c r="D881" s="3"/>
      <c r="E881" s="3"/>
      <c r="F881" s="3"/>
    </row>
    <row r="882" spans="4:6" ht="12.75" customHeight="1" x14ac:dyDescent="0.25">
      <c r="D882" s="3"/>
      <c r="E882" s="3"/>
      <c r="F882" s="3"/>
    </row>
    <row r="883" spans="4:6" ht="12.75" customHeight="1" x14ac:dyDescent="0.25">
      <c r="D883" s="3"/>
      <c r="E883" s="3"/>
      <c r="F883" s="3"/>
    </row>
    <row r="884" spans="4:6" ht="12.75" customHeight="1" x14ac:dyDescent="0.25">
      <c r="D884" s="3"/>
      <c r="E884" s="3"/>
      <c r="F884" s="3"/>
    </row>
    <row r="885" spans="4:6" ht="12.75" customHeight="1" x14ac:dyDescent="0.25">
      <c r="D885" s="3"/>
      <c r="E885" s="3"/>
      <c r="F885" s="3"/>
    </row>
    <row r="886" spans="4:6" ht="12.75" customHeight="1" x14ac:dyDescent="0.25">
      <c r="D886" s="3"/>
      <c r="E886" s="3"/>
      <c r="F886" s="3"/>
    </row>
    <row r="887" spans="4:6" ht="12.75" customHeight="1" x14ac:dyDescent="0.25">
      <c r="D887" s="3"/>
      <c r="E887" s="3"/>
      <c r="F887" s="3"/>
    </row>
    <row r="888" spans="4:6" ht="12.75" customHeight="1" x14ac:dyDescent="0.25">
      <c r="D888" s="3"/>
      <c r="E888" s="3"/>
      <c r="F888" s="3"/>
    </row>
    <row r="889" spans="4:6" ht="12.75" customHeight="1" x14ac:dyDescent="0.25">
      <c r="D889" s="3"/>
      <c r="E889" s="3"/>
      <c r="F889" s="3"/>
    </row>
    <row r="890" spans="4:6" ht="12.75" customHeight="1" x14ac:dyDescent="0.25">
      <c r="D890" s="3"/>
      <c r="E890" s="3"/>
      <c r="F890" s="3"/>
    </row>
    <row r="891" spans="4:6" ht="12.75" customHeight="1" x14ac:dyDescent="0.25">
      <c r="D891" s="3"/>
      <c r="E891" s="3"/>
      <c r="F891" s="3"/>
    </row>
    <row r="892" spans="4:6" ht="12.75" customHeight="1" x14ac:dyDescent="0.25">
      <c r="D892" s="3"/>
      <c r="E892" s="3"/>
      <c r="F892" s="3"/>
    </row>
    <row r="893" spans="4:6" ht="12.75" customHeight="1" x14ac:dyDescent="0.25">
      <c r="D893" s="3"/>
      <c r="E893" s="3"/>
      <c r="F893" s="3"/>
    </row>
    <row r="894" spans="4:6" ht="12.75" customHeight="1" x14ac:dyDescent="0.25">
      <c r="D894" s="3"/>
      <c r="E894" s="3"/>
      <c r="F894" s="3"/>
    </row>
    <row r="895" spans="4:6" ht="12.75" customHeight="1" x14ac:dyDescent="0.25">
      <c r="D895" s="3"/>
      <c r="E895" s="3"/>
      <c r="F895" s="3"/>
    </row>
    <row r="896" spans="4:6" ht="12.75" customHeight="1" x14ac:dyDescent="0.25">
      <c r="D896" s="3"/>
      <c r="E896" s="3"/>
      <c r="F896" s="3"/>
    </row>
    <row r="897" spans="4:6" ht="12.75" customHeight="1" x14ac:dyDescent="0.25">
      <c r="D897" s="3"/>
      <c r="E897" s="3"/>
      <c r="F897" s="3"/>
    </row>
    <row r="898" spans="4:6" ht="12.75" customHeight="1" x14ac:dyDescent="0.25">
      <c r="D898" s="3"/>
      <c r="E898" s="3"/>
      <c r="F898" s="3"/>
    </row>
    <row r="899" spans="4:6" ht="12.75" customHeight="1" x14ac:dyDescent="0.25">
      <c r="D899" s="3"/>
      <c r="E899" s="3"/>
      <c r="F899" s="3"/>
    </row>
    <row r="900" spans="4:6" ht="12.75" customHeight="1" x14ac:dyDescent="0.25">
      <c r="D900" s="3"/>
      <c r="E900" s="3"/>
      <c r="F900" s="3"/>
    </row>
    <row r="901" spans="4:6" ht="12.75" customHeight="1" x14ac:dyDescent="0.25">
      <c r="D901" s="3"/>
      <c r="E901" s="3"/>
      <c r="F901" s="3"/>
    </row>
    <row r="902" spans="4:6" ht="12.75" customHeight="1" x14ac:dyDescent="0.25">
      <c r="D902" s="3"/>
      <c r="E902" s="3"/>
      <c r="F902" s="3"/>
    </row>
    <row r="903" spans="4:6" ht="12.75" customHeight="1" x14ac:dyDescent="0.25">
      <c r="D903" s="3"/>
      <c r="E903" s="3"/>
      <c r="F903" s="3"/>
    </row>
    <row r="904" spans="4:6" ht="12.75" customHeight="1" x14ac:dyDescent="0.25">
      <c r="D904" s="3"/>
      <c r="E904" s="3"/>
      <c r="F904" s="3"/>
    </row>
    <row r="905" spans="4:6" ht="12.75" customHeight="1" x14ac:dyDescent="0.25">
      <c r="D905" s="3"/>
      <c r="E905" s="3"/>
      <c r="F905" s="3"/>
    </row>
    <row r="906" spans="4:6" ht="12.75" customHeight="1" x14ac:dyDescent="0.25">
      <c r="D906" s="3"/>
      <c r="E906" s="3"/>
      <c r="F906" s="3"/>
    </row>
    <row r="907" spans="4:6" ht="12.75" customHeight="1" x14ac:dyDescent="0.25">
      <c r="D907" s="3"/>
      <c r="E907" s="3"/>
      <c r="F907" s="3"/>
    </row>
    <row r="908" spans="4:6" ht="12.75" customHeight="1" x14ac:dyDescent="0.25">
      <c r="D908" s="3"/>
      <c r="E908" s="3"/>
      <c r="F908" s="3"/>
    </row>
    <row r="909" spans="4:6" ht="12.75" customHeight="1" x14ac:dyDescent="0.25">
      <c r="D909" s="3"/>
      <c r="E909" s="3"/>
      <c r="F909" s="3"/>
    </row>
    <row r="910" spans="4:6" ht="12.75" customHeight="1" x14ac:dyDescent="0.25">
      <c r="D910" s="3"/>
      <c r="E910" s="3"/>
      <c r="F910" s="3"/>
    </row>
    <row r="911" spans="4:6" ht="12.75" customHeight="1" x14ac:dyDescent="0.25">
      <c r="D911" s="3"/>
      <c r="E911" s="3"/>
      <c r="F911" s="3"/>
    </row>
    <row r="912" spans="4:6" ht="12.75" customHeight="1" x14ac:dyDescent="0.25">
      <c r="D912" s="3"/>
      <c r="E912" s="3"/>
      <c r="F912" s="3"/>
    </row>
    <row r="913" spans="4:6" ht="12.75" customHeight="1" x14ac:dyDescent="0.25">
      <c r="D913" s="3"/>
      <c r="E913" s="3"/>
      <c r="F913" s="3"/>
    </row>
    <row r="914" spans="4:6" ht="12.75" customHeight="1" x14ac:dyDescent="0.25">
      <c r="D914" s="3"/>
      <c r="E914" s="3"/>
      <c r="F914" s="3"/>
    </row>
    <row r="915" spans="4:6" ht="12.75" customHeight="1" x14ac:dyDescent="0.25">
      <c r="D915" s="3"/>
      <c r="E915" s="3"/>
      <c r="F915" s="3"/>
    </row>
    <row r="916" spans="4:6" ht="12.75" customHeight="1" x14ac:dyDescent="0.25">
      <c r="D916" s="3"/>
      <c r="E916" s="3"/>
      <c r="F916" s="3"/>
    </row>
    <row r="917" spans="4:6" ht="12.75" customHeight="1" x14ac:dyDescent="0.25">
      <c r="D917" s="3"/>
      <c r="E917" s="3"/>
      <c r="F917" s="3"/>
    </row>
    <row r="918" spans="4:6" ht="12.75" customHeight="1" x14ac:dyDescent="0.25">
      <c r="D918" s="3"/>
      <c r="E918" s="3"/>
      <c r="F918" s="3"/>
    </row>
    <row r="919" spans="4:6" ht="12.75" customHeight="1" x14ac:dyDescent="0.25">
      <c r="D919" s="3"/>
      <c r="E919" s="3"/>
      <c r="F919" s="3"/>
    </row>
    <row r="920" spans="4:6" ht="12.75" customHeight="1" x14ac:dyDescent="0.25">
      <c r="D920" s="3"/>
      <c r="E920" s="3"/>
      <c r="F920" s="3"/>
    </row>
    <row r="921" spans="4:6" ht="12.75" customHeight="1" x14ac:dyDescent="0.25">
      <c r="D921" s="3"/>
      <c r="E921" s="3"/>
      <c r="F921" s="3"/>
    </row>
    <row r="922" spans="4:6" ht="12.75" customHeight="1" x14ac:dyDescent="0.25">
      <c r="D922" s="3"/>
      <c r="E922" s="3"/>
      <c r="F922" s="3"/>
    </row>
    <row r="923" spans="4:6" ht="12.75" customHeight="1" x14ac:dyDescent="0.25">
      <c r="D923" s="3"/>
      <c r="E923" s="3"/>
      <c r="F923" s="3"/>
    </row>
    <row r="924" spans="4:6" ht="12.75" customHeight="1" x14ac:dyDescent="0.25">
      <c r="D924" s="3"/>
      <c r="E924" s="3"/>
      <c r="F924" s="3"/>
    </row>
    <row r="925" spans="4:6" ht="12.75" customHeight="1" x14ac:dyDescent="0.25">
      <c r="D925" s="3"/>
      <c r="E925" s="3"/>
      <c r="F925" s="3"/>
    </row>
    <row r="926" spans="4:6" ht="12.75" customHeight="1" x14ac:dyDescent="0.25">
      <c r="D926" s="3"/>
      <c r="E926" s="3"/>
      <c r="F926" s="3"/>
    </row>
    <row r="927" spans="4:6" ht="12.75" customHeight="1" x14ac:dyDescent="0.25">
      <c r="D927" s="3"/>
      <c r="E927" s="3"/>
      <c r="F927" s="3"/>
    </row>
    <row r="928" spans="4:6" ht="12.75" customHeight="1" x14ac:dyDescent="0.25">
      <c r="D928" s="3"/>
      <c r="E928" s="3"/>
      <c r="F928" s="3"/>
    </row>
    <row r="929" spans="4:6" ht="12.75" customHeight="1" x14ac:dyDescent="0.25">
      <c r="D929" s="3"/>
      <c r="E929" s="3"/>
      <c r="F929" s="3"/>
    </row>
    <row r="930" spans="4:6" ht="12.75" customHeight="1" x14ac:dyDescent="0.25">
      <c r="D930" s="3"/>
      <c r="E930" s="3"/>
      <c r="F930" s="3"/>
    </row>
    <row r="931" spans="4:6" ht="12.75" customHeight="1" x14ac:dyDescent="0.25">
      <c r="D931" s="3"/>
      <c r="E931" s="3"/>
      <c r="F931" s="3"/>
    </row>
    <row r="932" spans="4:6" ht="12.75" customHeight="1" x14ac:dyDescent="0.25">
      <c r="D932" s="3"/>
      <c r="E932" s="3"/>
      <c r="F932" s="3"/>
    </row>
    <row r="933" spans="4:6" ht="12.75" customHeight="1" x14ac:dyDescent="0.25">
      <c r="D933" s="3"/>
      <c r="E933" s="3"/>
      <c r="F933" s="3"/>
    </row>
    <row r="934" spans="4:6" ht="12.75" customHeight="1" x14ac:dyDescent="0.25">
      <c r="D934" s="3"/>
      <c r="E934" s="3"/>
      <c r="F934" s="3"/>
    </row>
    <row r="935" spans="4:6" ht="12.75" customHeight="1" x14ac:dyDescent="0.25">
      <c r="D935" s="3"/>
      <c r="E935" s="3"/>
      <c r="F935" s="3"/>
    </row>
    <row r="936" spans="4:6" ht="12.75" customHeight="1" x14ac:dyDescent="0.25">
      <c r="D936" s="3"/>
      <c r="E936" s="3"/>
      <c r="F936" s="3"/>
    </row>
    <row r="937" spans="4:6" ht="12.75" customHeight="1" x14ac:dyDescent="0.25">
      <c r="D937" s="3"/>
      <c r="E937" s="3"/>
      <c r="F937" s="3"/>
    </row>
    <row r="938" spans="4:6" ht="12.75" customHeight="1" x14ac:dyDescent="0.25">
      <c r="D938" s="3"/>
      <c r="E938" s="3"/>
      <c r="F938" s="3"/>
    </row>
    <row r="939" spans="4:6" ht="12.75" customHeight="1" x14ac:dyDescent="0.25">
      <c r="D939" s="3"/>
      <c r="E939" s="3"/>
      <c r="F939" s="3"/>
    </row>
    <row r="940" spans="4:6" ht="12.75" customHeight="1" x14ac:dyDescent="0.25">
      <c r="D940" s="3"/>
      <c r="E940" s="3"/>
      <c r="F940" s="3"/>
    </row>
    <row r="941" spans="4:6" ht="12.75" customHeight="1" x14ac:dyDescent="0.25">
      <c r="D941" s="3"/>
      <c r="E941" s="3"/>
      <c r="F941" s="3"/>
    </row>
    <row r="942" spans="4:6" ht="12.75" customHeight="1" x14ac:dyDescent="0.25">
      <c r="D942" s="3"/>
      <c r="E942" s="3"/>
      <c r="F942" s="3"/>
    </row>
    <row r="943" spans="4:6" ht="12.75" customHeight="1" x14ac:dyDescent="0.25">
      <c r="D943" s="3"/>
      <c r="E943" s="3"/>
      <c r="F943" s="3"/>
    </row>
    <row r="944" spans="4:6" ht="12.75" customHeight="1" x14ac:dyDescent="0.25">
      <c r="D944" s="3"/>
      <c r="E944" s="3"/>
      <c r="F944" s="3"/>
    </row>
    <row r="945" spans="4:6" ht="12.75" customHeight="1" x14ac:dyDescent="0.25">
      <c r="D945" s="3"/>
      <c r="E945" s="3"/>
      <c r="F945" s="3"/>
    </row>
    <row r="946" spans="4:6" ht="12.75" customHeight="1" x14ac:dyDescent="0.25">
      <c r="D946" s="3"/>
      <c r="E946" s="3"/>
      <c r="F946" s="3"/>
    </row>
    <row r="947" spans="4:6" ht="12.75" customHeight="1" x14ac:dyDescent="0.25">
      <c r="D947" s="3"/>
      <c r="E947" s="3"/>
      <c r="F947" s="3"/>
    </row>
    <row r="948" spans="4:6" ht="12.75" customHeight="1" x14ac:dyDescent="0.25">
      <c r="D948" s="3"/>
      <c r="E948" s="3"/>
      <c r="F948" s="3"/>
    </row>
    <row r="949" spans="4:6" ht="12.75" customHeight="1" x14ac:dyDescent="0.25">
      <c r="D949" s="3"/>
      <c r="E949" s="3"/>
      <c r="F949" s="3"/>
    </row>
    <row r="950" spans="4:6" ht="12.75" customHeight="1" x14ac:dyDescent="0.25">
      <c r="D950" s="3"/>
      <c r="E950" s="3"/>
      <c r="F950" s="3"/>
    </row>
    <row r="951" spans="4:6" ht="12.75" customHeight="1" x14ac:dyDescent="0.25">
      <c r="D951" s="3"/>
      <c r="E951" s="3"/>
      <c r="F951" s="3"/>
    </row>
    <row r="952" spans="4:6" ht="12.75" customHeight="1" x14ac:dyDescent="0.25">
      <c r="D952" s="3"/>
      <c r="E952" s="3"/>
      <c r="F952" s="3"/>
    </row>
    <row r="953" spans="4:6" ht="12.75" customHeight="1" x14ac:dyDescent="0.25">
      <c r="D953" s="3"/>
      <c r="E953" s="3"/>
      <c r="F953" s="3"/>
    </row>
    <row r="954" spans="4:6" ht="12.75" customHeight="1" x14ac:dyDescent="0.25">
      <c r="D954" s="3"/>
      <c r="E954" s="3"/>
      <c r="F954" s="3"/>
    </row>
    <row r="955" spans="4:6" ht="12.75" customHeight="1" x14ac:dyDescent="0.25">
      <c r="D955" s="3"/>
      <c r="E955" s="3"/>
      <c r="F955" s="3"/>
    </row>
    <row r="956" spans="4:6" ht="12.75" customHeight="1" x14ac:dyDescent="0.25">
      <c r="D956" s="3"/>
      <c r="E956" s="3"/>
      <c r="F956" s="3"/>
    </row>
    <row r="957" spans="4:6" ht="12.75" customHeight="1" x14ac:dyDescent="0.25">
      <c r="D957" s="3"/>
      <c r="E957" s="3"/>
      <c r="F957" s="3"/>
    </row>
    <row r="958" spans="4:6" ht="12.75" customHeight="1" x14ac:dyDescent="0.25">
      <c r="D958" s="3"/>
      <c r="E958" s="3"/>
      <c r="F958" s="3"/>
    </row>
    <row r="959" spans="4:6" ht="12.75" customHeight="1" x14ac:dyDescent="0.25">
      <c r="D959" s="3"/>
      <c r="E959" s="3"/>
      <c r="F959" s="3"/>
    </row>
    <row r="960" spans="4:6" ht="12.75" customHeight="1" x14ac:dyDescent="0.25">
      <c r="D960" s="3"/>
      <c r="E960" s="3"/>
      <c r="F960" s="3"/>
    </row>
    <row r="961" spans="4:6" ht="12.75" customHeight="1" x14ac:dyDescent="0.25">
      <c r="D961" s="3"/>
      <c r="E961" s="3"/>
      <c r="F961" s="3"/>
    </row>
    <row r="962" spans="4:6" ht="12.75" customHeight="1" x14ac:dyDescent="0.25">
      <c r="D962" s="3"/>
      <c r="E962" s="3"/>
      <c r="F962" s="3"/>
    </row>
    <row r="963" spans="4:6" ht="12.75" customHeight="1" x14ac:dyDescent="0.25">
      <c r="D963" s="3"/>
      <c r="E963" s="3"/>
      <c r="F963" s="3"/>
    </row>
    <row r="964" spans="4:6" ht="12.75" customHeight="1" x14ac:dyDescent="0.25">
      <c r="D964" s="3"/>
      <c r="E964" s="3"/>
      <c r="F964" s="3"/>
    </row>
    <row r="965" spans="4:6" ht="12.75" customHeight="1" x14ac:dyDescent="0.25">
      <c r="D965" s="3"/>
      <c r="E965" s="3"/>
      <c r="F965" s="3"/>
    </row>
    <row r="966" spans="4:6" ht="12.75" customHeight="1" x14ac:dyDescent="0.25">
      <c r="D966" s="3"/>
      <c r="E966" s="3"/>
      <c r="F966" s="3"/>
    </row>
    <row r="967" spans="4:6" ht="12.75" customHeight="1" x14ac:dyDescent="0.25">
      <c r="D967" s="3"/>
      <c r="E967" s="3"/>
      <c r="F967" s="3"/>
    </row>
    <row r="968" spans="4:6" ht="12.75" customHeight="1" x14ac:dyDescent="0.25">
      <c r="D968" s="3"/>
      <c r="E968" s="3"/>
      <c r="F968" s="3"/>
    </row>
    <row r="969" spans="4:6" ht="12.75" customHeight="1" x14ac:dyDescent="0.25">
      <c r="D969" s="3"/>
      <c r="E969" s="3"/>
      <c r="F969" s="3"/>
    </row>
    <row r="970" spans="4:6" ht="12.75" customHeight="1" x14ac:dyDescent="0.25">
      <c r="D970" s="3"/>
      <c r="E970" s="3"/>
      <c r="F970" s="3"/>
    </row>
    <row r="971" spans="4:6" ht="12.75" customHeight="1" x14ac:dyDescent="0.25">
      <c r="D971" s="3"/>
      <c r="E971" s="3"/>
      <c r="F971" s="3"/>
    </row>
    <row r="972" spans="4:6" ht="12.75" customHeight="1" x14ac:dyDescent="0.25">
      <c r="D972" s="3"/>
      <c r="E972" s="3"/>
      <c r="F972" s="3"/>
    </row>
    <row r="973" spans="4:6" ht="12.75" customHeight="1" x14ac:dyDescent="0.25">
      <c r="D973" s="3"/>
      <c r="E973" s="3"/>
      <c r="F973" s="3"/>
    </row>
    <row r="974" spans="4:6" ht="12.75" customHeight="1" x14ac:dyDescent="0.25">
      <c r="D974" s="3"/>
      <c r="E974" s="3"/>
      <c r="F974" s="3"/>
    </row>
    <row r="975" spans="4:6" ht="12.75" customHeight="1" x14ac:dyDescent="0.25">
      <c r="D975" s="3"/>
      <c r="E975" s="3"/>
      <c r="F975" s="3"/>
    </row>
    <row r="976" spans="4:6" ht="12.75" customHeight="1" x14ac:dyDescent="0.25">
      <c r="D976" s="3"/>
      <c r="E976" s="3"/>
      <c r="F976" s="3"/>
    </row>
    <row r="977" spans="4:6" ht="12.75" customHeight="1" x14ac:dyDescent="0.25">
      <c r="D977" s="3"/>
      <c r="E977" s="3"/>
      <c r="F977" s="3"/>
    </row>
    <row r="978" spans="4:6" ht="12.75" customHeight="1" x14ac:dyDescent="0.25">
      <c r="D978" s="3"/>
      <c r="E978" s="3"/>
      <c r="F978" s="3"/>
    </row>
    <row r="979" spans="4:6" ht="12.75" customHeight="1" x14ac:dyDescent="0.25">
      <c r="D979" s="3"/>
      <c r="E979" s="3"/>
      <c r="F979" s="3"/>
    </row>
    <row r="980" spans="4:6" ht="12.75" customHeight="1" x14ac:dyDescent="0.25">
      <c r="D980" s="3"/>
      <c r="E980" s="3"/>
      <c r="F980" s="3"/>
    </row>
    <row r="981" spans="4:6" ht="12.75" customHeight="1" x14ac:dyDescent="0.25">
      <c r="D981" s="3"/>
      <c r="E981" s="3"/>
      <c r="F981" s="3"/>
    </row>
    <row r="982" spans="4:6" ht="12.75" customHeight="1" x14ac:dyDescent="0.25">
      <c r="D982" s="3"/>
      <c r="E982" s="3"/>
      <c r="F982" s="3"/>
    </row>
    <row r="983" spans="4:6" ht="12.75" customHeight="1" x14ac:dyDescent="0.25">
      <c r="D983" s="3"/>
      <c r="E983" s="3"/>
      <c r="F983" s="3"/>
    </row>
    <row r="984" spans="4:6" ht="12.75" customHeight="1" x14ac:dyDescent="0.25">
      <c r="D984" s="3"/>
      <c r="E984" s="3"/>
      <c r="F984" s="3"/>
    </row>
    <row r="985" spans="4:6" ht="12.75" customHeight="1" x14ac:dyDescent="0.25">
      <c r="D985" s="3"/>
      <c r="E985" s="3"/>
      <c r="F985" s="3"/>
    </row>
    <row r="986" spans="4:6" ht="12.75" customHeight="1" x14ac:dyDescent="0.25">
      <c r="D986" s="3"/>
      <c r="E986" s="3"/>
      <c r="F986" s="3"/>
    </row>
    <row r="987" spans="4:6" ht="12.75" customHeight="1" x14ac:dyDescent="0.25">
      <c r="D987" s="3"/>
      <c r="E987" s="3"/>
      <c r="F987" s="3"/>
    </row>
    <row r="988" spans="4:6" ht="12.75" customHeight="1" x14ac:dyDescent="0.25">
      <c r="D988" s="3"/>
      <c r="E988" s="3"/>
      <c r="F988" s="3"/>
    </row>
    <row r="989" spans="4:6" ht="12.75" customHeight="1" x14ac:dyDescent="0.25">
      <c r="D989" s="3"/>
      <c r="E989" s="3"/>
      <c r="F989" s="3"/>
    </row>
    <row r="990" spans="4:6" ht="12.75" customHeight="1" x14ac:dyDescent="0.25">
      <c r="D990" s="3"/>
      <c r="E990" s="3"/>
      <c r="F990" s="3"/>
    </row>
    <row r="991" spans="4:6" ht="12.75" customHeight="1" x14ac:dyDescent="0.25">
      <c r="D991" s="3"/>
      <c r="E991" s="3"/>
      <c r="F991" s="3"/>
    </row>
    <row r="992" spans="4:6" ht="12.75" customHeight="1" x14ac:dyDescent="0.25">
      <c r="D992" s="3"/>
      <c r="E992" s="3"/>
      <c r="F992" s="3"/>
    </row>
    <row r="993" spans="4:6" ht="12.75" customHeight="1" x14ac:dyDescent="0.25">
      <c r="D993" s="3"/>
      <c r="E993" s="3"/>
      <c r="F993" s="3"/>
    </row>
    <row r="994" spans="4:6" ht="12.75" customHeight="1" x14ac:dyDescent="0.25">
      <c r="D994" s="3"/>
      <c r="E994" s="3"/>
      <c r="F994" s="3"/>
    </row>
    <row r="995" spans="4:6" ht="12.75" customHeight="1" x14ac:dyDescent="0.25">
      <c r="D995" s="3"/>
      <c r="E995" s="3"/>
      <c r="F995" s="3"/>
    </row>
    <row r="996" spans="4:6" ht="12.75" customHeight="1" x14ac:dyDescent="0.25">
      <c r="D996" s="3"/>
      <c r="E996" s="3"/>
      <c r="F996" s="3"/>
    </row>
    <row r="997" spans="4:6" ht="12.75" customHeight="1" x14ac:dyDescent="0.25">
      <c r="D997" s="3"/>
      <c r="E997" s="3"/>
      <c r="F997" s="3"/>
    </row>
    <row r="998" spans="4:6" ht="12.75" customHeight="1" x14ac:dyDescent="0.25">
      <c r="D998" s="3"/>
      <c r="E998" s="3"/>
      <c r="F998" s="3"/>
    </row>
    <row r="999" spans="4:6" ht="12.75" customHeight="1" x14ac:dyDescent="0.25">
      <c r="D999" s="3"/>
      <c r="E999" s="3"/>
      <c r="F999" s="3"/>
    </row>
    <row r="1000" spans="4:6" ht="12.75" customHeight="1" x14ac:dyDescent="0.25">
      <c r="D1000" s="3"/>
      <c r="E1000" s="3"/>
      <c r="F1000" s="3"/>
    </row>
  </sheetData>
  <mergeCells count="4">
    <mergeCell ref="I3:M5"/>
    <mergeCell ref="I6:M8"/>
    <mergeCell ref="I10:M12"/>
    <mergeCell ref="I13:M15"/>
  </mergeCells>
  <conditionalFormatting sqref="G3:G15 G17:G1000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G3:G15 G17:G1000">
    <cfRule type="cellIs" dxfId="7" priority="2" stopIfTrue="1" operator="equal">
      <formula>"error"</formula>
    </cfRule>
  </conditionalFormatting>
  <conditionalFormatting sqref="G3:G15 G17:G1000">
    <cfRule type="cellIs" dxfId="6" priority="3" stopIfTrue="1" operator="equal">
      <formula>"OK"</formula>
    </cfRule>
  </conditionalFormatting>
  <conditionalFormatting sqref="I13">
    <cfRule type="colorScale" priority="4">
      <colorScale>
        <cfvo type="formula" val="0.19"/>
        <cfvo type="formula" val="0.2"/>
        <cfvo type="formula" val="0.5"/>
        <color rgb="FF92D050"/>
        <color rgb="FFFFEB84"/>
        <color rgb="FFD99594"/>
      </colorScale>
    </cfRule>
  </conditionalFormatting>
  <conditionalFormatting sqref="I6:M8">
    <cfRule type="colorScale" priority="5">
      <colorScale>
        <cfvo type="formula" val="0.19"/>
        <cfvo type="formula" val="0.2"/>
        <cfvo type="formula" val="0.5"/>
        <color rgb="FF92D050"/>
        <color rgb="FFFFEB84"/>
        <color rgb="FFD99594"/>
      </colorScale>
    </cfRule>
  </conditionalFormatting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00"/>
  <sheetViews>
    <sheetView workbookViewId="0"/>
  </sheetViews>
  <sheetFormatPr baseColWidth="10" defaultColWidth="12.6328125" defaultRowHeight="15" customHeight="1" x14ac:dyDescent="0.25"/>
  <cols>
    <col min="1" max="1" width="10.6328125" customWidth="1"/>
    <col min="2" max="2" width="15.36328125" customWidth="1"/>
    <col min="3" max="3" width="12.26953125" customWidth="1"/>
    <col min="4" max="4" width="18" customWidth="1"/>
    <col min="5" max="5" width="3.7265625" hidden="1" customWidth="1"/>
    <col min="6" max="6" width="3.90625" hidden="1" customWidth="1"/>
    <col min="7" max="7" width="20.08984375" customWidth="1"/>
    <col min="8" max="8" width="4" customWidth="1"/>
    <col min="9" max="26" width="10.6328125" customWidth="1"/>
  </cols>
  <sheetData>
    <row r="1" spans="2:13" ht="12.75" customHeight="1" x14ac:dyDescent="0.25">
      <c r="D1" s="3"/>
      <c r="E1" s="3"/>
      <c r="F1" s="3"/>
    </row>
    <row r="2" spans="2:13" ht="12.75" customHeight="1" x14ac:dyDescent="0.25">
      <c r="D2" s="3"/>
      <c r="E2" s="3"/>
      <c r="F2" s="3"/>
    </row>
    <row r="3" spans="2:13" ht="20.25" customHeight="1" x14ac:dyDescent="0.4">
      <c r="B3" s="30" t="s">
        <v>36</v>
      </c>
      <c r="C3" s="21" t="s">
        <v>23</v>
      </c>
      <c r="D3" s="21" t="s">
        <v>24</v>
      </c>
      <c r="E3" s="21"/>
      <c r="F3" s="21"/>
      <c r="G3" s="21"/>
      <c r="H3" s="3"/>
      <c r="I3" s="48" t="s">
        <v>25</v>
      </c>
      <c r="J3" s="49"/>
      <c r="K3" s="49"/>
      <c r="L3" s="49"/>
      <c r="M3" s="50"/>
    </row>
    <row r="4" spans="2:13" ht="20.25" customHeight="1" x14ac:dyDescent="0.4">
      <c r="B4" s="21">
        <v>1</v>
      </c>
      <c r="C4" s="23">
        <v>10</v>
      </c>
      <c r="D4" s="23">
        <v>9</v>
      </c>
      <c r="E4" s="21">
        <f>C4-TOTAL!G4</f>
        <v>0</v>
      </c>
      <c r="F4" s="21">
        <f>D4-TOTAL!H4</f>
        <v>0</v>
      </c>
      <c r="G4" s="21" t="str">
        <f t="shared" ref="G4:G14" si="0">IF(AND(E4=0,F4=0),IF(B4="T","OKPELEA","OK"),IF(B4="T","ERRORPELEA","ERROR"))</f>
        <v>OK</v>
      </c>
      <c r="H4" s="3"/>
      <c r="I4" s="51"/>
      <c r="J4" s="52"/>
      <c r="K4" s="52"/>
      <c r="L4" s="52"/>
      <c r="M4" s="53"/>
    </row>
    <row r="5" spans="2:13" ht="20.25" customHeight="1" x14ac:dyDescent="0.4">
      <c r="B5" s="21">
        <v>2</v>
      </c>
      <c r="C5" s="21">
        <v>10</v>
      </c>
      <c r="D5" s="21">
        <v>9</v>
      </c>
      <c r="E5" s="21">
        <f>C5-TOTAL!G5</f>
        <v>0</v>
      </c>
      <c r="F5" s="21">
        <f>D5-TOTAL!H5</f>
        <v>0</v>
      </c>
      <c r="G5" s="21" t="str">
        <f t="shared" si="0"/>
        <v>OK</v>
      </c>
      <c r="H5" s="3"/>
      <c r="I5" s="54"/>
      <c r="J5" s="55"/>
      <c r="K5" s="55"/>
      <c r="L5" s="55"/>
      <c r="M5" s="56"/>
    </row>
    <row r="6" spans="2:13" ht="20.25" customHeight="1" x14ac:dyDescent="0.4">
      <c r="B6" s="21">
        <v>3</v>
      </c>
      <c r="C6" s="21">
        <v>10</v>
      </c>
      <c r="D6" s="21">
        <v>9</v>
      </c>
      <c r="E6" s="21">
        <f>C6-TOTAL!G6</f>
        <v>0</v>
      </c>
      <c r="F6" s="21">
        <f>D6-TOTAL!H6</f>
        <v>0</v>
      </c>
      <c r="G6" s="21" t="str">
        <f t="shared" si="0"/>
        <v>OK</v>
      </c>
      <c r="H6" s="3"/>
      <c r="I6" s="57">
        <f>COUNTIF(G4:G13,"ERROR")*1/10</f>
        <v>0</v>
      </c>
      <c r="J6" s="49"/>
      <c r="K6" s="49"/>
      <c r="L6" s="49"/>
      <c r="M6" s="50"/>
    </row>
    <row r="7" spans="2:13" ht="20.25" customHeight="1" x14ac:dyDescent="0.4">
      <c r="B7" s="21">
        <v>4</v>
      </c>
      <c r="C7" s="21">
        <v>9</v>
      </c>
      <c r="D7" s="21">
        <v>10</v>
      </c>
      <c r="E7" s="21">
        <f>C7-TOTAL!G7</f>
        <v>0</v>
      </c>
      <c r="F7" s="21">
        <f>D7-TOTAL!H7</f>
        <v>0</v>
      </c>
      <c r="G7" s="21" t="str">
        <f t="shared" si="0"/>
        <v>OK</v>
      </c>
      <c r="H7" s="3"/>
      <c r="I7" s="51"/>
      <c r="J7" s="52"/>
      <c r="K7" s="52"/>
      <c r="L7" s="52"/>
      <c r="M7" s="53"/>
    </row>
    <row r="8" spans="2:13" ht="20.25" customHeight="1" x14ac:dyDescent="0.4">
      <c r="B8" s="21">
        <v>5</v>
      </c>
      <c r="C8" s="21">
        <v>9</v>
      </c>
      <c r="D8" s="21">
        <v>10</v>
      </c>
      <c r="E8" s="21">
        <f>C8-TOTAL!G8</f>
        <v>0</v>
      </c>
      <c r="F8" s="21">
        <f>D8-TOTAL!H8</f>
        <v>0</v>
      </c>
      <c r="G8" s="21" t="str">
        <f t="shared" si="0"/>
        <v>OK</v>
      </c>
      <c r="H8" s="3"/>
      <c r="I8" s="54"/>
      <c r="J8" s="55"/>
      <c r="K8" s="55"/>
      <c r="L8" s="55"/>
      <c r="M8" s="56"/>
    </row>
    <row r="9" spans="2:13" ht="20.25" customHeight="1" x14ac:dyDescent="0.4">
      <c r="B9" s="21">
        <v>6</v>
      </c>
      <c r="C9" s="23">
        <v>10</v>
      </c>
      <c r="D9" s="23">
        <v>9</v>
      </c>
      <c r="E9" s="21">
        <f>C9-TOTAL!G9</f>
        <v>0</v>
      </c>
      <c r="F9" s="21">
        <f>D9-TOTAL!H9</f>
        <v>0</v>
      </c>
      <c r="G9" s="21" t="str">
        <f t="shared" si="0"/>
        <v>OK</v>
      </c>
      <c r="H9" s="3"/>
    </row>
    <row r="10" spans="2:13" ht="20.25" customHeight="1" x14ac:dyDescent="0.4">
      <c r="B10" s="21">
        <v>7</v>
      </c>
      <c r="C10" s="23">
        <v>10</v>
      </c>
      <c r="D10" s="21">
        <v>9</v>
      </c>
      <c r="E10" s="21">
        <f>C10-TOTAL!G10</f>
        <v>0</v>
      </c>
      <c r="F10" s="21">
        <f>D10-TOTAL!H10</f>
        <v>0</v>
      </c>
      <c r="G10" s="21" t="str">
        <f t="shared" si="0"/>
        <v>OK</v>
      </c>
      <c r="H10" s="3"/>
      <c r="I10" s="48" t="s">
        <v>31</v>
      </c>
      <c r="J10" s="49"/>
      <c r="K10" s="49"/>
      <c r="L10" s="49"/>
      <c r="M10" s="50"/>
    </row>
    <row r="11" spans="2:13" ht="20.25" customHeight="1" x14ac:dyDescent="0.4">
      <c r="B11" s="21">
        <v>8</v>
      </c>
      <c r="C11" s="23">
        <v>10</v>
      </c>
      <c r="D11" s="21">
        <v>9</v>
      </c>
      <c r="E11" s="21">
        <f>C11-TOTAL!G11</f>
        <v>0</v>
      </c>
      <c r="F11" s="21">
        <f>D11-TOTAL!H11</f>
        <v>0</v>
      </c>
      <c r="G11" s="21" t="str">
        <f t="shared" si="0"/>
        <v>OK</v>
      </c>
      <c r="H11" s="3"/>
      <c r="I11" s="51"/>
      <c r="J11" s="52"/>
      <c r="K11" s="52"/>
      <c r="L11" s="52"/>
      <c r="M11" s="53"/>
    </row>
    <row r="12" spans="2:13" ht="20.25" customHeight="1" x14ac:dyDescent="0.4">
      <c r="B12" s="21">
        <v>9</v>
      </c>
      <c r="C12" s="23">
        <v>10</v>
      </c>
      <c r="D12" s="21">
        <v>9</v>
      </c>
      <c r="E12" s="21">
        <f>C12-TOTAL!G12</f>
        <v>0</v>
      </c>
      <c r="F12" s="21">
        <f>D12-TOTAL!H12</f>
        <v>0</v>
      </c>
      <c r="G12" s="21" t="str">
        <f t="shared" si="0"/>
        <v>OK</v>
      </c>
      <c r="H12" s="3"/>
      <c r="I12" s="54"/>
      <c r="J12" s="55"/>
      <c r="K12" s="55"/>
      <c r="L12" s="55"/>
      <c r="M12" s="56"/>
    </row>
    <row r="13" spans="2:13" ht="20.25" customHeight="1" x14ac:dyDescent="0.4">
      <c r="B13" s="21">
        <v>10</v>
      </c>
      <c r="C13" s="23">
        <v>10</v>
      </c>
      <c r="D13" s="23">
        <v>9</v>
      </c>
      <c r="E13" s="21">
        <f>C13-TOTAL!G13</f>
        <v>0</v>
      </c>
      <c r="F13" s="21">
        <f>D13-TOTAL!H13</f>
        <v>0</v>
      </c>
      <c r="G13" s="21" t="str">
        <f t="shared" si="0"/>
        <v>OK</v>
      </c>
      <c r="H13" s="3"/>
      <c r="I13" s="58">
        <v>0.1</v>
      </c>
      <c r="J13" s="49"/>
      <c r="K13" s="49"/>
      <c r="L13" s="49"/>
      <c r="M13" s="50"/>
    </row>
    <row r="14" spans="2:13" ht="20.25" customHeight="1" x14ac:dyDescent="0.4">
      <c r="B14" s="21" t="s">
        <v>3</v>
      </c>
      <c r="C14" s="21">
        <f t="shared" ref="C14:D14" si="1">SUM(C4:C13)</f>
        <v>98</v>
      </c>
      <c r="D14" s="21">
        <f t="shared" si="1"/>
        <v>92</v>
      </c>
      <c r="E14" s="21">
        <f>C14-TOTAL!G14</f>
        <v>0</v>
      </c>
      <c r="F14" s="21">
        <f>D14-TOTAL!H14</f>
        <v>0</v>
      </c>
      <c r="G14" s="21" t="str">
        <f t="shared" si="0"/>
        <v>OKPELEA</v>
      </c>
      <c r="H14" s="3"/>
      <c r="I14" s="51"/>
      <c r="J14" s="52"/>
      <c r="K14" s="52"/>
      <c r="L14" s="52"/>
      <c r="M14" s="53"/>
    </row>
    <row r="15" spans="2:13" ht="20.25" customHeight="1" x14ac:dyDescent="0.4">
      <c r="B15" s="29"/>
      <c r="C15" s="29"/>
      <c r="D15" s="21" t="s">
        <v>27</v>
      </c>
      <c r="E15" s="21"/>
      <c r="F15" s="21"/>
      <c r="G15" s="21">
        <f>COUNTIF(G4:G13,"error")</f>
        <v>0</v>
      </c>
      <c r="I15" s="54"/>
      <c r="J15" s="55"/>
      <c r="K15" s="55"/>
      <c r="L15" s="55"/>
      <c r="M15" s="56"/>
    </row>
    <row r="16" spans="2:13" ht="12.75" customHeight="1" x14ac:dyDescent="0.25">
      <c r="D16" s="3"/>
      <c r="E16" s="3"/>
      <c r="F16" s="3"/>
    </row>
    <row r="17" spans="4:6" ht="12.75" customHeight="1" x14ac:dyDescent="0.25">
      <c r="D17" s="3"/>
      <c r="E17" s="3"/>
      <c r="F17" s="3"/>
    </row>
    <row r="18" spans="4:6" ht="12.75" customHeight="1" x14ac:dyDescent="0.25">
      <c r="D18" s="3"/>
      <c r="E18" s="3"/>
      <c r="F18" s="3"/>
    </row>
    <row r="19" spans="4:6" ht="12.75" customHeight="1" x14ac:dyDescent="0.25">
      <c r="D19" s="3"/>
      <c r="E19" s="3"/>
      <c r="F19" s="3"/>
    </row>
    <row r="20" spans="4:6" ht="12.75" customHeight="1" x14ac:dyDescent="0.25">
      <c r="D20" s="3"/>
      <c r="E20" s="3"/>
      <c r="F20" s="3"/>
    </row>
    <row r="21" spans="4:6" ht="12.75" customHeight="1" x14ac:dyDescent="0.25">
      <c r="D21" s="3"/>
      <c r="E21" s="3"/>
      <c r="F21" s="3"/>
    </row>
    <row r="22" spans="4:6" ht="12.75" customHeight="1" x14ac:dyDescent="0.25">
      <c r="D22" s="3"/>
      <c r="E22" s="3"/>
      <c r="F22" s="3"/>
    </row>
    <row r="23" spans="4:6" ht="12.75" customHeight="1" x14ac:dyDescent="0.25">
      <c r="D23" s="3"/>
      <c r="E23" s="3"/>
      <c r="F23" s="3"/>
    </row>
    <row r="24" spans="4:6" ht="12.75" customHeight="1" x14ac:dyDescent="0.25">
      <c r="D24" s="3"/>
      <c r="E24" s="3"/>
      <c r="F24" s="3"/>
    </row>
    <row r="25" spans="4:6" ht="12.75" customHeight="1" x14ac:dyDescent="0.25">
      <c r="D25" s="3"/>
      <c r="E25" s="3"/>
      <c r="F25" s="3"/>
    </row>
    <row r="26" spans="4:6" ht="12.75" customHeight="1" x14ac:dyDescent="0.25">
      <c r="D26" s="3"/>
      <c r="E26" s="3"/>
      <c r="F26" s="3"/>
    </row>
    <row r="27" spans="4:6" ht="12.75" customHeight="1" x14ac:dyDescent="0.25">
      <c r="D27" s="3"/>
      <c r="E27" s="3"/>
      <c r="F27" s="3"/>
    </row>
    <row r="28" spans="4:6" ht="12.75" customHeight="1" x14ac:dyDescent="0.25">
      <c r="D28" s="3"/>
      <c r="E28" s="3"/>
      <c r="F28" s="3"/>
    </row>
    <row r="29" spans="4:6" ht="12.75" customHeight="1" x14ac:dyDescent="0.25">
      <c r="D29" s="3"/>
      <c r="E29" s="3"/>
      <c r="F29" s="3"/>
    </row>
    <row r="30" spans="4:6" ht="12.75" customHeight="1" x14ac:dyDescent="0.25">
      <c r="D30" s="3"/>
      <c r="E30" s="3"/>
      <c r="F30" s="3"/>
    </row>
    <row r="31" spans="4:6" ht="12.75" customHeight="1" x14ac:dyDescent="0.25">
      <c r="D31" s="3"/>
      <c r="E31" s="3"/>
      <c r="F31" s="3"/>
    </row>
    <row r="32" spans="4:6" ht="12.75" customHeight="1" x14ac:dyDescent="0.25">
      <c r="D32" s="3"/>
      <c r="E32" s="3"/>
      <c r="F32" s="3"/>
    </row>
    <row r="33" spans="4:6" ht="12.75" customHeight="1" x14ac:dyDescent="0.25">
      <c r="D33" s="3"/>
      <c r="E33" s="3"/>
      <c r="F33" s="3"/>
    </row>
    <row r="34" spans="4:6" ht="12.75" customHeight="1" x14ac:dyDescent="0.25">
      <c r="D34" s="3"/>
      <c r="E34" s="3"/>
      <c r="F34" s="3"/>
    </row>
    <row r="35" spans="4:6" ht="12.75" customHeight="1" x14ac:dyDescent="0.25">
      <c r="D35" s="3"/>
      <c r="E35" s="3"/>
      <c r="F35" s="3"/>
    </row>
    <row r="36" spans="4:6" ht="12.75" customHeight="1" x14ac:dyDescent="0.25">
      <c r="D36" s="3"/>
      <c r="E36" s="3"/>
      <c r="F36" s="3"/>
    </row>
    <row r="37" spans="4:6" ht="12.75" customHeight="1" x14ac:dyDescent="0.25">
      <c r="D37" s="3"/>
      <c r="E37" s="3"/>
      <c r="F37" s="3"/>
    </row>
    <row r="38" spans="4:6" ht="12.75" customHeight="1" x14ac:dyDescent="0.25">
      <c r="D38" s="3"/>
      <c r="E38" s="3"/>
      <c r="F38" s="3"/>
    </row>
    <row r="39" spans="4:6" ht="12.75" customHeight="1" x14ac:dyDescent="0.25">
      <c r="D39" s="3"/>
      <c r="E39" s="3"/>
      <c r="F39" s="3"/>
    </row>
    <row r="40" spans="4:6" ht="12.75" customHeight="1" x14ac:dyDescent="0.25">
      <c r="D40" s="3"/>
      <c r="E40" s="3"/>
      <c r="F40" s="3"/>
    </row>
    <row r="41" spans="4:6" ht="12.75" customHeight="1" x14ac:dyDescent="0.25">
      <c r="D41" s="3"/>
      <c r="E41" s="3"/>
      <c r="F41" s="3"/>
    </row>
    <row r="42" spans="4:6" ht="12.75" customHeight="1" x14ac:dyDescent="0.25">
      <c r="D42" s="3"/>
      <c r="E42" s="3"/>
      <c r="F42" s="3"/>
    </row>
    <row r="43" spans="4:6" ht="12.75" customHeight="1" x14ac:dyDescent="0.25">
      <c r="D43" s="3"/>
      <c r="E43" s="3"/>
      <c r="F43" s="3"/>
    </row>
    <row r="44" spans="4:6" ht="12.75" customHeight="1" x14ac:dyDescent="0.25">
      <c r="D44" s="3"/>
      <c r="E44" s="3"/>
      <c r="F44" s="3"/>
    </row>
    <row r="45" spans="4:6" ht="12.75" customHeight="1" x14ac:dyDescent="0.25">
      <c r="D45" s="3"/>
      <c r="E45" s="3"/>
      <c r="F45" s="3"/>
    </row>
    <row r="46" spans="4:6" ht="12.75" customHeight="1" x14ac:dyDescent="0.25">
      <c r="D46" s="3"/>
      <c r="E46" s="3"/>
      <c r="F46" s="3"/>
    </row>
    <row r="47" spans="4:6" ht="12.75" customHeight="1" x14ac:dyDescent="0.25">
      <c r="D47" s="3"/>
      <c r="E47" s="3"/>
      <c r="F47" s="3"/>
    </row>
    <row r="48" spans="4:6" ht="12.75" customHeight="1" x14ac:dyDescent="0.25">
      <c r="D48" s="3"/>
      <c r="E48" s="3"/>
      <c r="F48" s="3"/>
    </row>
    <row r="49" spans="4:6" ht="12.75" customHeight="1" x14ac:dyDescent="0.25">
      <c r="D49" s="3"/>
      <c r="E49" s="3"/>
      <c r="F49" s="3"/>
    </row>
    <row r="50" spans="4:6" ht="12.75" customHeight="1" x14ac:dyDescent="0.25">
      <c r="D50" s="3"/>
      <c r="E50" s="3"/>
      <c r="F50" s="3"/>
    </row>
    <row r="51" spans="4:6" ht="12.75" customHeight="1" x14ac:dyDescent="0.25">
      <c r="D51" s="3"/>
      <c r="E51" s="3"/>
      <c r="F51" s="3"/>
    </row>
    <row r="52" spans="4:6" ht="12.75" customHeight="1" x14ac:dyDescent="0.25">
      <c r="D52" s="3"/>
      <c r="E52" s="3"/>
      <c r="F52" s="3"/>
    </row>
    <row r="53" spans="4:6" ht="12.75" customHeight="1" x14ac:dyDescent="0.25">
      <c r="D53" s="3"/>
      <c r="E53" s="3"/>
      <c r="F53" s="3"/>
    </row>
    <row r="54" spans="4:6" ht="12.75" customHeight="1" x14ac:dyDescent="0.25">
      <c r="D54" s="3"/>
      <c r="E54" s="3"/>
      <c r="F54" s="3"/>
    </row>
    <row r="55" spans="4:6" ht="12.75" customHeight="1" x14ac:dyDescent="0.25">
      <c r="D55" s="3"/>
      <c r="E55" s="3"/>
      <c r="F55" s="3"/>
    </row>
    <row r="56" spans="4:6" ht="12.75" customHeight="1" x14ac:dyDescent="0.25">
      <c r="D56" s="3"/>
      <c r="E56" s="3"/>
      <c r="F56" s="3"/>
    </row>
    <row r="57" spans="4:6" ht="12.75" customHeight="1" x14ac:dyDescent="0.25">
      <c r="D57" s="3"/>
      <c r="E57" s="3"/>
      <c r="F57" s="3"/>
    </row>
    <row r="58" spans="4:6" ht="12.75" customHeight="1" x14ac:dyDescent="0.25">
      <c r="D58" s="3"/>
      <c r="E58" s="3"/>
      <c r="F58" s="3"/>
    </row>
    <row r="59" spans="4:6" ht="12.75" customHeight="1" x14ac:dyDescent="0.25">
      <c r="D59" s="3"/>
      <c r="E59" s="3"/>
      <c r="F59" s="3"/>
    </row>
    <row r="60" spans="4:6" ht="12.75" customHeight="1" x14ac:dyDescent="0.25">
      <c r="D60" s="3"/>
      <c r="E60" s="3"/>
      <c r="F60" s="3"/>
    </row>
    <row r="61" spans="4:6" ht="12.75" customHeight="1" x14ac:dyDescent="0.25">
      <c r="D61" s="3"/>
      <c r="E61" s="3"/>
      <c r="F61" s="3"/>
    </row>
    <row r="62" spans="4:6" ht="12.75" customHeight="1" x14ac:dyDescent="0.25">
      <c r="D62" s="3"/>
      <c r="E62" s="3"/>
      <c r="F62" s="3"/>
    </row>
    <row r="63" spans="4:6" ht="12.75" customHeight="1" x14ac:dyDescent="0.25">
      <c r="D63" s="3"/>
      <c r="E63" s="3"/>
      <c r="F63" s="3"/>
    </row>
    <row r="64" spans="4:6" ht="12.75" customHeight="1" x14ac:dyDescent="0.25">
      <c r="D64" s="3"/>
      <c r="E64" s="3"/>
      <c r="F64" s="3"/>
    </row>
    <row r="65" spans="4:6" ht="12.75" customHeight="1" x14ac:dyDescent="0.25">
      <c r="D65" s="3"/>
      <c r="E65" s="3"/>
      <c r="F65" s="3"/>
    </row>
    <row r="66" spans="4:6" ht="12.75" customHeight="1" x14ac:dyDescent="0.25">
      <c r="D66" s="3"/>
      <c r="E66" s="3"/>
      <c r="F66" s="3"/>
    </row>
    <row r="67" spans="4:6" ht="12.75" customHeight="1" x14ac:dyDescent="0.25">
      <c r="D67" s="3"/>
      <c r="E67" s="3"/>
      <c r="F67" s="3"/>
    </row>
    <row r="68" spans="4:6" ht="12.75" customHeight="1" x14ac:dyDescent="0.25">
      <c r="D68" s="3"/>
      <c r="E68" s="3"/>
      <c r="F68" s="3"/>
    </row>
    <row r="69" spans="4:6" ht="12.75" customHeight="1" x14ac:dyDescent="0.25">
      <c r="D69" s="3"/>
      <c r="E69" s="3"/>
      <c r="F69" s="3"/>
    </row>
    <row r="70" spans="4:6" ht="12.75" customHeight="1" x14ac:dyDescent="0.25">
      <c r="D70" s="3"/>
      <c r="E70" s="3"/>
      <c r="F70" s="3"/>
    </row>
    <row r="71" spans="4:6" ht="12.75" customHeight="1" x14ac:dyDescent="0.25">
      <c r="D71" s="3"/>
      <c r="E71" s="3"/>
      <c r="F71" s="3"/>
    </row>
    <row r="72" spans="4:6" ht="12.75" customHeight="1" x14ac:dyDescent="0.25">
      <c r="D72" s="3"/>
      <c r="E72" s="3"/>
      <c r="F72" s="3"/>
    </row>
    <row r="73" spans="4:6" ht="12.75" customHeight="1" x14ac:dyDescent="0.25">
      <c r="D73" s="3"/>
      <c r="E73" s="3"/>
      <c r="F73" s="3"/>
    </row>
    <row r="74" spans="4:6" ht="12.75" customHeight="1" x14ac:dyDescent="0.25">
      <c r="D74" s="3"/>
      <c r="E74" s="3"/>
      <c r="F74" s="3"/>
    </row>
    <row r="75" spans="4:6" ht="12.75" customHeight="1" x14ac:dyDescent="0.25">
      <c r="D75" s="3"/>
      <c r="E75" s="3"/>
      <c r="F75" s="3"/>
    </row>
    <row r="76" spans="4:6" ht="12.75" customHeight="1" x14ac:dyDescent="0.25">
      <c r="D76" s="3"/>
      <c r="E76" s="3"/>
      <c r="F76" s="3"/>
    </row>
    <row r="77" spans="4:6" ht="12.75" customHeight="1" x14ac:dyDescent="0.25">
      <c r="D77" s="3"/>
      <c r="E77" s="3"/>
      <c r="F77" s="3"/>
    </row>
    <row r="78" spans="4:6" ht="12.75" customHeight="1" x14ac:dyDescent="0.25">
      <c r="D78" s="3"/>
      <c r="E78" s="3"/>
      <c r="F78" s="3"/>
    </row>
    <row r="79" spans="4:6" ht="12.75" customHeight="1" x14ac:dyDescent="0.25">
      <c r="D79" s="3"/>
      <c r="E79" s="3"/>
      <c r="F79" s="3"/>
    </row>
    <row r="80" spans="4:6" ht="12.75" customHeight="1" x14ac:dyDescent="0.25">
      <c r="D80" s="3"/>
      <c r="E80" s="3"/>
      <c r="F80" s="3"/>
    </row>
    <row r="81" spans="4:6" ht="12.75" customHeight="1" x14ac:dyDescent="0.25">
      <c r="D81" s="3"/>
      <c r="E81" s="3"/>
      <c r="F81" s="3"/>
    </row>
    <row r="82" spans="4:6" ht="12.75" customHeight="1" x14ac:dyDescent="0.25">
      <c r="D82" s="3"/>
      <c r="E82" s="3"/>
      <c r="F82" s="3"/>
    </row>
    <row r="83" spans="4:6" ht="12.75" customHeight="1" x14ac:dyDescent="0.25">
      <c r="D83" s="3"/>
      <c r="E83" s="3"/>
      <c r="F83" s="3"/>
    </row>
    <row r="84" spans="4:6" ht="12.75" customHeight="1" x14ac:dyDescent="0.25">
      <c r="D84" s="3"/>
      <c r="E84" s="3"/>
      <c r="F84" s="3"/>
    </row>
    <row r="85" spans="4:6" ht="12.75" customHeight="1" x14ac:dyDescent="0.25">
      <c r="D85" s="3"/>
      <c r="E85" s="3"/>
      <c r="F85" s="3"/>
    </row>
    <row r="86" spans="4:6" ht="12.75" customHeight="1" x14ac:dyDescent="0.25">
      <c r="D86" s="3"/>
      <c r="E86" s="3"/>
      <c r="F86" s="3"/>
    </row>
    <row r="87" spans="4:6" ht="12.75" customHeight="1" x14ac:dyDescent="0.25">
      <c r="D87" s="3"/>
      <c r="E87" s="3"/>
      <c r="F87" s="3"/>
    </row>
    <row r="88" spans="4:6" ht="12.75" customHeight="1" x14ac:dyDescent="0.25">
      <c r="D88" s="3"/>
      <c r="E88" s="3"/>
      <c r="F88" s="3"/>
    </row>
    <row r="89" spans="4:6" ht="12.75" customHeight="1" x14ac:dyDescent="0.25">
      <c r="D89" s="3"/>
      <c r="E89" s="3"/>
      <c r="F89" s="3"/>
    </row>
    <row r="90" spans="4:6" ht="12.75" customHeight="1" x14ac:dyDescent="0.25">
      <c r="D90" s="3"/>
      <c r="E90" s="3"/>
      <c r="F90" s="3"/>
    </row>
    <row r="91" spans="4:6" ht="12.75" customHeight="1" x14ac:dyDescent="0.25">
      <c r="D91" s="3"/>
      <c r="E91" s="3"/>
      <c r="F91" s="3"/>
    </row>
    <row r="92" spans="4:6" ht="12.75" customHeight="1" x14ac:dyDescent="0.25">
      <c r="D92" s="3"/>
      <c r="E92" s="3"/>
      <c r="F92" s="3"/>
    </row>
    <row r="93" spans="4:6" ht="12.75" customHeight="1" x14ac:dyDescent="0.25">
      <c r="D93" s="3"/>
      <c r="E93" s="3"/>
      <c r="F93" s="3"/>
    </row>
    <row r="94" spans="4:6" ht="12.75" customHeight="1" x14ac:dyDescent="0.25">
      <c r="D94" s="3"/>
      <c r="E94" s="3"/>
      <c r="F94" s="3"/>
    </row>
    <row r="95" spans="4:6" ht="12.75" customHeight="1" x14ac:dyDescent="0.25">
      <c r="D95" s="3"/>
      <c r="E95" s="3"/>
      <c r="F95" s="3"/>
    </row>
    <row r="96" spans="4:6" ht="12.75" customHeight="1" x14ac:dyDescent="0.25">
      <c r="D96" s="3"/>
      <c r="E96" s="3"/>
      <c r="F96" s="3"/>
    </row>
    <row r="97" spans="4:6" ht="12.75" customHeight="1" x14ac:dyDescent="0.25">
      <c r="D97" s="3"/>
      <c r="E97" s="3"/>
      <c r="F97" s="3"/>
    </row>
    <row r="98" spans="4:6" ht="12.75" customHeight="1" x14ac:dyDescent="0.25">
      <c r="D98" s="3"/>
      <c r="E98" s="3"/>
      <c r="F98" s="3"/>
    </row>
    <row r="99" spans="4:6" ht="12.75" customHeight="1" x14ac:dyDescent="0.25">
      <c r="D99" s="3"/>
      <c r="E99" s="3"/>
      <c r="F99" s="3"/>
    </row>
    <row r="100" spans="4:6" ht="12.75" customHeight="1" x14ac:dyDescent="0.25">
      <c r="D100" s="3"/>
      <c r="E100" s="3"/>
      <c r="F100" s="3"/>
    </row>
    <row r="101" spans="4:6" ht="12.75" customHeight="1" x14ac:dyDescent="0.25">
      <c r="D101" s="3"/>
      <c r="E101" s="3"/>
      <c r="F101" s="3"/>
    </row>
    <row r="102" spans="4:6" ht="12.75" customHeight="1" x14ac:dyDescent="0.25">
      <c r="D102" s="3"/>
      <c r="E102" s="3"/>
      <c r="F102" s="3"/>
    </row>
    <row r="103" spans="4:6" ht="12.75" customHeight="1" x14ac:dyDescent="0.25">
      <c r="D103" s="3"/>
      <c r="E103" s="3"/>
      <c r="F103" s="3"/>
    </row>
    <row r="104" spans="4:6" ht="12.75" customHeight="1" x14ac:dyDescent="0.25">
      <c r="D104" s="3"/>
      <c r="E104" s="3"/>
      <c r="F104" s="3"/>
    </row>
    <row r="105" spans="4:6" ht="12.75" customHeight="1" x14ac:dyDescent="0.25">
      <c r="D105" s="3"/>
      <c r="E105" s="3"/>
      <c r="F105" s="3"/>
    </row>
    <row r="106" spans="4:6" ht="12.75" customHeight="1" x14ac:dyDescent="0.25">
      <c r="D106" s="3"/>
      <c r="E106" s="3"/>
      <c r="F106" s="3"/>
    </row>
    <row r="107" spans="4:6" ht="12.75" customHeight="1" x14ac:dyDescent="0.25">
      <c r="D107" s="3"/>
      <c r="E107" s="3"/>
      <c r="F107" s="3"/>
    </row>
    <row r="108" spans="4:6" ht="12.75" customHeight="1" x14ac:dyDescent="0.25">
      <c r="D108" s="3"/>
      <c r="E108" s="3"/>
      <c r="F108" s="3"/>
    </row>
    <row r="109" spans="4:6" ht="12.75" customHeight="1" x14ac:dyDescent="0.25">
      <c r="D109" s="3"/>
      <c r="E109" s="3"/>
      <c r="F109" s="3"/>
    </row>
    <row r="110" spans="4:6" ht="12.75" customHeight="1" x14ac:dyDescent="0.25">
      <c r="D110" s="3"/>
      <c r="E110" s="3"/>
      <c r="F110" s="3"/>
    </row>
    <row r="111" spans="4:6" ht="12.75" customHeight="1" x14ac:dyDescent="0.25">
      <c r="D111" s="3"/>
      <c r="E111" s="3"/>
      <c r="F111" s="3"/>
    </row>
    <row r="112" spans="4:6" ht="12.75" customHeight="1" x14ac:dyDescent="0.25">
      <c r="D112" s="3"/>
      <c r="E112" s="3"/>
      <c r="F112" s="3"/>
    </row>
    <row r="113" spans="4:6" ht="12.75" customHeight="1" x14ac:dyDescent="0.25">
      <c r="D113" s="3"/>
      <c r="E113" s="3"/>
      <c r="F113" s="3"/>
    </row>
    <row r="114" spans="4:6" ht="12.75" customHeight="1" x14ac:dyDescent="0.25">
      <c r="D114" s="3"/>
      <c r="E114" s="3"/>
      <c r="F114" s="3"/>
    </row>
    <row r="115" spans="4:6" ht="12.75" customHeight="1" x14ac:dyDescent="0.25">
      <c r="D115" s="3"/>
      <c r="E115" s="3"/>
      <c r="F115" s="3"/>
    </row>
    <row r="116" spans="4:6" ht="12.75" customHeight="1" x14ac:dyDescent="0.25">
      <c r="D116" s="3"/>
      <c r="E116" s="3"/>
      <c r="F116" s="3"/>
    </row>
    <row r="117" spans="4:6" ht="12.75" customHeight="1" x14ac:dyDescent="0.25">
      <c r="D117" s="3"/>
      <c r="E117" s="3"/>
      <c r="F117" s="3"/>
    </row>
    <row r="118" spans="4:6" ht="12.75" customHeight="1" x14ac:dyDescent="0.25">
      <c r="D118" s="3"/>
      <c r="E118" s="3"/>
      <c r="F118" s="3"/>
    </row>
    <row r="119" spans="4:6" ht="12.75" customHeight="1" x14ac:dyDescent="0.25">
      <c r="D119" s="3"/>
      <c r="E119" s="3"/>
      <c r="F119" s="3"/>
    </row>
    <row r="120" spans="4:6" ht="12.75" customHeight="1" x14ac:dyDescent="0.25">
      <c r="D120" s="3"/>
      <c r="E120" s="3"/>
      <c r="F120" s="3"/>
    </row>
    <row r="121" spans="4:6" ht="12.75" customHeight="1" x14ac:dyDescent="0.25">
      <c r="D121" s="3"/>
      <c r="E121" s="3"/>
      <c r="F121" s="3"/>
    </row>
    <row r="122" spans="4:6" ht="12.75" customHeight="1" x14ac:dyDescent="0.25">
      <c r="D122" s="3"/>
      <c r="E122" s="3"/>
      <c r="F122" s="3"/>
    </row>
    <row r="123" spans="4:6" ht="12.75" customHeight="1" x14ac:dyDescent="0.25">
      <c r="D123" s="3"/>
      <c r="E123" s="3"/>
      <c r="F123" s="3"/>
    </row>
    <row r="124" spans="4:6" ht="12.75" customHeight="1" x14ac:dyDescent="0.25">
      <c r="D124" s="3"/>
      <c r="E124" s="3"/>
      <c r="F124" s="3"/>
    </row>
    <row r="125" spans="4:6" ht="12.75" customHeight="1" x14ac:dyDescent="0.25">
      <c r="D125" s="3"/>
      <c r="E125" s="3"/>
      <c r="F125" s="3"/>
    </row>
    <row r="126" spans="4:6" ht="12.75" customHeight="1" x14ac:dyDescent="0.25">
      <c r="D126" s="3"/>
      <c r="E126" s="3"/>
      <c r="F126" s="3"/>
    </row>
    <row r="127" spans="4:6" ht="12.75" customHeight="1" x14ac:dyDescent="0.25">
      <c r="D127" s="3"/>
      <c r="E127" s="3"/>
      <c r="F127" s="3"/>
    </row>
    <row r="128" spans="4:6" ht="12.75" customHeight="1" x14ac:dyDescent="0.25">
      <c r="D128" s="3"/>
      <c r="E128" s="3"/>
      <c r="F128" s="3"/>
    </row>
    <row r="129" spans="4:6" ht="12.75" customHeight="1" x14ac:dyDescent="0.25">
      <c r="D129" s="3"/>
      <c r="E129" s="3"/>
      <c r="F129" s="3"/>
    </row>
    <row r="130" spans="4:6" ht="12.75" customHeight="1" x14ac:dyDescent="0.25">
      <c r="D130" s="3"/>
      <c r="E130" s="3"/>
      <c r="F130" s="3"/>
    </row>
    <row r="131" spans="4:6" ht="12.75" customHeight="1" x14ac:dyDescent="0.25">
      <c r="D131" s="3"/>
      <c r="E131" s="3"/>
      <c r="F131" s="3"/>
    </row>
    <row r="132" spans="4:6" ht="12.75" customHeight="1" x14ac:dyDescent="0.25">
      <c r="D132" s="3"/>
      <c r="E132" s="3"/>
      <c r="F132" s="3"/>
    </row>
    <row r="133" spans="4:6" ht="12.75" customHeight="1" x14ac:dyDescent="0.25">
      <c r="D133" s="3"/>
      <c r="E133" s="3"/>
      <c r="F133" s="3"/>
    </row>
    <row r="134" spans="4:6" ht="12.75" customHeight="1" x14ac:dyDescent="0.25">
      <c r="D134" s="3"/>
      <c r="E134" s="3"/>
      <c r="F134" s="3"/>
    </row>
    <row r="135" spans="4:6" ht="12.75" customHeight="1" x14ac:dyDescent="0.25">
      <c r="D135" s="3"/>
      <c r="E135" s="3"/>
      <c r="F135" s="3"/>
    </row>
    <row r="136" spans="4:6" ht="12.75" customHeight="1" x14ac:dyDescent="0.25">
      <c r="D136" s="3"/>
      <c r="E136" s="3"/>
      <c r="F136" s="3"/>
    </row>
    <row r="137" spans="4:6" ht="12.75" customHeight="1" x14ac:dyDescent="0.25">
      <c r="D137" s="3"/>
      <c r="E137" s="3"/>
      <c r="F137" s="3"/>
    </row>
    <row r="138" spans="4:6" ht="12.75" customHeight="1" x14ac:dyDescent="0.25">
      <c r="D138" s="3"/>
      <c r="E138" s="3"/>
      <c r="F138" s="3"/>
    </row>
    <row r="139" spans="4:6" ht="12.75" customHeight="1" x14ac:dyDescent="0.25">
      <c r="D139" s="3"/>
      <c r="E139" s="3"/>
      <c r="F139" s="3"/>
    </row>
    <row r="140" spans="4:6" ht="12.75" customHeight="1" x14ac:dyDescent="0.25">
      <c r="D140" s="3"/>
      <c r="E140" s="3"/>
      <c r="F140" s="3"/>
    </row>
    <row r="141" spans="4:6" ht="12.75" customHeight="1" x14ac:dyDescent="0.25">
      <c r="D141" s="3"/>
      <c r="E141" s="3"/>
      <c r="F141" s="3"/>
    </row>
    <row r="142" spans="4:6" ht="12.75" customHeight="1" x14ac:dyDescent="0.25">
      <c r="D142" s="3"/>
      <c r="E142" s="3"/>
      <c r="F142" s="3"/>
    </row>
    <row r="143" spans="4:6" ht="12.75" customHeight="1" x14ac:dyDescent="0.25">
      <c r="D143" s="3"/>
      <c r="E143" s="3"/>
      <c r="F143" s="3"/>
    </row>
    <row r="144" spans="4:6" ht="12.75" customHeight="1" x14ac:dyDescent="0.25">
      <c r="D144" s="3"/>
      <c r="E144" s="3"/>
      <c r="F144" s="3"/>
    </row>
    <row r="145" spans="4:6" ht="12.75" customHeight="1" x14ac:dyDescent="0.25">
      <c r="D145" s="3"/>
      <c r="E145" s="3"/>
      <c r="F145" s="3"/>
    </row>
    <row r="146" spans="4:6" ht="12.75" customHeight="1" x14ac:dyDescent="0.25">
      <c r="D146" s="3"/>
      <c r="E146" s="3"/>
      <c r="F146" s="3"/>
    </row>
    <row r="147" spans="4:6" ht="12.75" customHeight="1" x14ac:dyDescent="0.25">
      <c r="D147" s="3"/>
      <c r="E147" s="3"/>
      <c r="F147" s="3"/>
    </row>
    <row r="148" spans="4:6" ht="12.75" customHeight="1" x14ac:dyDescent="0.25">
      <c r="D148" s="3"/>
      <c r="E148" s="3"/>
      <c r="F148" s="3"/>
    </row>
    <row r="149" spans="4:6" ht="12.75" customHeight="1" x14ac:dyDescent="0.25">
      <c r="D149" s="3"/>
      <c r="E149" s="3"/>
      <c r="F149" s="3"/>
    </row>
    <row r="150" spans="4:6" ht="12.75" customHeight="1" x14ac:dyDescent="0.25">
      <c r="D150" s="3"/>
      <c r="E150" s="3"/>
      <c r="F150" s="3"/>
    </row>
    <row r="151" spans="4:6" ht="12.75" customHeight="1" x14ac:dyDescent="0.25">
      <c r="D151" s="3"/>
      <c r="E151" s="3"/>
      <c r="F151" s="3"/>
    </row>
    <row r="152" spans="4:6" ht="12.75" customHeight="1" x14ac:dyDescent="0.25">
      <c r="D152" s="3"/>
      <c r="E152" s="3"/>
      <c r="F152" s="3"/>
    </row>
    <row r="153" spans="4:6" ht="12.75" customHeight="1" x14ac:dyDescent="0.25">
      <c r="D153" s="3"/>
      <c r="E153" s="3"/>
      <c r="F153" s="3"/>
    </row>
    <row r="154" spans="4:6" ht="12.75" customHeight="1" x14ac:dyDescent="0.25">
      <c r="D154" s="3"/>
      <c r="E154" s="3"/>
      <c r="F154" s="3"/>
    </row>
    <row r="155" spans="4:6" ht="12.75" customHeight="1" x14ac:dyDescent="0.25">
      <c r="D155" s="3"/>
      <c r="E155" s="3"/>
      <c r="F155" s="3"/>
    </row>
    <row r="156" spans="4:6" ht="12.75" customHeight="1" x14ac:dyDescent="0.25">
      <c r="D156" s="3"/>
      <c r="E156" s="3"/>
      <c r="F156" s="3"/>
    </row>
    <row r="157" spans="4:6" ht="12.75" customHeight="1" x14ac:dyDescent="0.25">
      <c r="D157" s="3"/>
      <c r="E157" s="3"/>
      <c r="F157" s="3"/>
    </row>
    <row r="158" spans="4:6" ht="12.75" customHeight="1" x14ac:dyDescent="0.25">
      <c r="D158" s="3"/>
      <c r="E158" s="3"/>
      <c r="F158" s="3"/>
    </row>
    <row r="159" spans="4:6" ht="12.75" customHeight="1" x14ac:dyDescent="0.25">
      <c r="D159" s="3"/>
      <c r="E159" s="3"/>
      <c r="F159" s="3"/>
    </row>
    <row r="160" spans="4:6" ht="12.75" customHeight="1" x14ac:dyDescent="0.25">
      <c r="D160" s="3"/>
      <c r="E160" s="3"/>
      <c r="F160" s="3"/>
    </row>
    <row r="161" spans="4:6" ht="12.75" customHeight="1" x14ac:dyDescent="0.25">
      <c r="D161" s="3"/>
      <c r="E161" s="3"/>
      <c r="F161" s="3"/>
    </row>
    <row r="162" spans="4:6" ht="12.75" customHeight="1" x14ac:dyDescent="0.25">
      <c r="D162" s="3"/>
      <c r="E162" s="3"/>
      <c r="F162" s="3"/>
    </row>
    <row r="163" spans="4:6" ht="12.75" customHeight="1" x14ac:dyDescent="0.25">
      <c r="D163" s="3"/>
      <c r="E163" s="3"/>
      <c r="F163" s="3"/>
    </row>
    <row r="164" spans="4:6" ht="12.75" customHeight="1" x14ac:dyDescent="0.25">
      <c r="D164" s="3"/>
      <c r="E164" s="3"/>
      <c r="F164" s="3"/>
    </row>
    <row r="165" spans="4:6" ht="12.75" customHeight="1" x14ac:dyDescent="0.25">
      <c r="D165" s="3"/>
      <c r="E165" s="3"/>
      <c r="F165" s="3"/>
    </row>
    <row r="166" spans="4:6" ht="12.75" customHeight="1" x14ac:dyDescent="0.25">
      <c r="D166" s="3"/>
      <c r="E166" s="3"/>
      <c r="F166" s="3"/>
    </row>
    <row r="167" spans="4:6" ht="12.75" customHeight="1" x14ac:dyDescent="0.25">
      <c r="D167" s="3"/>
      <c r="E167" s="3"/>
      <c r="F167" s="3"/>
    </row>
    <row r="168" spans="4:6" ht="12.75" customHeight="1" x14ac:dyDescent="0.25">
      <c r="D168" s="3"/>
      <c r="E168" s="3"/>
      <c r="F168" s="3"/>
    </row>
    <row r="169" spans="4:6" ht="12.75" customHeight="1" x14ac:dyDescent="0.25">
      <c r="D169" s="3"/>
      <c r="E169" s="3"/>
      <c r="F169" s="3"/>
    </row>
    <row r="170" spans="4:6" ht="12.75" customHeight="1" x14ac:dyDescent="0.25">
      <c r="D170" s="3"/>
      <c r="E170" s="3"/>
      <c r="F170" s="3"/>
    </row>
    <row r="171" spans="4:6" ht="12.75" customHeight="1" x14ac:dyDescent="0.25">
      <c r="D171" s="3"/>
      <c r="E171" s="3"/>
      <c r="F171" s="3"/>
    </row>
    <row r="172" spans="4:6" ht="12.75" customHeight="1" x14ac:dyDescent="0.25">
      <c r="D172" s="3"/>
      <c r="E172" s="3"/>
      <c r="F172" s="3"/>
    </row>
    <row r="173" spans="4:6" ht="12.75" customHeight="1" x14ac:dyDescent="0.25">
      <c r="D173" s="3"/>
      <c r="E173" s="3"/>
      <c r="F173" s="3"/>
    </row>
    <row r="174" spans="4:6" ht="12.75" customHeight="1" x14ac:dyDescent="0.25">
      <c r="D174" s="3"/>
      <c r="E174" s="3"/>
      <c r="F174" s="3"/>
    </row>
    <row r="175" spans="4:6" ht="12.75" customHeight="1" x14ac:dyDescent="0.25">
      <c r="D175" s="3"/>
      <c r="E175" s="3"/>
      <c r="F175" s="3"/>
    </row>
    <row r="176" spans="4:6" ht="12.75" customHeight="1" x14ac:dyDescent="0.25">
      <c r="D176" s="3"/>
      <c r="E176" s="3"/>
      <c r="F176" s="3"/>
    </row>
    <row r="177" spans="4:6" ht="12.75" customHeight="1" x14ac:dyDescent="0.25">
      <c r="D177" s="3"/>
      <c r="E177" s="3"/>
      <c r="F177" s="3"/>
    </row>
    <row r="178" spans="4:6" ht="12.75" customHeight="1" x14ac:dyDescent="0.25">
      <c r="D178" s="3"/>
      <c r="E178" s="3"/>
      <c r="F178" s="3"/>
    </row>
    <row r="179" spans="4:6" ht="12.75" customHeight="1" x14ac:dyDescent="0.25">
      <c r="D179" s="3"/>
      <c r="E179" s="3"/>
      <c r="F179" s="3"/>
    </row>
    <row r="180" spans="4:6" ht="12.75" customHeight="1" x14ac:dyDescent="0.25">
      <c r="D180" s="3"/>
      <c r="E180" s="3"/>
      <c r="F180" s="3"/>
    </row>
    <row r="181" spans="4:6" ht="12.75" customHeight="1" x14ac:dyDescent="0.25">
      <c r="D181" s="3"/>
      <c r="E181" s="3"/>
      <c r="F181" s="3"/>
    </row>
    <row r="182" spans="4:6" ht="12.75" customHeight="1" x14ac:dyDescent="0.25">
      <c r="D182" s="3"/>
      <c r="E182" s="3"/>
      <c r="F182" s="3"/>
    </row>
    <row r="183" spans="4:6" ht="12.75" customHeight="1" x14ac:dyDescent="0.25">
      <c r="D183" s="3"/>
      <c r="E183" s="3"/>
      <c r="F183" s="3"/>
    </row>
    <row r="184" spans="4:6" ht="12.75" customHeight="1" x14ac:dyDescent="0.25">
      <c r="D184" s="3"/>
      <c r="E184" s="3"/>
      <c r="F184" s="3"/>
    </row>
    <row r="185" spans="4:6" ht="12.75" customHeight="1" x14ac:dyDescent="0.25">
      <c r="D185" s="3"/>
      <c r="E185" s="3"/>
      <c r="F185" s="3"/>
    </row>
    <row r="186" spans="4:6" ht="12.75" customHeight="1" x14ac:dyDescent="0.25">
      <c r="D186" s="3"/>
      <c r="E186" s="3"/>
      <c r="F186" s="3"/>
    </row>
    <row r="187" spans="4:6" ht="12.75" customHeight="1" x14ac:dyDescent="0.25">
      <c r="D187" s="3"/>
      <c r="E187" s="3"/>
      <c r="F187" s="3"/>
    </row>
    <row r="188" spans="4:6" ht="12.75" customHeight="1" x14ac:dyDescent="0.25">
      <c r="D188" s="3"/>
      <c r="E188" s="3"/>
      <c r="F188" s="3"/>
    </row>
    <row r="189" spans="4:6" ht="12.75" customHeight="1" x14ac:dyDescent="0.25">
      <c r="D189" s="3"/>
      <c r="E189" s="3"/>
      <c r="F189" s="3"/>
    </row>
    <row r="190" spans="4:6" ht="12.75" customHeight="1" x14ac:dyDescent="0.25">
      <c r="D190" s="3"/>
      <c r="E190" s="3"/>
      <c r="F190" s="3"/>
    </row>
    <row r="191" spans="4:6" ht="12.75" customHeight="1" x14ac:dyDescent="0.25">
      <c r="D191" s="3"/>
      <c r="E191" s="3"/>
      <c r="F191" s="3"/>
    </row>
    <row r="192" spans="4:6" ht="12.75" customHeight="1" x14ac:dyDescent="0.25">
      <c r="D192" s="3"/>
      <c r="E192" s="3"/>
      <c r="F192" s="3"/>
    </row>
    <row r="193" spans="4:6" ht="12.75" customHeight="1" x14ac:dyDescent="0.25">
      <c r="D193" s="3"/>
      <c r="E193" s="3"/>
      <c r="F193" s="3"/>
    </row>
    <row r="194" spans="4:6" ht="12.75" customHeight="1" x14ac:dyDescent="0.25">
      <c r="D194" s="3"/>
      <c r="E194" s="3"/>
      <c r="F194" s="3"/>
    </row>
    <row r="195" spans="4:6" ht="12.75" customHeight="1" x14ac:dyDescent="0.25">
      <c r="D195" s="3"/>
      <c r="E195" s="3"/>
      <c r="F195" s="3"/>
    </row>
    <row r="196" spans="4:6" ht="12.75" customHeight="1" x14ac:dyDescent="0.25">
      <c r="D196" s="3"/>
      <c r="E196" s="3"/>
      <c r="F196" s="3"/>
    </row>
    <row r="197" spans="4:6" ht="12.75" customHeight="1" x14ac:dyDescent="0.25">
      <c r="D197" s="3"/>
      <c r="E197" s="3"/>
      <c r="F197" s="3"/>
    </row>
    <row r="198" spans="4:6" ht="12.75" customHeight="1" x14ac:dyDescent="0.25">
      <c r="D198" s="3"/>
      <c r="E198" s="3"/>
      <c r="F198" s="3"/>
    </row>
    <row r="199" spans="4:6" ht="12.75" customHeight="1" x14ac:dyDescent="0.25">
      <c r="D199" s="3"/>
      <c r="E199" s="3"/>
      <c r="F199" s="3"/>
    </row>
    <row r="200" spans="4:6" ht="12.75" customHeight="1" x14ac:dyDescent="0.25">
      <c r="D200" s="3"/>
      <c r="E200" s="3"/>
      <c r="F200" s="3"/>
    </row>
    <row r="201" spans="4:6" ht="12.75" customHeight="1" x14ac:dyDescent="0.25">
      <c r="D201" s="3"/>
      <c r="E201" s="3"/>
      <c r="F201" s="3"/>
    </row>
    <row r="202" spans="4:6" ht="12.75" customHeight="1" x14ac:dyDescent="0.25">
      <c r="D202" s="3"/>
      <c r="E202" s="3"/>
      <c r="F202" s="3"/>
    </row>
    <row r="203" spans="4:6" ht="12.75" customHeight="1" x14ac:dyDescent="0.25">
      <c r="D203" s="3"/>
      <c r="E203" s="3"/>
      <c r="F203" s="3"/>
    </row>
    <row r="204" spans="4:6" ht="12.75" customHeight="1" x14ac:dyDescent="0.25">
      <c r="D204" s="3"/>
      <c r="E204" s="3"/>
      <c r="F204" s="3"/>
    </row>
    <row r="205" spans="4:6" ht="12.75" customHeight="1" x14ac:dyDescent="0.25">
      <c r="D205" s="3"/>
      <c r="E205" s="3"/>
      <c r="F205" s="3"/>
    </row>
    <row r="206" spans="4:6" ht="12.75" customHeight="1" x14ac:dyDescent="0.25">
      <c r="D206" s="3"/>
      <c r="E206" s="3"/>
      <c r="F206" s="3"/>
    </row>
    <row r="207" spans="4:6" ht="12.75" customHeight="1" x14ac:dyDescent="0.25">
      <c r="D207" s="3"/>
      <c r="E207" s="3"/>
      <c r="F207" s="3"/>
    </row>
    <row r="208" spans="4:6" ht="12.75" customHeight="1" x14ac:dyDescent="0.25">
      <c r="D208" s="3"/>
      <c r="E208" s="3"/>
      <c r="F208" s="3"/>
    </row>
    <row r="209" spans="4:6" ht="12.75" customHeight="1" x14ac:dyDescent="0.25">
      <c r="D209" s="3"/>
      <c r="E209" s="3"/>
      <c r="F209" s="3"/>
    </row>
    <row r="210" spans="4:6" ht="12.75" customHeight="1" x14ac:dyDescent="0.25">
      <c r="D210" s="3"/>
      <c r="E210" s="3"/>
      <c r="F210" s="3"/>
    </row>
    <row r="211" spans="4:6" ht="12.75" customHeight="1" x14ac:dyDescent="0.25">
      <c r="D211" s="3"/>
      <c r="E211" s="3"/>
      <c r="F211" s="3"/>
    </row>
    <row r="212" spans="4:6" ht="12.75" customHeight="1" x14ac:dyDescent="0.25">
      <c r="D212" s="3"/>
      <c r="E212" s="3"/>
      <c r="F212" s="3"/>
    </row>
    <row r="213" spans="4:6" ht="12.75" customHeight="1" x14ac:dyDescent="0.25">
      <c r="D213" s="3"/>
      <c r="E213" s="3"/>
      <c r="F213" s="3"/>
    </row>
    <row r="214" spans="4:6" ht="12.75" customHeight="1" x14ac:dyDescent="0.25">
      <c r="D214" s="3"/>
      <c r="E214" s="3"/>
      <c r="F214" s="3"/>
    </row>
    <row r="215" spans="4:6" ht="12.75" customHeight="1" x14ac:dyDescent="0.25">
      <c r="D215" s="3"/>
      <c r="E215" s="3"/>
      <c r="F215" s="3"/>
    </row>
    <row r="216" spans="4:6" ht="12.75" customHeight="1" x14ac:dyDescent="0.25">
      <c r="D216" s="3"/>
      <c r="E216" s="3"/>
      <c r="F216" s="3"/>
    </row>
    <row r="217" spans="4:6" ht="12.75" customHeight="1" x14ac:dyDescent="0.25">
      <c r="D217" s="3"/>
      <c r="E217" s="3"/>
      <c r="F217" s="3"/>
    </row>
    <row r="218" spans="4:6" ht="12.75" customHeight="1" x14ac:dyDescent="0.25">
      <c r="D218" s="3"/>
      <c r="E218" s="3"/>
      <c r="F218" s="3"/>
    </row>
    <row r="219" spans="4:6" ht="12.75" customHeight="1" x14ac:dyDescent="0.25">
      <c r="D219" s="3"/>
      <c r="E219" s="3"/>
      <c r="F219" s="3"/>
    </row>
    <row r="220" spans="4:6" ht="12.75" customHeight="1" x14ac:dyDescent="0.25">
      <c r="D220" s="3"/>
      <c r="E220" s="3"/>
      <c r="F220" s="3"/>
    </row>
    <row r="221" spans="4:6" ht="12.75" customHeight="1" x14ac:dyDescent="0.25">
      <c r="D221" s="3"/>
      <c r="E221" s="3"/>
      <c r="F221" s="3"/>
    </row>
    <row r="222" spans="4:6" ht="12.75" customHeight="1" x14ac:dyDescent="0.25">
      <c r="D222" s="3"/>
      <c r="E222" s="3"/>
      <c r="F222" s="3"/>
    </row>
    <row r="223" spans="4:6" ht="12.75" customHeight="1" x14ac:dyDescent="0.25">
      <c r="D223" s="3"/>
      <c r="E223" s="3"/>
      <c r="F223" s="3"/>
    </row>
    <row r="224" spans="4:6" ht="12.75" customHeight="1" x14ac:dyDescent="0.25">
      <c r="D224" s="3"/>
      <c r="E224" s="3"/>
      <c r="F224" s="3"/>
    </row>
    <row r="225" spans="4:6" ht="12.75" customHeight="1" x14ac:dyDescent="0.25">
      <c r="D225" s="3"/>
      <c r="E225" s="3"/>
      <c r="F225" s="3"/>
    </row>
    <row r="226" spans="4:6" ht="12.75" customHeight="1" x14ac:dyDescent="0.25">
      <c r="D226" s="3"/>
      <c r="E226" s="3"/>
      <c r="F226" s="3"/>
    </row>
    <row r="227" spans="4:6" ht="12.75" customHeight="1" x14ac:dyDescent="0.25">
      <c r="D227" s="3"/>
      <c r="E227" s="3"/>
      <c r="F227" s="3"/>
    </row>
    <row r="228" spans="4:6" ht="12.75" customHeight="1" x14ac:dyDescent="0.25">
      <c r="D228" s="3"/>
      <c r="E228" s="3"/>
      <c r="F228" s="3"/>
    </row>
    <row r="229" spans="4:6" ht="12.75" customHeight="1" x14ac:dyDescent="0.25">
      <c r="D229" s="3"/>
      <c r="E229" s="3"/>
      <c r="F229" s="3"/>
    </row>
    <row r="230" spans="4:6" ht="12.75" customHeight="1" x14ac:dyDescent="0.25">
      <c r="D230" s="3"/>
      <c r="E230" s="3"/>
      <c r="F230" s="3"/>
    </row>
    <row r="231" spans="4:6" ht="12.75" customHeight="1" x14ac:dyDescent="0.25">
      <c r="D231" s="3"/>
      <c r="E231" s="3"/>
      <c r="F231" s="3"/>
    </row>
    <row r="232" spans="4:6" ht="12.75" customHeight="1" x14ac:dyDescent="0.25">
      <c r="D232" s="3"/>
      <c r="E232" s="3"/>
      <c r="F232" s="3"/>
    </row>
    <row r="233" spans="4:6" ht="12.75" customHeight="1" x14ac:dyDescent="0.25">
      <c r="D233" s="3"/>
      <c r="E233" s="3"/>
      <c r="F233" s="3"/>
    </row>
    <row r="234" spans="4:6" ht="12.75" customHeight="1" x14ac:dyDescent="0.25">
      <c r="D234" s="3"/>
      <c r="E234" s="3"/>
      <c r="F234" s="3"/>
    </row>
    <row r="235" spans="4:6" ht="12.75" customHeight="1" x14ac:dyDescent="0.25">
      <c r="D235" s="3"/>
      <c r="E235" s="3"/>
      <c r="F235" s="3"/>
    </row>
    <row r="236" spans="4:6" ht="12.75" customHeight="1" x14ac:dyDescent="0.25">
      <c r="D236" s="3"/>
      <c r="E236" s="3"/>
      <c r="F236" s="3"/>
    </row>
    <row r="237" spans="4:6" ht="12.75" customHeight="1" x14ac:dyDescent="0.25">
      <c r="D237" s="3"/>
      <c r="E237" s="3"/>
      <c r="F237" s="3"/>
    </row>
    <row r="238" spans="4:6" ht="12.75" customHeight="1" x14ac:dyDescent="0.25">
      <c r="D238" s="3"/>
      <c r="E238" s="3"/>
      <c r="F238" s="3"/>
    </row>
    <row r="239" spans="4:6" ht="12.75" customHeight="1" x14ac:dyDescent="0.25">
      <c r="D239" s="3"/>
      <c r="E239" s="3"/>
      <c r="F239" s="3"/>
    </row>
    <row r="240" spans="4:6" ht="12.75" customHeight="1" x14ac:dyDescent="0.25">
      <c r="D240" s="3"/>
      <c r="E240" s="3"/>
      <c r="F240" s="3"/>
    </row>
    <row r="241" spans="4:6" ht="12.75" customHeight="1" x14ac:dyDescent="0.25">
      <c r="D241" s="3"/>
      <c r="E241" s="3"/>
      <c r="F241" s="3"/>
    </row>
    <row r="242" spans="4:6" ht="12.75" customHeight="1" x14ac:dyDescent="0.25">
      <c r="D242" s="3"/>
      <c r="E242" s="3"/>
      <c r="F242" s="3"/>
    </row>
    <row r="243" spans="4:6" ht="12.75" customHeight="1" x14ac:dyDescent="0.25">
      <c r="D243" s="3"/>
      <c r="E243" s="3"/>
      <c r="F243" s="3"/>
    </row>
    <row r="244" spans="4:6" ht="12.75" customHeight="1" x14ac:dyDescent="0.25">
      <c r="D244" s="3"/>
      <c r="E244" s="3"/>
      <c r="F244" s="3"/>
    </row>
    <row r="245" spans="4:6" ht="12.75" customHeight="1" x14ac:dyDescent="0.25">
      <c r="D245" s="3"/>
      <c r="E245" s="3"/>
      <c r="F245" s="3"/>
    </row>
    <row r="246" spans="4:6" ht="12.75" customHeight="1" x14ac:dyDescent="0.25">
      <c r="D246" s="3"/>
      <c r="E246" s="3"/>
      <c r="F246" s="3"/>
    </row>
    <row r="247" spans="4:6" ht="12.75" customHeight="1" x14ac:dyDescent="0.25">
      <c r="D247" s="3"/>
      <c r="E247" s="3"/>
      <c r="F247" s="3"/>
    </row>
    <row r="248" spans="4:6" ht="12.75" customHeight="1" x14ac:dyDescent="0.25">
      <c r="D248" s="3"/>
      <c r="E248" s="3"/>
      <c r="F248" s="3"/>
    </row>
    <row r="249" spans="4:6" ht="12.75" customHeight="1" x14ac:dyDescent="0.25">
      <c r="D249" s="3"/>
      <c r="E249" s="3"/>
      <c r="F249" s="3"/>
    </row>
    <row r="250" spans="4:6" ht="12.75" customHeight="1" x14ac:dyDescent="0.25">
      <c r="D250" s="3"/>
      <c r="E250" s="3"/>
      <c r="F250" s="3"/>
    </row>
    <row r="251" spans="4:6" ht="12.75" customHeight="1" x14ac:dyDescent="0.25">
      <c r="D251" s="3"/>
      <c r="E251" s="3"/>
      <c r="F251" s="3"/>
    </row>
    <row r="252" spans="4:6" ht="12.75" customHeight="1" x14ac:dyDescent="0.25">
      <c r="D252" s="3"/>
      <c r="E252" s="3"/>
      <c r="F252" s="3"/>
    </row>
    <row r="253" spans="4:6" ht="12.75" customHeight="1" x14ac:dyDescent="0.25">
      <c r="D253" s="3"/>
      <c r="E253" s="3"/>
      <c r="F253" s="3"/>
    </row>
    <row r="254" spans="4:6" ht="12.75" customHeight="1" x14ac:dyDescent="0.25">
      <c r="D254" s="3"/>
      <c r="E254" s="3"/>
      <c r="F254" s="3"/>
    </row>
    <row r="255" spans="4:6" ht="12.75" customHeight="1" x14ac:dyDescent="0.25">
      <c r="D255" s="3"/>
      <c r="E255" s="3"/>
      <c r="F255" s="3"/>
    </row>
    <row r="256" spans="4:6" ht="12.75" customHeight="1" x14ac:dyDescent="0.25">
      <c r="D256" s="3"/>
      <c r="E256" s="3"/>
      <c r="F256" s="3"/>
    </row>
    <row r="257" spans="4:6" ht="12.75" customHeight="1" x14ac:dyDescent="0.25">
      <c r="D257" s="3"/>
      <c r="E257" s="3"/>
      <c r="F257" s="3"/>
    </row>
    <row r="258" spans="4:6" ht="12.75" customHeight="1" x14ac:dyDescent="0.25">
      <c r="D258" s="3"/>
      <c r="E258" s="3"/>
      <c r="F258" s="3"/>
    </row>
    <row r="259" spans="4:6" ht="12.75" customHeight="1" x14ac:dyDescent="0.25">
      <c r="D259" s="3"/>
      <c r="E259" s="3"/>
      <c r="F259" s="3"/>
    </row>
    <row r="260" spans="4:6" ht="12.75" customHeight="1" x14ac:dyDescent="0.25">
      <c r="D260" s="3"/>
      <c r="E260" s="3"/>
      <c r="F260" s="3"/>
    </row>
    <row r="261" spans="4:6" ht="12.75" customHeight="1" x14ac:dyDescent="0.25">
      <c r="D261" s="3"/>
      <c r="E261" s="3"/>
      <c r="F261" s="3"/>
    </row>
    <row r="262" spans="4:6" ht="12.75" customHeight="1" x14ac:dyDescent="0.25">
      <c r="D262" s="3"/>
      <c r="E262" s="3"/>
      <c r="F262" s="3"/>
    </row>
    <row r="263" spans="4:6" ht="12.75" customHeight="1" x14ac:dyDescent="0.25">
      <c r="D263" s="3"/>
      <c r="E263" s="3"/>
      <c r="F263" s="3"/>
    </row>
    <row r="264" spans="4:6" ht="12.75" customHeight="1" x14ac:dyDescent="0.25">
      <c r="D264" s="3"/>
      <c r="E264" s="3"/>
      <c r="F264" s="3"/>
    </row>
    <row r="265" spans="4:6" ht="12.75" customHeight="1" x14ac:dyDescent="0.25">
      <c r="D265" s="3"/>
      <c r="E265" s="3"/>
      <c r="F265" s="3"/>
    </row>
    <row r="266" spans="4:6" ht="12.75" customHeight="1" x14ac:dyDescent="0.25">
      <c r="D266" s="3"/>
      <c r="E266" s="3"/>
      <c r="F266" s="3"/>
    </row>
    <row r="267" spans="4:6" ht="12.75" customHeight="1" x14ac:dyDescent="0.25">
      <c r="D267" s="3"/>
      <c r="E267" s="3"/>
      <c r="F267" s="3"/>
    </row>
    <row r="268" spans="4:6" ht="12.75" customHeight="1" x14ac:dyDescent="0.25">
      <c r="D268" s="3"/>
      <c r="E268" s="3"/>
      <c r="F268" s="3"/>
    </row>
    <row r="269" spans="4:6" ht="12.75" customHeight="1" x14ac:dyDescent="0.25">
      <c r="D269" s="3"/>
      <c r="E269" s="3"/>
      <c r="F269" s="3"/>
    </row>
    <row r="270" spans="4:6" ht="12.75" customHeight="1" x14ac:dyDescent="0.25">
      <c r="D270" s="3"/>
      <c r="E270" s="3"/>
      <c r="F270" s="3"/>
    </row>
    <row r="271" spans="4:6" ht="12.75" customHeight="1" x14ac:dyDescent="0.25">
      <c r="D271" s="3"/>
      <c r="E271" s="3"/>
      <c r="F271" s="3"/>
    </row>
    <row r="272" spans="4:6" ht="12.75" customHeight="1" x14ac:dyDescent="0.25">
      <c r="D272" s="3"/>
      <c r="E272" s="3"/>
      <c r="F272" s="3"/>
    </row>
    <row r="273" spans="4:6" ht="12.75" customHeight="1" x14ac:dyDescent="0.25">
      <c r="D273" s="3"/>
      <c r="E273" s="3"/>
      <c r="F273" s="3"/>
    </row>
    <row r="274" spans="4:6" ht="12.75" customHeight="1" x14ac:dyDescent="0.25">
      <c r="D274" s="3"/>
      <c r="E274" s="3"/>
      <c r="F274" s="3"/>
    </row>
    <row r="275" spans="4:6" ht="12.75" customHeight="1" x14ac:dyDescent="0.25">
      <c r="D275" s="3"/>
      <c r="E275" s="3"/>
      <c r="F275" s="3"/>
    </row>
    <row r="276" spans="4:6" ht="12.75" customHeight="1" x14ac:dyDescent="0.25">
      <c r="D276" s="3"/>
      <c r="E276" s="3"/>
      <c r="F276" s="3"/>
    </row>
    <row r="277" spans="4:6" ht="12.75" customHeight="1" x14ac:dyDescent="0.25">
      <c r="D277" s="3"/>
      <c r="E277" s="3"/>
      <c r="F277" s="3"/>
    </row>
    <row r="278" spans="4:6" ht="12.75" customHeight="1" x14ac:dyDescent="0.25">
      <c r="D278" s="3"/>
      <c r="E278" s="3"/>
      <c r="F278" s="3"/>
    </row>
    <row r="279" spans="4:6" ht="12.75" customHeight="1" x14ac:dyDescent="0.25">
      <c r="D279" s="3"/>
      <c r="E279" s="3"/>
      <c r="F279" s="3"/>
    </row>
    <row r="280" spans="4:6" ht="12.75" customHeight="1" x14ac:dyDescent="0.25">
      <c r="D280" s="3"/>
      <c r="E280" s="3"/>
      <c r="F280" s="3"/>
    </row>
    <row r="281" spans="4:6" ht="12.75" customHeight="1" x14ac:dyDescent="0.25">
      <c r="D281" s="3"/>
      <c r="E281" s="3"/>
      <c r="F281" s="3"/>
    </row>
    <row r="282" spans="4:6" ht="12.75" customHeight="1" x14ac:dyDescent="0.25">
      <c r="D282" s="3"/>
      <c r="E282" s="3"/>
      <c r="F282" s="3"/>
    </row>
    <row r="283" spans="4:6" ht="12.75" customHeight="1" x14ac:dyDescent="0.25">
      <c r="D283" s="3"/>
      <c r="E283" s="3"/>
      <c r="F283" s="3"/>
    </row>
    <row r="284" spans="4:6" ht="12.75" customHeight="1" x14ac:dyDescent="0.25">
      <c r="D284" s="3"/>
      <c r="E284" s="3"/>
      <c r="F284" s="3"/>
    </row>
    <row r="285" spans="4:6" ht="12.75" customHeight="1" x14ac:dyDescent="0.25">
      <c r="D285" s="3"/>
      <c r="E285" s="3"/>
      <c r="F285" s="3"/>
    </row>
    <row r="286" spans="4:6" ht="12.75" customHeight="1" x14ac:dyDescent="0.25">
      <c r="D286" s="3"/>
      <c r="E286" s="3"/>
      <c r="F286" s="3"/>
    </row>
    <row r="287" spans="4:6" ht="12.75" customHeight="1" x14ac:dyDescent="0.25">
      <c r="D287" s="3"/>
      <c r="E287" s="3"/>
      <c r="F287" s="3"/>
    </row>
    <row r="288" spans="4:6" ht="12.75" customHeight="1" x14ac:dyDescent="0.25">
      <c r="D288" s="3"/>
      <c r="E288" s="3"/>
      <c r="F288" s="3"/>
    </row>
    <row r="289" spans="4:6" ht="12.75" customHeight="1" x14ac:dyDescent="0.25">
      <c r="D289" s="3"/>
      <c r="E289" s="3"/>
      <c r="F289" s="3"/>
    </row>
    <row r="290" spans="4:6" ht="12.75" customHeight="1" x14ac:dyDescent="0.25">
      <c r="D290" s="3"/>
      <c r="E290" s="3"/>
      <c r="F290" s="3"/>
    </row>
    <row r="291" spans="4:6" ht="12.75" customHeight="1" x14ac:dyDescent="0.25">
      <c r="D291" s="3"/>
      <c r="E291" s="3"/>
      <c r="F291" s="3"/>
    </row>
    <row r="292" spans="4:6" ht="12.75" customHeight="1" x14ac:dyDescent="0.25">
      <c r="D292" s="3"/>
      <c r="E292" s="3"/>
      <c r="F292" s="3"/>
    </row>
    <row r="293" spans="4:6" ht="12.75" customHeight="1" x14ac:dyDescent="0.25">
      <c r="D293" s="3"/>
      <c r="E293" s="3"/>
      <c r="F293" s="3"/>
    </row>
    <row r="294" spans="4:6" ht="12.75" customHeight="1" x14ac:dyDescent="0.25">
      <c r="D294" s="3"/>
      <c r="E294" s="3"/>
      <c r="F294" s="3"/>
    </row>
    <row r="295" spans="4:6" ht="12.75" customHeight="1" x14ac:dyDescent="0.25">
      <c r="D295" s="3"/>
      <c r="E295" s="3"/>
      <c r="F295" s="3"/>
    </row>
    <row r="296" spans="4:6" ht="12.75" customHeight="1" x14ac:dyDescent="0.25">
      <c r="D296" s="3"/>
      <c r="E296" s="3"/>
      <c r="F296" s="3"/>
    </row>
    <row r="297" spans="4:6" ht="12.75" customHeight="1" x14ac:dyDescent="0.25">
      <c r="D297" s="3"/>
      <c r="E297" s="3"/>
      <c r="F297" s="3"/>
    </row>
    <row r="298" spans="4:6" ht="12.75" customHeight="1" x14ac:dyDescent="0.25">
      <c r="D298" s="3"/>
      <c r="E298" s="3"/>
      <c r="F298" s="3"/>
    </row>
    <row r="299" spans="4:6" ht="12.75" customHeight="1" x14ac:dyDescent="0.25">
      <c r="D299" s="3"/>
      <c r="E299" s="3"/>
      <c r="F299" s="3"/>
    </row>
    <row r="300" spans="4:6" ht="12.75" customHeight="1" x14ac:dyDescent="0.25">
      <c r="D300" s="3"/>
      <c r="E300" s="3"/>
      <c r="F300" s="3"/>
    </row>
    <row r="301" spans="4:6" ht="12.75" customHeight="1" x14ac:dyDescent="0.25">
      <c r="D301" s="3"/>
      <c r="E301" s="3"/>
      <c r="F301" s="3"/>
    </row>
    <row r="302" spans="4:6" ht="12.75" customHeight="1" x14ac:dyDescent="0.25">
      <c r="D302" s="3"/>
      <c r="E302" s="3"/>
      <c r="F302" s="3"/>
    </row>
    <row r="303" spans="4:6" ht="12.75" customHeight="1" x14ac:dyDescent="0.25">
      <c r="D303" s="3"/>
      <c r="E303" s="3"/>
      <c r="F303" s="3"/>
    </row>
    <row r="304" spans="4:6" ht="12.75" customHeight="1" x14ac:dyDescent="0.25">
      <c r="D304" s="3"/>
      <c r="E304" s="3"/>
      <c r="F304" s="3"/>
    </row>
    <row r="305" spans="4:6" ht="12.75" customHeight="1" x14ac:dyDescent="0.25">
      <c r="D305" s="3"/>
      <c r="E305" s="3"/>
      <c r="F305" s="3"/>
    </row>
    <row r="306" spans="4:6" ht="12.75" customHeight="1" x14ac:dyDescent="0.25">
      <c r="D306" s="3"/>
      <c r="E306" s="3"/>
      <c r="F306" s="3"/>
    </row>
    <row r="307" spans="4:6" ht="12.75" customHeight="1" x14ac:dyDescent="0.25">
      <c r="D307" s="3"/>
      <c r="E307" s="3"/>
      <c r="F307" s="3"/>
    </row>
    <row r="308" spans="4:6" ht="12.75" customHeight="1" x14ac:dyDescent="0.25">
      <c r="D308" s="3"/>
      <c r="E308" s="3"/>
      <c r="F308" s="3"/>
    </row>
    <row r="309" spans="4:6" ht="12.75" customHeight="1" x14ac:dyDescent="0.25">
      <c r="D309" s="3"/>
      <c r="E309" s="3"/>
      <c r="F309" s="3"/>
    </row>
    <row r="310" spans="4:6" ht="12.75" customHeight="1" x14ac:dyDescent="0.25">
      <c r="D310" s="3"/>
      <c r="E310" s="3"/>
      <c r="F310" s="3"/>
    </row>
    <row r="311" spans="4:6" ht="12.75" customHeight="1" x14ac:dyDescent="0.25">
      <c r="D311" s="3"/>
      <c r="E311" s="3"/>
      <c r="F311" s="3"/>
    </row>
    <row r="312" spans="4:6" ht="12.75" customHeight="1" x14ac:dyDescent="0.25">
      <c r="D312" s="3"/>
      <c r="E312" s="3"/>
      <c r="F312" s="3"/>
    </row>
    <row r="313" spans="4:6" ht="12.75" customHeight="1" x14ac:dyDescent="0.25">
      <c r="D313" s="3"/>
      <c r="E313" s="3"/>
      <c r="F313" s="3"/>
    </row>
    <row r="314" spans="4:6" ht="12.75" customHeight="1" x14ac:dyDescent="0.25">
      <c r="D314" s="3"/>
      <c r="E314" s="3"/>
      <c r="F314" s="3"/>
    </row>
    <row r="315" spans="4:6" ht="12.75" customHeight="1" x14ac:dyDescent="0.25">
      <c r="D315" s="3"/>
      <c r="E315" s="3"/>
      <c r="F315" s="3"/>
    </row>
    <row r="316" spans="4:6" ht="12.75" customHeight="1" x14ac:dyDescent="0.25">
      <c r="D316" s="3"/>
      <c r="E316" s="3"/>
      <c r="F316" s="3"/>
    </row>
    <row r="317" spans="4:6" ht="12.75" customHeight="1" x14ac:dyDescent="0.25">
      <c r="D317" s="3"/>
      <c r="E317" s="3"/>
      <c r="F317" s="3"/>
    </row>
    <row r="318" spans="4:6" ht="12.75" customHeight="1" x14ac:dyDescent="0.25">
      <c r="D318" s="3"/>
      <c r="E318" s="3"/>
      <c r="F318" s="3"/>
    </row>
    <row r="319" spans="4:6" ht="12.75" customHeight="1" x14ac:dyDescent="0.25">
      <c r="D319" s="3"/>
      <c r="E319" s="3"/>
      <c r="F319" s="3"/>
    </row>
    <row r="320" spans="4:6" ht="12.75" customHeight="1" x14ac:dyDescent="0.25">
      <c r="D320" s="3"/>
      <c r="E320" s="3"/>
      <c r="F320" s="3"/>
    </row>
    <row r="321" spans="4:6" ht="12.75" customHeight="1" x14ac:dyDescent="0.25">
      <c r="D321" s="3"/>
      <c r="E321" s="3"/>
      <c r="F321" s="3"/>
    </row>
    <row r="322" spans="4:6" ht="12.75" customHeight="1" x14ac:dyDescent="0.25">
      <c r="D322" s="3"/>
      <c r="E322" s="3"/>
      <c r="F322" s="3"/>
    </row>
    <row r="323" spans="4:6" ht="12.75" customHeight="1" x14ac:dyDescent="0.25">
      <c r="D323" s="3"/>
      <c r="E323" s="3"/>
      <c r="F323" s="3"/>
    </row>
    <row r="324" spans="4:6" ht="12.75" customHeight="1" x14ac:dyDescent="0.25">
      <c r="D324" s="3"/>
      <c r="E324" s="3"/>
      <c r="F324" s="3"/>
    </row>
    <row r="325" spans="4:6" ht="12.75" customHeight="1" x14ac:dyDescent="0.25">
      <c r="D325" s="3"/>
      <c r="E325" s="3"/>
      <c r="F325" s="3"/>
    </row>
    <row r="326" spans="4:6" ht="12.75" customHeight="1" x14ac:dyDescent="0.25">
      <c r="D326" s="3"/>
      <c r="E326" s="3"/>
      <c r="F326" s="3"/>
    </row>
    <row r="327" spans="4:6" ht="12.75" customHeight="1" x14ac:dyDescent="0.25">
      <c r="D327" s="3"/>
      <c r="E327" s="3"/>
      <c r="F327" s="3"/>
    </row>
    <row r="328" spans="4:6" ht="12.75" customHeight="1" x14ac:dyDescent="0.25">
      <c r="D328" s="3"/>
      <c r="E328" s="3"/>
      <c r="F328" s="3"/>
    </row>
    <row r="329" spans="4:6" ht="12.75" customHeight="1" x14ac:dyDescent="0.25">
      <c r="D329" s="3"/>
      <c r="E329" s="3"/>
      <c r="F329" s="3"/>
    </row>
    <row r="330" spans="4:6" ht="12.75" customHeight="1" x14ac:dyDescent="0.25">
      <c r="D330" s="3"/>
      <c r="E330" s="3"/>
      <c r="F330" s="3"/>
    </row>
    <row r="331" spans="4:6" ht="12.75" customHeight="1" x14ac:dyDescent="0.25">
      <c r="D331" s="3"/>
      <c r="E331" s="3"/>
      <c r="F331" s="3"/>
    </row>
    <row r="332" spans="4:6" ht="12.75" customHeight="1" x14ac:dyDescent="0.25">
      <c r="D332" s="3"/>
      <c r="E332" s="3"/>
      <c r="F332" s="3"/>
    </row>
    <row r="333" spans="4:6" ht="12.75" customHeight="1" x14ac:dyDescent="0.25">
      <c r="D333" s="3"/>
      <c r="E333" s="3"/>
      <c r="F333" s="3"/>
    </row>
    <row r="334" spans="4:6" ht="12.75" customHeight="1" x14ac:dyDescent="0.25">
      <c r="D334" s="3"/>
      <c r="E334" s="3"/>
      <c r="F334" s="3"/>
    </row>
    <row r="335" spans="4:6" ht="12.75" customHeight="1" x14ac:dyDescent="0.25">
      <c r="D335" s="3"/>
      <c r="E335" s="3"/>
      <c r="F335" s="3"/>
    </row>
    <row r="336" spans="4:6" ht="12.75" customHeight="1" x14ac:dyDescent="0.25">
      <c r="D336" s="3"/>
      <c r="E336" s="3"/>
      <c r="F336" s="3"/>
    </row>
    <row r="337" spans="4:6" ht="12.75" customHeight="1" x14ac:dyDescent="0.25">
      <c r="D337" s="3"/>
      <c r="E337" s="3"/>
      <c r="F337" s="3"/>
    </row>
    <row r="338" spans="4:6" ht="12.75" customHeight="1" x14ac:dyDescent="0.25">
      <c r="D338" s="3"/>
      <c r="E338" s="3"/>
      <c r="F338" s="3"/>
    </row>
    <row r="339" spans="4:6" ht="12.75" customHeight="1" x14ac:dyDescent="0.25">
      <c r="D339" s="3"/>
      <c r="E339" s="3"/>
      <c r="F339" s="3"/>
    </row>
    <row r="340" spans="4:6" ht="12.75" customHeight="1" x14ac:dyDescent="0.25">
      <c r="D340" s="3"/>
      <c r="E340" s="3"/>
      <c r="F340" s="3"/>
    </row>
    <row r="341" spans="4:6" ht="12.75" customHeight="1" x14ac:dyDescent="0.25">
      <c r="D341" s="3"/>
      <c r="E341" s="3"/>
      <c r="F341" s="3"/>
    </row>
    <row r="342" spans="4:6" ht="12.75" customHeight="1" x14ac:dyDescent="0.25">
      <c r="D342" s="3"/>
      <c r="E342" s="3"/>
      <c r="F342" s="3"/>
    </row>
    <row r="343" spans="4:6" ht="12.75" customHeight="1" x14ac:dyDescent="0.25">
      <c r="D343" s="3"/>
      <c r="E343" s="3"/>
      <c r="F343" s="3"/>
    </row>
    <row r="344" spans="4:6" ht="12.75" customHeight="1" x14ac:dyDescent="0.25">
      <c r="D344" s="3"/>
      <c r="E344" s="3"/>
      <c r="F344" s="3"/>
    </row>
    <row r="345" spans="4:6" ht="12.75" customHeight="1" x14ac:dyDescent="0.25">
      <c r="D345" s="3"/>
      <c r="E345" s="3"/>
      <c r="F345" s="3"/>
    </row>
    <row r="346" spans="4:6" ht="12.75" customHeight="1" x14ac:dyDescent="0.25">
      <c r="D346" s="3"/>
      <c r="E346" s="3"/>
      <c r="F346" s="3"/>
    </row>
    <row r="347" spans="4:6" ht="12.75" customHeight="1" x14ac:dyDescent="0.25">
      <c r="D347" s="3"/>
      <c r="E347" s="3"/>
      <c r="F347" s="3"/>
    </row>
    <row r="348" spans="4:6" ht="12.75" customHeight="1" x14ac:dyDescent="0.25">
      <c r="D348" s="3"/>
      <c r="E348" s="3"/>
      <c r="F348" s="3"/>
    </row>
    <row r="349" spans="4:6" ht="12.75" customHeight="1" x14ac:dyDescent="0.25">
      <c r="D349" s="3"/>
      <c r="E349" s="3"/>
      <c r="F349" s="3"/>
    </row>
    <row r="350" spans="4:6" ht="12.75" customHeight="1" x14ac:dyDescent="0.25">
      <c r="D350" s="3"/>
      <c r="E350" s="3"/>
      <c r="F350" s="3"/>
    </row>
    <row r="351" spans="4:6" ht="12.75" customHeight="1" x14ac:dyDescent="0.25">
      <c r="D351" s="3"/>
      <c r="E351" s="3"/>
      <c r="F351" s="3"/>
    </row>
    <row r="352" spans="4:6" ht="12.75" customHeight="1" x14ac:dyDescent="0.25">
      <c r="D352" s="3"/>
      <c r="E352" s="3"/>
      <c r="F352" s="3"/>
    </row>
    <row r="353" spans="4:6" ht="12.75" customHeight="1" x14ac:dyDescent="0.25">
      <c r="D353" s="3"/>
      <c r="E353" s="3"/>
      <c r="F353" s="3"/>
    </row>
    <row r="354" spans="4:6" ht="12.75" customHeight="1" x14ac:dyDescent="0.25">
      <c r="D354" s="3"/>
      <c r="E354" s="3"/>
      <c r="F354" s="3"/>
    </row>
    <row r="355" spans="4:6" ht="12.75" customHeight="1" x14ac:dyDescent="0.25">
      <c r="D355" s="3"/>
      <c r="E355" s="3"/>
      <c r="F355" s="3"/>
    </row>
    <row r="356" spans="4:6" ht="12.75" customHeight="1" x14ac:dyDescent="0.25">
      <c r="D356" s="3"/>
      <c r="E356" s="3"/>
      <c r="F356" s="3"/>
    </row>
    <row r="357" spans="4:6" ht="12.75" customHeight="1" x14ac:dyDescent="0.25">
      <c r="D357" s="3"/>
      <c r="E357" s="3"/>
      <c r="F357" s="3"/>
    </row>
    <row r="358" spans="4:6" ht="12.75" customHeight="1" x14ac:dyDescent="0.25">
      <c r="D358" s="3"/>
      <c r="E358" s="3"/>
      <c r="F358" s="3"/>
    </row>
    <row r="359" spans="4:6" ht="12.75" customHeight="1" x14ac:dyDescent="0.25">
      <c r="D359" s="3"/>
      <c r="E359" s="3"/>
      <c r="F359" s="3"/>
    </row>
    <row r="360" spans="4:6" ht="12.75" customHeight="1" x14ac:dyDescent="0.25">
      <c r="D360" s="3"/>
      <c r="E360" s="3"/>
      <c r="F360" s="3"/>
    </row>
    <row r="361" spans="4:6" ht="12.75" customHeight="1" x14ac:dyDescent="0.25">
      <c r="D361" s="3"/>
      <c r="E361" s="3"/>
      <c r="F361" s="3"/>
    </row>
    <row r="362" spans="4:6" ht="12.75" customHeight="1" x14ac:dyDescent="0.25">
      <c r="D362" s="3"/>
      <c r="E362" s="3"/>
      <c r="F362" s="3"/>
    </row>
    <row r="363" spans="4:6" ht="12.75" customHeight="1" x14ac:dyDescent="0.25">
      <c r="D363" s="3"/>
      <c r="E363" s="3"/>
      <c r="F363" s="3"/>
    </row>
    <row r="364" spans="4:6" ht="12.75" customHeight="1" x14ac:dyDescent="0.25">
      <c r="D364" s="3"/>
      <c r="E364" s="3"/>
      <c r="F364" s="3"/>
    </row>
    <row r="365" spans="4:6" ht="12.75" customHeight="1" x14ac:dyDescent="0.25">
      <c r="D365" s="3"/>
      <c r="E365" s="3"/>
      <c r="F365" s="3"/>
    </row>
    <row r="366" spans="4:6" ht="12.75" customHeight="1" x14ac:dyDescent="0.25">
      <c r="D366" s="3"/>
      <c r="E366" s="3"/>
      <c r="F366" s="3"/>
    </row>
    <row r="367" spans="4:6" ht="12.75" customHeight="1" x14ac:dyDescent="0.25">
      <c r="D367" s="3"/>
      <c r="E367" s="3"/>
      <c r="F367" s="3"/>
    </row>
    <row r="368" spans="4:6" ht="12.75" customHeight="1" x14ac:dyDescent="0.25">
      <c r="D368" s="3"/>
      <c r="E368" s="3"/>
      <c r="F368" s="3"/>
    </row>
    <row r="369" spans="4:6" ht="12.75" customHeight="1" x14ac:dyDescent="0.25">
      <c r="D369" s="3"/>
      <c r="E369" s="3"/>
      <c r="F369" s="3"/>
    </row>
    <row r="370" spans="4:6" ht="12.75" customHeight="1" x14ac:dyDescent="0.25">
      <c r="D370" s="3"/>
      <c r="E370" s="3"/>
      <c r="F370" s="3"/>
    </row>
    <row r="371" spans="4:6" ht="12.75" customHeight="1" x14ac:dyDescent="0.25">
      <c r="D371" s="3"/>
      <c r="E371" s="3"/>
      <c r="F371" s="3"/>
    </row>
    <row r="372" spans="4:6" ht="12.75" customHeight="1" x14ac:dyDescent="0.25">
      <c r="D372" s="3"/>
      <c r="E372" s="3"/>
      <c r="F372" s="3"/>
    </row>
    <row r="373" spans="4:6" ht="12.75" customHeight="1" x14ac:dyDescent="0.25">
      <c r="D373" s="3"/>
      <c r="E373" s="3"/>
      <c r="F373" s="3"/>
    </row>
    <row r="374" spans="4:6" ht="12.75" customHeight="1" x14ac:dyDescent="0.25">
      <c r="D374" s="3"/>
      <c r="E374" s="3"/>
      <c r="F374" s="3"/>
    </row>
    <row r="375" spans="4:6" ht="12.75" customHeight="1" x14ac:dyDescent="0.25">
      <c r="D375" s="3"/>
      <c r="E375" s="3"/>
      <c r="F375" s="3"/>
    </row>
    <row r="376" spans="4:6" ht="12.75" customHeight="1" x14ac:dyDescent="0.25">
      <c r="D376" s="3"/>
      <c r="E376" s="3"/>
      <c r="F376" s="3"/>
    </row>
    <row r="377" spans="4:6" ht="12.75" customHeight="1" x14ac:dyDescent="0.25">
      <c r="D377" s="3"/>
      <c r="E377" s="3"/>
      <c r="F377" s="3"/>
    </row>
    <row r="378" spans="4:6" ht="12.75" customHeight="1" x14ac:dyDescent="0.25">
      <c r="D378" s="3"/>
      <c r="E378" s="3"/>
      <c r="F378" s="3"/>
    </row>
    <row r="379" spans="4:6" ht="12.75" customHeight="1" x14ac:dyDescent="0.25">
      <c r="D379" s="3"/>
      <c r="E379" s="3"/>
      <c r="F379" s="3"/>
    </row>
    <row r="380" spans="4:6" ht="12.75" customHeight="1" x14ac:dyDescent="0.25">
      <c r="D380" s="3"/>
      <c r="E380" s="3"/>
      <c r="F380" s="3"/>
    </row>
    <row r="381" spans="4:6" ht="12.75" customHeight="1" x14ac:dyDescent="0.25">
      <c r="D381" s="3"/>
      <c r="E381" s="3"/>
      <c r="F381" s="3"/>
    </row>
    <row r="382" spans="4:6" ht="12.75" customHeight="1" x14ac:dyDescent="0.25">
      <c r="D382" s="3"/>
      <c r="E382" s="3"/>
      <c r="F382" s="3"/>
    </row>
    <row r="383" spans="4:6" ht="12.75" customHeight="1" x14ac:dyDescent="0.25">
      <c r="D383" s="3"/>
      <c r="E383" s="3"/>
      <c r="F383" s="3"/>
    </row>
    <row r="384" spans="4:6" ht="12.75" customHeight="1" x14ac:dyDescent="0.25">
      <c r="D384" s="3"/>
      <c r="E384" s="3"/>
      <c r="F384" s="3"/>
    </row>
    <row r="385" spans="4:6" ht="12.75" customHeight="1" x14ac:dyDescent="0.25">
      <c r="D385" s="3"/>
      <c r="E385" s="3"/>
      <c r="F385" s="3"/>
    </row>
    <row r="386" spans="4:6" ht="12.75" customHeight="1" x14ac:dyDescent="0.25">
      <c r="D386" s="3"/>
      <c r="E386" s="3"/>
      <c r="F386" s="3"/>
    </row>
    <row r="387" spans="4:6" ht="12.75" customHeight="1" x14ac:dyDescent="0.25">
      <c r="D387" s="3"/>
      <c r="E387" s="3"/>
      <c r="F387" s="3"/>
    </row>
    <row r="388" spans="4:6" ht="12.75" customHeight="1" x14ac:dyDescent="0.25">
      <c r="D388" s="3"/>
      <c r="E388" s="3"/>
      <c r="F388" s="3"/>
    </row>
    <row r="389" spans="4:6" ht="12.75" customHeight="1" x14ac:dyDescent="0.25">
      <c r="D389" s="3"/>
      <c r="E389" s="3"/>
      <c r="F389" s="3"/>
    </row>
    <row r="390" spans="4:6" ht="12.75" customHeight="1" x14ac:dyDescent="0.25">
      <c r="D390" s="3"/>
      <c r="E390" s="3"/>
      <c r="F390" s="3"/>
    </row>
    <row r="391" spans="4:6" ht="12.75" customHeight="1" x14ac:dyDescent="0.25">
      <c r="D391" s="3"/>
      <c r="E391" s="3"/>
      <c r="F391" s="3"/>
    </row>
    <row r="392" spans="4:6" ht="12.75" customHeight="1" x14ac:dyDescent="0.25">
      <c r="D392" s="3"/>
      <c r="E392" s="3"/>
      <c r="F392" s="3"/>
    </row>
    <row r="393" spans="4:6" ht="12.75" customHeight="1" x14ac:dyDescent="0.25">
      <c r="D393" s="3"/>
      <c r="E393" s="3"/>
      <c r="F393" s="3"/>
    </row>
    <row r="394" spans="4:6" ht="12.75" customHeight="1" x14ac:dyDescent="0.25">
      <c r="D394" s="3"/>
      <c r="E394" s="3"/>
      <c r="F394" s="3"/>
    </row>
    <row r="395" spans="4:6" ht="12.75" customHeight="1" x14ac:dyDescent="0.25">
      <c r="D395" s="3"/>
      <c r="E395" s="3"/>
      <c r="F395" s="3"/>
    </row>
    <row r="396" spans="4:6" ht="12.75" customHeight="1" x14ac:dyDescent="0.25">
      <c r="D396" s="3"/>
      <c r="E396" s="3"/>
      <c r="F396" s="3"/>
    </row>
    <row r="397" spans="4:6" ht="12.75" customHeight="1" x14ac:dyDescent="0.25">
      <c r="D397" s="3"/>
      <c r="E397" s="3"/>
      <c r="F397" s="3"/>
    </row>
    <row r="398" spans="4:6" ht="12.75" customHeight="1" x14ac:dyDescent="0.25">
      <c r="D398" s="3"/>
      <c r="E398" s="3"/>
      <c r="F398" s="3"/>
    </row>
    <row r="399" spans="4:6" ht="12.75" customHeight="1" x14ac:dyDescent="0.25">
      <c r="D399" s="3"/>
      <c r="E399" s="3"/>
      <c r="F399" s="3"/>
    </row>
    <row r="400" spans="4:6" ht="12.75" customHeight="1" x14ac:dyDescent="0.25">
      <c r="D400" s="3"/>
      <c r="E400" s="3"/>
      <c r="F400" s="3"/>
    </row>
    <row r="401" spans="4:6" ht="12.75" customHeight="1" x14ac:dyDescent="0.25">
      <c r="D401" s="3"/>
      <c r="E401" s="3"/>
      <c r="F401" s="3"/>
    </row>
    <row r="402" spans="4:6" ht="12.75" customHeight="1" x14ac:dyDescent="0.25">
      <c r="D402" s="3"/>
      <c r="E402" s="3"/>
      <c r="F402" s="3"/>
    </row>
    <row r="403" spans="4:6" ht="12.75" customHeight="1" x14ac:dyDescent="0.25">
      <c r="D403" s="3"/>
      <c r="E403" s="3"/>
      <c r="F403" s="3"/>
    </row>
    <row r="404" spans="4:6" ht="12.75" customHeight="1" x14ac:dyDescent="0.25">
      <c r="D404" s="3"/>
      <c r="E404" s="3"/>
      <c r="F404" s="3"/>
    </row>
    <row r="405" spans="4:6" ht="12.75" customHeight="1" x14ac:dyDescent="0.25">
      <c r="D405" s="3"/>
      <c r="E405" s="3"/>
      <c r="F405" s="3"/>
    </row>
    <row r="406" spans="4:6" ht="12.75" customHeight="1" x14ac:dyDescent="0.25">
      <c r="D406" s="3"/>
      <c r="E406" s="3"/>
      <c r="F406" s="3"/>
    </row>
    <row r="407" spans="4:6" ht="12.75" customHeight="1" x14ac:dyDescent="0.25">
      <c r="D407" s="3"/>
      <c r="E407" s="3"/>
      <c r="F407" s="3"/>
    </row>
    <row r="408" spans="4:6" ht="12.75" customHeight="1" x14ac:dyDescent="0.25">
      <c r="D408" s="3"/>
      <c r="E408" s="3"/>
      <c r="F408" s="3"/>
    </row>
    <row r="409" spans="4:6" ht="12.75" customHeight="1" x14ac:dyDescent="0.25">
      <c r="D409" s="3"/>
      <c r="E409" s="3"/>
      <c r="F409" s="3"/>
    </row>
    <row r="410" spans="4:6" ht="12.75" customHeight="1" x14ac:dyDescent="0.25">
      <c r="D410" s="3"/>
      <c r="E410" s="3"/>
      <c r="F410" s="3"/>
    </row>
    <row r="411" spans="4:6" ht="12.75" customHeight="1" x14ac:dyDescent="0.25">
      <c r="D411" s="3"/>
      <c r="E411" s="3"/>
      <c r="F411" s="3"/>
    </row>
    <row r="412" spans="4:6" ht="12.75" customHeight="1" x14ac:dyDescent="0.25">
      <c r="D412" s="3"/>
      <c r="E412" s="3"/>
      <c r="F412" s="3"/>
    </row>
    <row r="413" spans="4:6" ht="12.75" customHeight="1" x14ac:dyDescent="0.25">
      <c r="D413" s="3"/>
      <c r="E413" s="3"/>
      <c r="F413" s="3"/>
    </row>
    <row r="414" spans="4:6" ht="12.75" customHeight="1" x14ac:dyDescent="0.25">
      <c r="D414" s="3"/>
      <c r="E414" s="3"/>
      <c r="F414" s="3"/>
    </row>
    <row r="415" spans="4:6" ht="12.75" customHeight="1" x14ac:dyDescent="0.25">
      <c r="D415" s="3"/>
      <c r="E415" s="3"/>
      <c r="F415" s="3"/>
    </row>
    <row r="416" spans="4:6" ht="12.75" customHeight="1" x14ac:dyDescent="0.25">
      <c r="D416" s="3"/>
      <c r="E416" s="3"/>
      <c r="F416" s="3"/>
    </row>
    <row r="417" spans="4:6" ht="12.75" customHeight="1" x14ac:dyDescent="0.25">
      <c r="D417" s="3"/>
      <c r="E417" s="3"/>
      <c r="F417" s="3"/>
    </row>
    <row r="418" spans="4:6" ht="12.75" customHeight="1" x14ac:dyDescent="0.25">
      <c r="D418" s="3"/>
      <c r="E418" s="3"/>
      <c r="F418" s="3"/>
    </row>
    <row r="419" spans="4:6" ht="12.75" customHeight="1" x14ac:dyDescent="0.25">
      <c r="D419" s="3"/>
      <c r="E419" s="3"/>
      <c r="F419" s="3"/>
    </row>
    <row r="420" spans="4:6" ht="12.75" customHeight="1" x14ac:dyDescent="0.25">
      <c r="D420" s="3"/>
      <c r="E420" s="3"/>
      <c r="F420" s="3"/>
    </row>
    <row r="421" spans="4:6" ht="12.75" customHeight="1" x14ac:dyDescent="0.25">
      <c r="D421" s="3"/>
      <c r="E421" s="3"/>
      <c r="F421" s="3"/>
    </row>
    <row r="422" spans="4:6" ht="12.75" customHeight="1" x14ac:dyDescent="0.25">
      <c r="D422" s="3"/>
      <c r="E422" s="3"/>
      <c r="F422" s="3"/>
    </row>
    <row r="423" spans="4:6" ht="12.75" customHeight="1" x14ac:dyDescent="0.25">
      <c r="D423" s="3"/>
      <c r="E423" s="3"/>
      <c r="F423" s="3"/>
    </row>
    <row r="424" spans="4:6" ht="12.75" customHeight="1" x14ac:dyDescent="0.25">
      <c r="D424" s="3"/>
      <c r="E424" s="3"/>
      <c r="F424" s="3"/>
    </row>
    <row r="425" spans="4:6" ht="12.75" customHeight="1" x14ac:dyDescent="0.25">
      <c r="D425" s="3"/>
      <c r="E425" s="3"/>
      <c r="F425" s="3"/>
    </row>
    <row r="426" spans="4:6" ht="12.75" customHeight="1" x14ac:dyDescent="0.25">
      <c r="D426" s="3"/>
      <c r="E426" s="3"/>
      <c r="F426" s="3"/>
    </row>
    <row r="427" spans="4:6" ht="12.75" customHeight="1" x14ac:dyDescent="0.25">
      <c r="D427" s="3"/>
      <c r="E427" s="3"/>
      <c r="F427" s="3"/>
    </row>
    <row r="428" spans="4:6" ht="12.75" customHeight="1" x14ac:dyDescent="0.25">
      <c r="D428" s="3"/>
      <c r="E428" s="3"/>
      <c r="F428" s="3"/>
    </row>
    <row r="429" spans="4:6" ht="12.75" customHeight="1" x14ac:dyDescent="0.25">
      <c r="D429" s="3"/>
      <c r="E429" s="3"/>
      <c r="F429" s="3"/>
    </row>
    <row r="430" spans="4:6" ht="12.75" customHeight="1" x14ac:dyDescent="0.25">
      <c r="D430" s="3"/>
      <c r="E430" s="3"/>
      <c r="F430" s="3"/>
    </row>
    <row r="431" spans="4:6" ht="12.75" customHeight="1" x14ac:dyDescent="0.25">
      <c r="D431" s="3"/>
      <c r="E431" s="3"/>
      <c r="F431" s="3"/>
    </row>
    <row r="432" spans="4:6" ht="12.75" customHeight="1" x14ac:dyDescent="0.25">
      <c r="D432" s="3"/>
      <c r="E432" s="3"/>
      <c r="F432" s="3"/>
    </row>
    <row r="433" spans="4:6" ht="12.75" customHeight="1" x14ac:dyDescent="0.25">
      <c r="D433" s="3"/>
      <c r="E433" s="3"/>
      <c r="F433" s="3"/>
    </row>
    <row r="434" spans="4:6" ht="12.75" customHeight="1" x14ac:dyDescent="0.25">
      <c r="D434" s="3"/>
      <c r="E434" s="3"/>
      <c r="F434" s="3"/>
    </row>
    <row r="435" spans="4:6" ht="12.75" customHeight="1" x14ac:dyDescent="0.25">
      <c r="D435" s="3"/>
      <c r="E435" s="3"/>
      <c r="F435" s="3"/>
    </row>
    <row r="436" spans="4:6" ht="12.75" customHeight="1" x14ac:dyDescent="0.25">
      <c r="D436" s="3"/>
      <c r="E436" s="3"/>
      <c r="F436" s="3"/>
    </row>
    <row r="437" spans="4:6" ht="12.75" customHeight="1" x14ac:dyDescent="0.25">
      <c r="D437" s="3"/>
      <c r="E437" s="3"/>
      <c r="F437" s="3"/>
    </row>
    <row r="438" spans="4:6" ht="12.75" customHeight="1" x14ac:dyDescent="0.25">
      <c r="D438" s="3"/>
      <c r="E438" s="3"/>
      <c r="F438" s="3"/>
    </row>
    <row r="439" spans="4:6" ht="12.75" customHeight="1" x14ac:dyDescent="0.25">
      <c r="D439" s="3"/>
      <c r="E439" s="3"/>
      <c r="F439" s="3"/>
    </row>
    <row r="440" spans="4:6" ht="12.75" customHeight="1" x14ac:dyDescent="0.25">
      <c r="D440" s="3"/>
      <c r="E440" s="3"/>
      <c r="F440" s="3"/>
    </row>
    <row r="441" spans="4:6" ht="12.75" customHeight="1" x14ac:dyDescent="0.25">
      <c r="D441" s="3"/>
      <c r="E441" s="3"/>
      <c r="F441" s="3"/>
    </row>
    <row r="442" spans="4:6" ht="12.75" customHeight="1" x14ac:dyDescent="0.25">
      <c r="D442" s="3"/>
      <c r="E442" s="3"/>
      <c r="F442" s="3"/>
    </row>
    <row r="443" spans="4:6" ht="12.75" customHeight="1" x14ac:dyDescent="0.25">
      <c r="D443" s="3"/>
      <c r="E443" s="3"/>
      <c r="F443" s="3"/>
    </row>
    <row r="444" spans="4:6" ht="12.75" customHeight="1" x14ac:dyDescent="0.25">
      <c r="D444" s="3"/>
      <c r="E444" s="3"/>
      <c r="F444" s="3"/>
    </row>
    <row r="445" spans="4:6" ht="12.75" customHeight="1" x14ac:dyDescent="0.25">
      <c r="D445" s="3"/>
      <c r="E445" s="3"/>
      <c r="F445" s="3"/>
    </row>
    <row r="446" spans="4:6" ht="12.75" customHeight="1" x14ac:dyDescent="0.25">
      <c r="D446" s="3"/>
      <c r="E446" s="3"/>
      <c r="F446" s="3"/>
    </row>
    <row r="447" spans="4:6" ht="12.75" customHeight="1" x14ac:dyDescent="0.25">
      <c r="D447" s="3"/>
      <c r="E447" s="3"/>
      <c r="F447" s="3"/>
    </row>
    <row r="448" spans="4:6" ht="12.75" customHeight="1" x14ac:dyDescent="0.25">
      <c r="D448" s="3"/>
      <c r="E448" s="3"/>
      <c r="F448" s="3"/>
    </row>
    <row r="449" spans="4:6" ht="12.75" customHeight="1" x14ac:dyDescent="0.25">
      <c r="D449" s="3"/>
      <c r="E449" s="3"/>
      <c r="F449" s="3"/>
    </row>
    <row r="450" spans="4:6" ht="12.75" customHeight="1" x14ac:dyDescent="0.25">
      <c r="D450" s="3"/>
      <c r="E450" s="3"/>
      <c r="F450" s="3"/>
    </row>
    <row r="451" spans="4:6" ht="12.75" customHeight="1" x14ac:dyDescent="0.25">
      <c r="D451" s="3"/>
      <c r="E451" s="3"/>
      <c r="F451" s="3"/>
    </row>
    <row r="452" spans="4:6" ht="12.75" customHeight="1" x14ac:dyDescent="0.25">
      <c r="D452" s="3"/>
      <c r="E452" s="3"/>
      <c r="F452" s="3"/>
    </row>
    <row r="453" spans="4:6" ht="12.75" customHeight="1" x14ac:dyDescent="0.25">
      <c r="D453" s="3"/>
      <c r="E453" s="3"/>
      <c r="F453" s="3"/>
    </row>
    <row r="454" spans="4:6" ht="12.75" customHeight="1" x14ac:dyDescent="0.25">
      <c r="D454" s="3"/>
      <c r="E454" s="3"/>
      <c r="F454" s="3"/>
    </row>
    <row r="455" spans="4:6" ht="12.75" customHeight="1" x14ac:dyDescent="0.25">
      <c r="D455" s="3"/>
      <c r="E455" s="3"/>
      <c r="F455" s="3"/>
    </row>
    <row r="456" spans="4:6" ht="12.75" customHeight="1" x14ac:dyDescent="0.25">
      <c r="D456" s="3"/>
      <c r="E456" s="3"/>
      <c r="F456" s="3"/>
    </row>
    <row r="457" spans="4:6" ht="12.75" customHeight="1" x14ac:dyDescent="0.25">
      <c r="D457" s="3"/>
      <c r="E457" s="3"/>
      <c r="F457" s="3"/>
    </row>
    <row r="458" spans="4:6" ht="12.75" customHeight="1" x14ac:dyDescent="0.25">
      <c r="D458" s="3"/>
      <c r="E458" s="3"/>
      <c r="F458" s="3"/>
    </row>
    <row r="459" spans="4:6" ht="12.75" customHeight="1" x14ac:dyDescent="0.25">
      <c r="D459" s="3"/>
      <c r="E459" s="3"/>
      <c r="F459" s="3"/>
    </row>
    <row r="460" spans="4:6" ht="12.75" customHeight="1" x14ac:dyDescent="0.25">
      <c r="D460" s="3"/>
      <c r="E460" s="3"/>
      <c r="F460" s="3"/>
    </row>
    <row r="461" spans="4:6" ht="12.75" customHeight="1" x14ac:dyDescent="0.25">
      <c r="D461" s="3"/>
      <c r="E461" s="3"/>
      <c r="F461" s="3"/>
    </row>
    <row r="462" spans="4:6" ht="12.75" customHeight="1" x14ac:dyDescent="0.25">
      <c r="D462" s="3"/>
      <c r="E462" s="3"/>
      <c r="F462" s="3"/>
    </row>
    <row r="463" spans="4:6" ht="12.75" customHeight="1" x14ac:dyDescent="0.25">
      <c r="D463" s="3"/>
      <c r="E463" s="3"/>
      <c r="F463" s="3"/>
    </row>
    <row r="464" spans="4:6" ht="12.75" customHeight="1" x14ac:dyDescent="0.25">
      <c r="D464" s="3"/>
      <c r="E464" s="3"/>
      <c r="F464" s="3"/>
    </row>
    <row r="465" spans="4:6" ht="12.75" customHeight="1" x14ac:dyDescent="0.25">
      <c r="D465" s="3"/>
      <c r="E465" s="3"/>
      <c r="F465" s="3"/>
    </row>
    <row r="466" spans="4:6" ht="12.75" customHeight="1" x14ac:dyDescent="0.25">
      <c r="D466" s="3"/>
      <c r="E466" s="3"/>
      <c r="F466" s="3"/>
    </row>
    <row r="467" spans="4:6" ht="12.75" customHeight="1" x14ac:dyDescent="0.25">
      <c r="D467" s="3"/>
      <c r="E467" s="3"/>
      <c r="F467" s="3"/>
    </row>
    <row r="468" spans="4:6" ht="12.75" customHeight="1" x14ac:dyDescent="0.25">
      <c r="D468" s="3"/>
      <c r="E468" s="3"/>
      <c r="F468" s="3"/>
    </row>
    <row r="469" spans="4:6" ht="12.75" customHeight="1" x14ac:dyDescent="0.25">
      <c r="D469" s="3"/>
      <c r="E469" s="3"/>
      <c r="F469" s="3"/>
    </row>
    <row r="470" spans="4:6" ht="12.75" customHeight="1" x14ac:dyDescent="0.25">
      <c r="D470" s="3"/>
      <c r="E470" s="3"/>
      <c r="F470" s="3"/>
    </row>
    <row r="471" spans="4:6" ht="12.75" customHeight="1" x14ac:dyDescent="0.25">
      <c r="D471" s="3"/>
      <c r="E471" s="3"/>
      <c r="F471" s="3"/>
    </row>
    <row r="472" spans="4:6" ht="12.75" customHeight="1" x14ac:dyDescent="0.25">
      <c r="D472" s="3"/>
      <c r="E472" s="3"/>
      <c r="F472" s="3"/>
    </row>
    <row r="473" spans="4:6" ht="12.75" customHeight="1" x14ac:dyDescent="0.25">
      <c r="D473" s="3"/>
      <c r="E473" s="3"/>
      <c r="F473" s="3"/>
    </row>
    <row r="474" spans="4:6" ht="12.75" customHeight="1" x14ac:dyDescent="0.25">
      <c r="D474" s="3"/>
      <c r="E474" s="3"/>
      <c r="F474" s="3"/>
    </row>
    <row r="475" spans="4:6" ht="12.75" customHeight="1" x14ac:dyDescent="0.25">
      <c r="D475" s="3"/>
      <c r="E475" s="3"/>
      <c r="F475" s="3"/>
    </row>
    <row r="476" spans="4:6" ht="12.75" customHeight="1" x14ac:dyDescent="0.25">
      <c r="D476" s="3"/>
      <c r="E476" s="3"/>
      <c r="F476" s="3"/>
    </row>
    <row r="477" spans="4:6" ht="12.75" customHeight="1" x14ac:dyDescent="0.25">
      <c r="D477" s="3"/>
      <c r="E477" s="3"/>
      <c r="F477" s="3"/>
    </row>
    <row r="478" spans="4:6" ht="12.75" customHeight="1" x14ac:dyDescent="0.25">
      <c r="D478" s="3"/>
      <c r="E478" s="3"/>
      <c r="F478" s="3"/>
    </row>
    <row r="479" spans="4:6" ht="12.75" customHeight="1" x14ac:dyDescent="0.25">
      <c r="D479" s="3"/>
      <c r="E479" s="3"/>
      <c r="F479" s="3"/>
    </row>
    <row r="480" spans="4:6" ht="12.75" customHeight="1" x14ac:dyDescent="0.25">
      <c r="D480" s="3"/>
      <c r="E480" s="3"/>
      <c r="F480" s="3"/>
    </row>
    <row r="481" spans="4:6" ht="12.75" customHeight="1" x14ac:dyDescent="0.25">
      <c r="D481" s="3"/>
      <c r="E481" s="3"/>
      <c r="F481" s="3"/>
    </row>
    <row r="482" spans="4:6" ht="12.75" customHeight="1" x14ac:dyDescent="0.25">
      <c r="D482" s="3"/>
      <c r="E482" s="3"/>
      <c r="F482" s="3"/>
    </row>
    <row r="483" spans="4:6" ht="12.75" customHeight="1" x14ac:dyDescent="0.25">
      <c r="D483" s="3"/>
      <c r="E483" s="3"/>
      <c r="F483" s="3"/>
    </row>
    <row r="484" spans="4:6" ht="12.75" customHeight="1" x14ac:dyDescent="0.25">
      <c r="D484" s="3"/>
      <c r="E484" s="3"/>
      <c r="F484" s="3"/>
    </row>
    <row r="485" spans="4:6" ht="12.75" customHeight="1" x14ac:dyDescent="0.25">
      <c r="D485" s="3"/>
      <c r="E485" s="3"/>
      <c r="F485" s="3"/>
    </row>
    <row r="486" spans="4:6" ht="12.75" customHeight="1" x14ac:dyDescent="0.25">
      <c r="D486" s="3"/>
      <c r="E486" s="3"/>
      <c r="F486" s="3"/>
    </row>
    <row r="487" spans="4:6" ht="12.75" customHeight="1" x14ac:dyDescent="0.25">
      <c r="D487" s="3"/>
      <c r="E487" s="3"/>
      <c r="F487" s="3"/>
    </row>
    <row r="488" spans="4:6" ht="12.75" customHeight="1" x14ac:dyDescent="0.25">
      <c r="D488" s="3"/>
      <c r="E488" s="3"/>
      <c r="F488" s="3"/>
    </row>
    <row r="489" spans="4:6" ht="12.75" customHeight="1" x14ac:dyDescent="0.25">
      <c r="D489" s="3"/>
      <c r="E489" s="3"/>
      <c r="F489" s="3"/>
    </row>
    <row r="490" spans="4:6" ht="12.75" customHeight="1" x14ac:dyDescent="0.25">
      <c r="D490" s="3"/>
      <c r="E490" s="3"/>
      <c r="F490" s="3"/>
    </row>
    <row r="491" spans="4:6" ht="12.75" customHeight="1" x14ac:dyDescent="0.25">
      <c r="D491" s="3"/>
      <c r="E491" s="3"/>
      <c r="F491" s="3"/>
    </row>
    <row r="492" spans="4:6" ht="12.75" customHeight="1" x14ac:dyDescent="0.25">
      <c r="D492" s="3"/>
      <c r="E492" s="3"/>
      <c r="F492" s="3"/>
    </row>
    <row r="493" spans="4:6" ht="12.75" customHeight="1" x14ac:dyDescent="0.25">
      <c r="D493" s="3"/>
      <c r="E493" s="3"/>
      <c r="F493" s="3"/>
    </row>
    <row r="494" spans="4:6" ht="12.75" customHeight="1" x14ac:dyDescent="0.25">
      <c r="D494" s="3"/>
      <c r="E494" s="3"/>
      <c r="F494" s="3"/>
    </row>
    <row r="495" spans="4:6" ht="12.75" customHeight="1" x14ac:dyDescent="0.25">
      <c r="D495" s="3"/>
      <c r="E495" s="3"/>
      <c r="F495" s="3"/>
    </row>
    <row r="496" spans="4:6" ht="12.75" customHeight="1" x14ac:dyDescent="0.25">
      <c r="D496" s="3"/>
      <c r="E496" s="3"/>
      <c r="F496" s="3"/>
    </row>
    <row r="497" spans="4:6" ht="12.75" customHeight="1" x14ac:dyDescent="0.25">
      <c r="D497" s="3"/>
      <c r="E497" s="3"/>
      <c r="F497" s="3"/>
    </row>
    <row r="498" spans="4:6" ht="12.75" customHeight="1" x14ac:dyDescent="0.25">
      <c r="D498" s="3"/>
      <c r="E498" s="3"/>
      <c r="F498" s="3"/>
    </row>
    <row r="499" spans="4:6" ht="12.75" customHeight="1" x14ac:dyDescent="0.25">
      <c r="D499" s="3"/>
      <c r="E499" s="3"/>
      <c r="F499" s="3"/>
    </row>
    <row r="500" spans="4:6" ht="12.75" customHeight="1" x14ac:dyDescent="0.25">
      <c r="D500" s="3"/>
      <c r="E500" s="3"/>
      <c r="F500" s="3"/>
    </row>
    <row r="501" spans="4:6" ht="12.75" customHeight="1" x14ac:dyDescent="0.25">
      <c r="D501" s="3"/>
      <c r="E501" s="3"/>
      <c r="F501" s="3"/>
    </row>
    <row r="502" spans="4:6" ht="12.75" customHeight="1" x14ac:dyDescent="0.25">
      <c r="D502" s="3"/>
      <c r="E502" s="3"/>
      <c r="F502" s="3"/>
    </row>
    <row r="503" spans="4:6" ht="12.75" customHeight="1" x14ac:dyDescent="0.25">
      <c r="D503" s="3"/>
      <c r="E503" s="3"/>
      <c r="F503" s="3"/>
    </row>
    <row r="504" spans="4:6" ht="12.75" customHeight="1" x14ac:dyDescent="0.25">
      <c r="D504" s="3"/>
      <c r="E504" s="3"/>
      <c r="F504" s="3"/>
    </row>
    <row r="505" spans="4:6" ht="12.75" customHeight="1" x14ac:dyDescent="0.25">
      <c r="D505" s="3"/>
      <c r="E505" s="3"/>
      <c r="F505" s="3"/>
    </row>
    <row r="506" spans="4:6" ht="12.75" customHeight="1" x14ac:dyDescent="0.25">
      <c r="D506" s="3"/>
      <c r="E506" s="3"/>
      <c r="F506" s="3"/>
    </row>
    <row r="507" spans="4:6" ht="12.75" customHeight="1" x14ac:dyDescent="0.25">
      <c r="D507" s="3"/>
      <c r="E507" s="3"/>
      <c r="F507" s="3"/>
    </row>
    <row r="508" spans="4:6" ht="12.75" customHeight="1" x14ac:dyDescent="0.25">
      <c r="D508" s="3"/>
      <c r="E508" s="3"/>
      <c r="F508" s="3"/>
    </row>
    <row r="509" spans="4:6" ht="12.75" customHeight="1" x14ac:dyDescent="0.25">
      <c r="D509" s="3"/>
      <c r="E509" s="3"/>
      <c r="F509" s="3"/>
    </row>
    <row r="510" spans="4:6" ht="12.75" customHeight="1" x14ac:dyDescent="0.25">
      <c r="D510" s="3"/>
      <c r="E510" s="3"/>
      <c r="F510" s="3"/>
    </row>
    <row r="511" spans="4:6" ht="12.75" customHeight="1" x14ac:dyDescent="0.25">
      <c r="D511" s="3"/>
      <c r="E511" s="3"/>
      <c r="F511" s="3"/>
    </row>
    <row r="512" spans="4:6" ht="12.75" customHeight="1" x14ac:dyDescent="0.25">
      <c r="D512" s="3"/>
      <c r="E512" s="3"/>
      <c r="F512" s="3"/>
    </row>
    <row r="513" spans="4:6" ht="12.75" customHeight="1" x14ac:dyDescent="0.25">
      <c r="D513" s="3"/>
      <c r="E513" s="3"/>
      <c r="F513" s="3"/>
    </row>
    <row r="514" spans="4:6" ht="12.75" customHeight="1" x14ac:dyDescent="0.25">
      <c r="D514" s="3"/>
      <c r="E514" s="3"/>
      <c r="F514" s="3"/>
    </row>
    <row r="515" spans="4:6" ht="12.75" customHeight="1" x14ac:dyDescent="0.25">
      <c r="D515" s="3"/>
      <c r="E515" s="3"/>
      <c r="F515" s="3"/>
    </row>
    <row r="516" spans="4:6" ht="12.75" customHeight="1" x14ac:dyDescent="0.25">
      <c r="D516" s="3"/>
      <c r="E516" s="3"/>
      <c r="F516" s="3"/>
    </row>
    <row r="517" spans="4:6" ht="12.75" customHeight="1" x14ac:dyDescent="0.25">
      <c r="D517" s="3"/>
      <c r="E517" s="3"/>
      <c r="F517" s="3"/>
    </row>
    <row r="518" spans="4:6" ht="12.75" customHeight="1" x14ac:dyDescent="0.25">
      <c r="D518" s="3"/>
      <c r="E518" s="3"/>
      <c r="F518" s="3"/>
    </row>
    <row r="519" spans="4:6" ht="12.75" customHeight="1" x14ac:dyDescent="0.25">
      <c r="D519" s="3"/>
      <c r="E519" s="3"/>
      <c r="F519" s="3"/>
    </row>
    <row r="520" spans="4:6" ht="12.75" customHeight="1" x14ac:dyDescent="0.25">
      <c r="D520" s="3"/>
      <c r="E520" s="3"/>
      <c r="F520" s="3"/>
    </row>
    <row r="521" spans="4:6" ht="12.75" customHeight="1" x14ac:dyDescent="0.25">
      <c r="D521" s="3"/>
      <c r="E521" s="3"/>
      <c r="F521" s="3"/>
    </row>
    <row r="522" spans="4:6" ht="12.75" customHeight="1" x14ac:dyDescent="0.25">
      <c r="D522" s="3"/>
      <c r="E522" s="3"/>
      <c r="F522" s="3"/>
    </row>
    <row r="523" spans="4:6" ht="12.75" customHeight="1" x14ac:dyDescent="0.25">
      <c r="D523" s="3"/>
      <c r="E523" s="3"/>
      <c r="F523" s="3"/>
    </row>
    <row r="524" spans="4:6" ht="12.75" customHeight="1" x14ac:dyDescent="0.25">
      <c r="D524" s="3"/>
      <c r="E524" s="3"/>
      <c r="F524" s="3"/>
    </row>
    <row r="525" spans="4:6" ht="12.75" customHeight="1" x14ac:dyDescent="0.25">
      <c r="D525" s="3"/>
      <c r="E525" s="3"/>
      <c r="F525" s="3"/>
    </row>
    <row r="526" spans="4:6" ht="12.75" customHeight="1" x14ac:dyDescent="0.25">
      <c r="D526" s="3"/>
      <c r="E526" s="3"/>
      <c r="F526" s="3"/>
    </row>
    <row r="527" spans="4:6" ht="12.75" customHeight="1" x14ac:dyDescent="0.25">
      <c r="D527" s="3"/>
      <c r="E527" s="3"/>
      <c r="F527" s="3"/>
    </row>
    <row r="528" spans="4:6" ht="12.75" customHeight="1" x14ac:dyDescent="0.25">
      <c r="D528" s="3"/>
      <c r="E528" s="3"/>
      <c r="F528" s="3"/>
    </row>
    <row r="529" spans="4:6" ht="12.75" customHeight="1" x14ac:dyDescent="0.25">
      <c r="D529" s="3"/>
      <c r="E529" s="3"/>
      <c r="F529" s="3"/>
    </row>
    <row r="530" spans="4:6" ht="12.75" customHeight="1" x14ac:dyDescent="0.25">
      <c r="D530" s="3"/>
      <c r="E530" s="3"/>
      <c r="F530" s="3"/>
    </row>
    <row r="531" spans="4:6" ht="12.75" customHeight="1" x14ac:dyDescent="0.25">
      <c r="D531" s="3"/>
      <c r="E531" s="3"/>
      <c r="F531" s="3"/>
    </row>
    <row r="532" spans="4:6" ht="12.75" customHeight="1" x14ac:dyDescent="0.25">
      <c r="D532" s="3"/>
      <c r="E532" s="3"/>
      <c r="F532" s="3"/>
    </row>
    <row r="533" spans="4:6" ht="12.75" customHeight="1" x14ac:dyDescent="0.25">
      <c r="D533" s="3"/>
      <c r="E533" s="3"/>
      <c r="F533" s="3"/>
    </row>
    <row r="534" spans="4:6" ht="12.75" customHeight="1" x14ac:dyDescent="0.25">
      <c r="D534" s="3"/>
      <c r="E534" s="3"/>
      <c r="F534" s="3"/>
    </row>
    <row r="535" spans="4:6" ht="12.75" customHeight="1" x14ac:dyDescent="0.25">
      <c r="D535" s="3"/>
      <c r="E535" s="3"/>
      <c r="F535" s="3"/>
    </row>
    <row r="536" spans="4:6" ht="12.75" customHeight="1" x14ac:dyDescent="0.25">
      <c r="D536" s="3"/>
      <c r="E536" s="3"/>
      <c r="F536" s="3"/>
    </row>
    <row r="537" spans="4:6" ht="12.75" customHeight="1" x14ac:dyDescent="0.25">
      <c r="D537" s="3"/>
      <c r="E537" s="3"/>
      <c r="F537" s="3"/>
    </row>
    <row r="538" spans="4:6" ht="12.75" customHeight="1" x14ac:dyDescent="0.25">
      <c r="D538" s="3"/>
      <c r="E538" s="3"/>
      <c r="F538" s="3"/>
    </row>
    <row r="539" spans="4:6" ht="12.75" customHeight="1" x14ac:dyDescent="0.25">
      <c r="D539" s="3"/>
      <c r="E539" s="3"/>
      <c r="F539" s="3"/>
    </row>
    <row r="540" spans="4:6" ht="12.75" customHeight="1" x14ac:dyDescent="0.25">
      <c r="D540" s="3"/>
      <c r="E540" s="3"/>
      <c r="F540" s="3"/>
    </row>
    <row r="541" spans="4:6" ht="12.75" customHeight="1" x14ac:dyDescent="0.25">
      <c r="D541" s="3"/>
      <c r="E541" s="3"/>
      <c r="F541" s="3"/>
    </row>
    <row r="542" spans="4:6" ht="12.75" customHeight="1" x14ac:dyDescent="0.25">
      <c r="D542" s="3"/>
      <c r="E542" s="3"/>
      <c r="F542" s="3"/>
    </row>
    <row r="543" spans="4:6" ht="12.75" customHeight="1" x14ac:dyDescent="0.25">
      <c r="D543" s="3"/>
      <c r="E543" s="3"/>
      <c r="F543" s="3"/>
    </row>
    <row r="544" spans="4:6" ht="12.75" customHeight="1" x14ac:dyDescent="0.25">
      <c r="D544" s="3"/>
      <c r="E544" s="3"/>
      <c r="F544" s="3"/>
    </row>
    <row r="545" spans="4:6" ht="12.75" customHeight="1" x14ac:dyDescent="0.25">
      <c r="D545" s="3"/>
      <c r="E545" s="3"/>
      <c r="F545" s="3"/>
    </row>
    <row r="546" spans="4:6" ht="12.75" customHeight="1" x14ac:dyDescent="0.25">
      <c r="D546" s="3"/>
      <c r="E546" s="3"/>
      <c r="F546" s="3"/>
    </row>
    <row r="547" spans="4:6" ht="12.75" customHeight="1" x14ac:dyDescent="0.25">
      <c r="D547" s="3"/>
      <c r="E547" s="3"/>
      <c r="F547" s="3"/>
    </row>
    <row r="548" spans="4:6" ht="12.75" customHeight="1" x14ac:dyDescent="0.25">
      <c r="D548" s="3"/>
      <c r="E548" s="3"/>
      <c r="F548" s="3"/>
    </row>
    <row r="549" spans="4:6" ht="12.75" customHeight="1" x14ac:dyDescent="0.25">
      <c r="D549" s="3"/>
      <c r="E549" s="3"/>
      <c r="F549" s="3"/>
    </row>
    <row r="550" spans="4:6" ht="12.75" customHeight="1" x14ac:dyDescent="0.25">
      <c r="D550" s="3"/>
      <c r="E550" s="3"/>
      <c r="F550" s="3"/>
    </row>
    <row r="551" spans="4:6" ht="12.75" customHeight="1" x14ac:dyDescent="0.25">
      <c r="D551" s="3"/>
      <c r="E551" s="3"/>
      <c r="F551" s="3"/>
    </row>
    <row r="552" spans="4:6" ht="12.75" customHeight="1" x14ac:dyDescent="0.25">
      <c r="D552" s="3"/>
      <c r="E552" s="3"/>
      <c r="F552" s="3"/>
    </row>
    <row r="553" spans="4:6" ht="12.75" customHeight="1" x14ac:dyDescent="0.25">
      <c r="D553" s="3"/>
      <c r="E553" s="3"/>
      <c r="F553" s="3"/>
    </row>
    <row r="554" spans="4:6" ht="12.75" customHeight="1" x14ac:dyDescent="0.25">
      <c r="D554" s="3"/>
      <c r="E554" s="3"/>
      <c r="F554" s="3"/>
    </row>
    <row r="555" spans="4:6" ht="12.75" customHeight="1" x14ac:dyDescent="0.25">
      <c r="D555" s="3"/>
      <c r="E555" s="3"/>
      <c r="F555" s="3"/>
    </row>
    <row r="556" spans="4:6" ht="12.75" customHeight="1" x14ac:dyDescent="0.25">
      <c r="D556" s="3"/>
      <c r="E556" s="3"/>
      <c r="F556" s="3"/>
    </row>
    <row r="557" spans="4:6" ht="12.75" customHeight="1" x14ac:dyDescent="0.25">
      <c r="D557" s="3"/>
      <c r="E557" s="3"/>
      <c r="F557" s="3"/>
    </row>
    <row r="558" spans="4:6" ht="12.75" customHeight="1" x14ac:dyDescent="0.25">
      <c r="D558" s="3"/>
      <c r="E558" s="3"/>
      <c r="F558" s="3"/>
    </row>
    <row r="559" spans="4:6" ht="12.75" customHeight="1" x14ac:dyDescent="0.25">
      <c r="D559" s="3"/>
      <c r="E559" s="3"/>
      <c r="F559" s="3"/>
    </row>
    <row r="560" spans="4:6" ht="12.75" customHeight="1" x14ac:dyDescent="0.25">
      <c r="D560" s="3"/>
      <c r="E560" s="3"/>
      <c r="F560" s="3"/>
    </row>
    <row r="561" spans="4:6" ht="12.75" customHeight="1" x14ac:dyDescent="0.25">
      <c r="D561" s="3"/>
      <c r="E561" s="3"/>
      <c r="F561" s="3"/>
    </row>
    <row r="562" spans="4:6" ht="12.75" customHeight="1" x14ac:dyDescent="0.25">
      <c r="D562" s="3"/>
      <c r="E562" s="3"/>
      <c r="F562" s="3"/>
    </row>
    <row r="563" spans="4:6" ht="12.75" customHeight="1" x14ac:dyDescent="0.25">
      <c r="D563" s="3"/>
      <c r="E563" s="3"/>
      <c r="F563" s="3"/>
    </row>
    <row r="564" spans="4:6" ht="12.75" customHeight="1" x14ac:dyDescent="0.25">
      <c r="D564" s="3"/>
      <c r="E564" s="3"/>
      <c r="F564" s="3"/>
    </row>
    <row r="565" spans="4:6" ht="12.75" customHeight="1" x14ac:dyDescent="0.25">
      <c r="D565" s="3"/>
      <c r="E565" s="3"/>
      <c r="F565" s="3"/>
    </row>
    <row r="566" spans="4:6" ht="12.75" customHeight="1" x14ac:dyDescent="0.25">
      <c r="D566" s="3"/>
      <c r="E566" s="3"/>
      <c r="F566" s="3"/>
    </row>
    <row r="567" spans="4:6" ht="12.75" customHeight="1" x14ac:dyDescent="0.25">
      <c r="D567" s="3"/>
      <c r="E567" s="3"/>
      <c r="F567" s="3"/>
    </row>
    <row r="568" spans="4:6" ht="12.75" customHeight="1" x14ac:dyDescent="0.25">
      <c r="D568" s="3"/>
      <c r="E568" s="3"/>
      <c r="F568" s="3"/>
    </row>
    <row r="569" spans="4:6" ht="12.75" customHeight="1" x14ac:dyDescent="0.25">
      <c r="D569" s="3"/>
      <c r="E569" s="3"/>
      <c r="F569" s="3"/>
    </row>
    <row r="570" spans="4:6" ht="12.75" customHeight="1" x14ac:dyDescent="0.25">
      <c r="D570" s="3"/>
      <c r="E570" s="3"/>
      <c r="F570" s="3"/>
    </row>
    <row r="571" spans="4:6" ht="12.75" customHeight="1" x14ac:dyDescent="0.25">
      <c r="D571" s="3"/>
      <c r="E571" s="3"/>
      <c r="F571" s="3"/>
    </row>
    <row r="572" spans="4:6" ht="12.75" customHeight="1" x14ac:dyDescent="0.25">
      <c r="D572" s="3"/>
      <c r="E572" s="3"/>
      <c r="F572" s="3"/>
    </row>
    <row r="573" spans="4:6" ht="12.75" customHeight="1" x14ac:dyDescent="0.25">
      <c r="D573" s="3"/>
      <c r="E573" s="3"/>
      <c r="F573" s="3"/>
    </row>
    <row r="574" spans="4:6" ht="12.75" customHeight="1" x14ac:dyDescent="0.25">
      <c r="D574" s="3"/>
      <c r="E574" s="3"/>
      <c r="F574" s="3"/>
    </row>
    <row r="575" spans="4:6" ht="12.75" customHeight="1" x14ac:dyDescent="0.25">
      <c r="D575" s="3"/>
      <c r="E575" s="3"/>
      <c r="F575" s="3"/>
    </row>
    <row r="576" spans="4:6" ht="12.75" customHeight="1" x14ac:dyDescent="0.25">
      <c r="D576" s="3"/>
      <c r="E576" s="3"/>
      <c r="F576" s="3"/>
    </row>
    <row r="577" spans="4:6" ht="12.75" customHeight="1" x14ac:dyDescent="0.25">
      <c r="D577" s="3"/>
      <c r="E577" s="3"/>
      <c r="F577" s="3"/>
    </row>
    <row r="578" spans="4:6" ht="12.75" customHeight="1" x14ac:dyDescent="0.25">
      <c r="D578" s="3"/>
      <c r="E578" s="3"/>
      <c r="F578" s="3"/>
    </row>
    <row r="579" spans="4:6" ht="12.75" customHeight="1" x14ac:dyDescent="0.25">
      <c r="D579" s="3"/>
      <c r="E579" s="3"/>
      <c r="F579" s="3"/>
    </row>
    <row r="580" spans="4:6" ht="12.75" customHeight="1" x14ac:dyDescent="0.25">
      <c r="D580" s="3"/>
      <c r="E580" s="3"/>
      <c r="F580" s="3"/>
    </row>
    <row r="581" spans="4:6" ht="12.75" customHeight="1" x14ac:dyDescent="0.25">
      <c r="D581" s="3"/>
      <c r="E581" s="3"/>
      <c r="F581" s="3"/>
    </row>
    <row r="582" spans="4:6" ht="12.75" customHeight="1" x14ac:dyDescent="0.25">
      <c r="D582" s="3"/>
      <c r="E582" s="3"/>
      <c r="F582" s="3"/>
    </row>
    <row r="583" spans="4:6" ht="12.75" customHeight="1" x14ac:dyDescent="0.25">
      <c r="D583" s="3"/>
      <c r="E583" s="3"/>
      <c r="F583" s="3"/>
    </row>
    <row r="584" spans="4:6" ht="12.75" customHeight="1" x14ac:dyDescent="0.25">
      <c r="D584" s="3"/>
      <c r="E584" s="3"/>
      <c r="F584" s="3"/>
    </row>
    <row r="585" spans="4:6" ht="12.75" customHeight="1" x14ac:dyDescent="0.25">
      <c r="D585" s="3"/>
      <c r="E585" s="3"/>
      <c r="F585" s="3"/>
    </row>
    <row r="586" spans="4:6" ht="12.75" customHeight="1" x14ac:dyDescent="0.25">
      <c r="D586" s="3"/>
      <c r="E586" s="3"/>
      <c r="F586" s="3"/>
    </row>
    <row r="587" spans="4:6" ht="12.75" customHeight="1" x14ac:dyDescent="0.25">
      <c r="D587" s="3"/>
      <c r="E587" s="3"/>
      <c r="F587" s="3"/>
    </row>
    <row r="588" spans="4:6" ht="12.75" customHeight="1" x14ac:dyDescent="0.25">
      <c r="D588" s="3"/>
      <c r="E588" s="3"/>
      <c r="F588" s="3"/>
    </row>
    <row r="589" spans="4:6" ht="12.75" customHeight="1" x14ac:dyDescent="0.25">
      <c r="D589" s="3"/>
      <c r="E589" s="3"/>
      <c r="F589" s="3"/>
    </row>
    <row r="590" spans="4:6" ht="12.75" customHeight="1" x14ac:dyDescent="0.25">
      <c r="D590" s="3"/>
      <c r="E590" s="3"/>
      <c r="F590" s="3"/>
    </row>
    <row r="591" spans="4:6" ht="12.75" customHeight="1" x14ac:dyDescent="0.25">
      <c r="D591" s="3"/>
      <c r="E591" s="3"/>
      <c r="F591" s="3"/>
    </row>
    <row r="592" spans="4:6" ht="12.75" customHeight="1" x14ac:dyDescent="0.25">
      <c r="D592" s="3"/>
      <c r="E592" s="3"/>
      <c r="F592" s="3"/>
    </row>
    <row r="593" spans="4:6" ht="12.75" customHeight="1" x14ac:dyDescent="0.25">
      <c r="D593" s="3"/>
      <c r="E593" s="3"/>
      <c r="F593" s="3"/>
    </row>
    <row r="594" spans="4:6" ht="12.75" customHeight="1" x14ac:dyDescent="0.25">
      <c r="D594" s="3"/>
      <c r="E594" s="3"/>
      <c r="F594" s="3"/>
    </row>
    <row r="595" spans="4:6" ht="12.75" customHeight="1" x14ac:dyDescent="0.25">
      <c r="D595" s="3"/>
      <c r="E595" s="3"/>
      <c r="F595" s="3"/>
    </row>
    <row r="596" spans="4:6" ht="12.75" customHeight="1" x14ac:dyDescent="0.25">
      <c r="D596" s="3"/>
      <c r="E596" s="3"/>
      <c r="F596" s="3"/>
    </row>
    <row r="597" spans="4:6" ht="12.75" customHeight="1" x14ac:dyDescent="0.25">
      <c r="D597" s="3"/>
      <c r="E597" s="3"/>
      <c r="F597" s="3"/>
    </row>
    <row r="598" spans="4:6" ht="12.75" customHeight="1" x14ac:dyDescent="0.25">
      <c r="D598" s="3"/>
      <c r="E598" s="3"/>
      <c r="F598" s="3"/>
    </row>
    <row r="599" spans="4:6" ht="12.75" customHeight="1" x14ac:dyDescent="0.25">
      <c r="D599" s="3"/>
      <c r="E599" s="3"/>
      <c r="F599" s="3"/>
    </row>
    <row r="600" spans="4:6" ht="12.75" customHeight="1" x14ac:dyDescent="0.25">
      <c r="D600" s="3"/>
      <c r="E600" s="3"/>
      <c r="F600" s="3"/>
    </row>
    <row r="601" spans="4:6" ht="12.75" customHeight="1" x14ac:dyDescent="0.25">
      <c r="D601" s="3"/>
      <c r="E601" s="3"/>
      <c r="F601" s="3"/>
    </row>
    <row r="602" spans="4:6" ht="12.75" customHeight="1" x14ac:dyDescent="0.25">
      <c r="D602" s="3"/>
      <c r="E602" s="3"/>
      <c r="F602" s="3"/>
    </row>
    <row r="603" spans="4:6" ht="12.75" customHeight="1" x14ac:dyDescent="0.25">
      <c r="D603" s="3"/>
      <c r="E603" s="3"/>
      <c r="F603" s="3"/>
    </row>
    <row r="604" spans="4:6" ht="12.75" customHeight="1" x14ac:dyDescent="0.25">
      <c r="D604" s="3"/>
      <c r="E604" s="3"/>
      <c r="F604" s="3"/>
    </row>
    <row r="605" spans="4:6" ht="12.75" customHeight="1" x14ac:dyDescent="0.25">
      <c r="D605" s="3"/>
      <c r="E605" s="3"/>
      <c r="F605" s="3"/>
    </row>
    <row r="606" spans="4:6" ht="12.75" customHeight="1" x14ac:dyDescent="0.25">
      <c r="D606" s="3"/>
      <c r="E606" s="3"/>
      <c r="F606" s="3"/>
    </row>
    <row r="607" spans="4:6" ht="12.75" customHeight="1" x14ac:dyDescent="0.25">
      <c r="D607" s="3"/>
      <c r="E607" s="3"/>
      <c r="F607" s="3"/>
    </row>
    <row r="608" spans="4:6" ht="12.75" customHeight="1" x14ac:dyDescent="0.25">
      <c r="D608" s="3"/>
      <c r="E608" s="3"/>
      <c r="F608" s="3"/>
    </row>
    <row r="609" spans="4:6" ht="12.75" customHeight="1" x14ac:dyDescent="0.25">
      <c r="D609" s="3"/>
      <c r="E609" s="3"/>
      <c r="F609" s="3"/>
    </row>
    <row r="610" spans="4:6" ht="12.75" customHeight="1" x14ac:dyDescent="0.25">
      <c r="D610" s="3"/>
      <c r="E610" s="3"/>
      <c r="F610" s="3"/>
    </row>
    <row r="611" spans="4:6" ht="12.75" customHeight="1" x14ac:dyDescent="0.25">
      <c r="D611" s="3"/>
      <c r="E611" s="3"/>
      <c r="F611" s="3"/>
    </row>
    <row r="612" spans="4:6" ht="12.75" customHeight="1" x14ac:dyDescent="0.25">
      <c r="D612" s="3"/>
      <c r="E612" s="3"/>
      <c r="F612" s="3"/>
    </row>
    <row r="613" spans="4:6" ht="12.75" customHeight="1" x14ac:dyDescent="0.25">
      <c r="D613" s="3"/>
      <c r="E613" s="3"/>
      <c r="F613" s="3"/>
    </row>
    <row r="614" spans="4:6" ht="12.75" customHeight="1" x14ac:dyDescent="0.25">
      <c r="D614" s="3"/>
      <c r="E614" s="3"/>
      <c r="F614" s="3"/>
    </row>
    <row r="615" spans="4:6" ht="12.75" customHeight="1" x14ac:dyDescent="0.25">
      <c r="D615" s="3"/>
      <c r="E615" s="3"/>
      <c r="F615" s="3"/>
    </row>
    <row r="616" spans="4:6" ht="12.75" customHeight="1" x14ac:dyDescent="0.25">
      <c r="D616" s="3"/>
      <c r="E616" s="3"/>
      <c r="F616" s="3"/>
    </row>
    <row r="617" spans="4:6" ht="12.75" customHeight="1" x14ac:dyDescent="0.25">
      <c r="D617" s="3"/>
      <c r="E617" s="3"/>
      <c r="F617" s="3"/>
    </row>
    <row r="618" spans="4:6" ht="12.75" customHeight="1" x14ac:dyDescent="0.25">
      <c r="D618" s="3"/>
      <c r="E618" s="3"/>
      <c r="F618" s="3"/>
    </row>
    <row r="619" spans="4:6" ht="12.75" customHeight="1" x14ac:dyDescent="0.25">
      <c r="D619" s="3"/>
      <c r="E619" s="3"/>
      <c r="F619" s="3"/>
    </row>
    <row r="620" spans="4:6" ht="12.75" customHeight="1" x14ac:dyDescent="0.25">
      <c r="D620" s="3"/>
      <c r="E620" s="3"/>
      <c r="F620" s="3"/>
    </row>
    <row r="621" spans="4:6" ht="12.75" customHeight="1" x14ac:dyDescent="0.25">
      <c r="D621" s="3"/>
      <c r="E621" s="3"/>
      <c r="F621" s="3"/>
    </row>
    <row r="622" spans="4:6" ht="12.75" customHeight="1" x14ac:dyDescent="0.25">
      <c r="D622" s="3"/>
      <c r="E622" s="3"/>
      <c r="F622" s="3"/>
    </row>
    <row r="623" spans="4:6" ht="12.75" customHeight="1" x14ac:dyDescent="0.25">
      <c r="D623" s="3"/>
      <c r="E623" s="3"/>
      <c r="F623" s="3"/>
    </row>
    <row r="624" spans="4:6" ht="12.75" customHeight="1" x14ac:dyDescent="0.25">
      <c r="D624" s="3"/>
      <c r="E624" s="3"/>
      <c r="F624" s="3"/>
    </row>
    <row r="625" spans="4:6" ht="12.75" customHeight="1" x14ac:dyDescent="0.25">
      <c r="D625" s="3"/>
      <c r="E625" s="3"/>
      <c r="F625" s="3"/>
    </row>
    <row r="626" spans="4:6" ht="12.75" customHeight="1" x14ac:dyDescent="0.25">
      <c r="D626" s="3"/>
      <c r="E626" s="3"/>
      <c r="F626" s="3"/>
    </row>
    <row r="627" spans="4:6" ht="12.75" customHeight="1" x14ac:dyDescent="0.25">
      <c r="D627" s="3"/>
      <c r="E627" s="3"/>
      <c r="F627" s="3"/>
    </row>
    <row r="628" spans="4:6" ht="12.75" customHeight="1" x14ac:dyDescent="0.25">
      <c r="D628" s="3"/>
      <c r="E628" s="3"/>
      <c r="F628" s="3"/>
    </row>
    <row r="629" spans="4:6" ht="12.75" customHeight="1" x14ac:dyDescent="0.25">
      <c r="D629" s="3"/>
      <c r="E629" s="3"/>
      <c r="F629" s="3"/>
    </row>
    <row r="630" spans="4:6" ht="12.75" customHeight="1" x14ac:dyDescent="0.25">
      <c r="D630" s="3"/>
      <c r="E630" s="3"/>
      <c r="F630" s="3"/>
    </row>
    <row r="631" spans="4:6" ht="12.75" customHeight="1" x14ac:dyDescent="0.25">
      <c r="D631" s="3"/>
      <c r="E631" s="3"/>
      <c r="F631" s="3"/>
    </row>
    <row r="632" spans="4:6" ht="12.75" customHeight="1" x14ac:dyDescent="0.25">
      <c r="D632" s="3"/>
      <c r="E632" s="3"/>
      <c r="F632" s="3"/>
    </row>
    <row r="633" spans="4:6" ht="12.75" customHeight="1" x14ac:dyDescent="0.25">
      <c r="D633" s="3"/>
      <c r="E633" s="3"/>
      <c r="F633" s="3"/>
    </row>
    <row r="634" spans="4:6" ht="12.75" customHeight="1" x14ac:dyDescent="0.25">
      <c r="D634" s="3"/>
      <c r="E634" s="3"/>
      <c r="F634" s="3"/>
    </row>
    <row r="635" spans="4:6" ht="12.75" customHeight="1" x14ac:dyDescent="0.25">
      <c r="D635" s="3"/>
      <c r="E635" s="3"/>
      <c r="F635" s="3"/>
    </row>
    <row r="636" spans="4:6" ht="12.75" customHeight="1" x14ac:dyDescent="0.25">
      <c r="D636" s="3"/>
      <c r="E636" s="3"/>
      <c r="F636" s="3"/>
    </row>
    <row r="637" spans="4:6" ht="12.75" customHeight="1" x14ac:dyDescent="0.25">
      <c r="D637" s="3"/>
      <c r="E637" s="3"/>
      <c r="F637" s="3"/>
    </row>
    <row r="638" spans="4:6" ht="12.75" customHeight="1" x14ac:dyDescent="0.25">
      <c r="D638" s="3"/>
      <c r="E638" s="3"/>
      <c r="F638" s="3"/>
    </row>
    <row r="639" spans="4:6" ht="12.75" customHeight="1" x14ac:dyDescent="0.25">
      <c r="D639" s="3"/>
      <c r="E639" s="3"/>
      <c r="F639" s="3"/>
    </row>
    <row r="640" spans="4:6" ht="12.75" customHeight="1" x14ac:dyDescent="0.25">
      <c r="D640" s="3"/>
      <c r="E640" s="3"/>
      <c r="F640" s="3"/>
    </row>
    <row r="641" spans="4:6" ht="12.75" customHeight="1" x14ac:dyDescent="0.25">
      <c r="D641" s="3"/>
      <c r="E641" s="3"/>
      <c r="F641" s="3"/>
    </row>
    <row r="642" spans="4:6" ht="12.75" customHeight="1" x14ac:dyDescent="0.25">
      <c r="D642" s="3"/>
      <c r="E642" s="3"/>
      <c r="F642" s="3"/>
    </row>
    <row r="643" spans="4:6" ht="12.75" customHeight="1" x14ac:dyDescent="0.25">
      <c r="D643" s="3"/>
      <c r="E643" s="3"/>
      <c r="F643" s="3"/>
    </row>
    <row r="644" spans="4:6" ht="12.75" customHeight="1" x14ac:dyDescent="0.25">
      <c r="D644" s="3"/>
      <c r="E644" s="3"/>
      <c r="F644" s="3"/>
    </row>
    <row r="645" spans="4:6" ht="12.75" customHeight="1" x14ac:dyDescent="0.25">
      <c r="D645" s="3"/>
      <c r="E645" s="3"/>
      <c r="F645" s="3"/>
    </row>
    <row r="646" spans="4:6" ht="12.75" customHeight="1" x14ac:dyDescent="0.25">
      <c r="D646" s="3"/>
      <c r="E646" s="3"/>
      <c r="F646" s="3"/>
    </row>
    <row r="647" spans="4:6" ht="12.75" customHeight="1" x14ac:dyDescent="0.25">
      <c r="D647" s="3"/>
      <c r="E647" s="3"/>
      <c r="F647" s="3"/>
    </row>
    <row r="648" spans="4:6" ht="12.75" customHeight="1" x14ac:dyDescent="0.25">
      <c r="D648" s="3"/>
      <c r="E648" s="3"/>
      <c r="F648" s="3"/>
    </row>
    <row r="649" spans="4:6" ht="12.75" customHeight="1" x14ac:dyDescent="0.25">
      <c r="D649" s="3"/>
      <c r="E649" s="3"/>
      <c r="F649" s="3"/>
    </row>
    <row r="650" spans="4:6" ht="12.75" customHeight="1" x14ac:dyDescent="0.25">
      <c r="D650" s="3"/>
      <c r="E650" s="3"/>
      <c r="F650" s="3"/>
    </row>
    <row r="651" spans="4:6" ht="12.75" customHeight="1" x14ac:dyDescent="0.25">
      <c r="D651" s="3"/>
      <c r="E651" s="3"/>
      <c r="F651" s="3"/>
    </row>
    <row r="652" spans="4:6" ht="12.75" customHeight="1" x14ac:dyDescent="0.25">
      <c r="D652" s="3"/>
      <c r="E652" s="3"/>
      <c r="F652" s="3"/>
    </row>
    <row r="653" spans="4:6" ht="12.75" customHeight="1" x14ac:dyDescent="0.25">
      <c r="D653" s="3"/>
      <c r="E653" s="3"/>
      <c r="F653" s="3"/>
    </row>
    <row r="654" spans="4:6" ht="12.75" customHeight="1" x14ac:dyDescent="0.25">
      <c r="D654" s="3"/>
      <c r="E654" s="3"/>
      <c r="F654" s="3"/>
    </row>
    <row r="655" spans="4:6" ht="12.75" customHeight="1" x14ac:dyDescent="0.25">
      <c r="D655" s="3"/>
      <c r="E655" s="3"/>
      <c r="F655" s="3"/>
    </row>
    <row r="656" spans="4:6" ht="12.75" customHeight="1" x14ac:dyDescent="0.25">
      <c r="D656" s="3"/>
      <c r="E656" s="3"/>
      <c r="F656" s="3"/>
    </row>
    <row r="657" spans="4:6" ht="12.75" customHeight="1" x14ac:dyDescent="0.25">
      <c r="D657" s="3"/>
      <c r="E657" s="3"/>
      <c r="F657" s="3"/>
    </row>
    <row r="658" spans="4:6" ht="12.75" customHeight="1" x14ac:dyDescent="0.25">
      <c r="D658" s="3"/>
      <c r="E658" s="3"/>
      <c r="F658" s="3"/>
    </row>
    <row r="659" spans="4:6" ht="12.75" customHeight="1" x14ac:dyDescent="0.25">
      <c r="D659" s="3"/>
      <c r="E659" s="3"/>
      <c r="F659" s="3"/>
    </row>
    <row r="660" spans="4:6" ht="12.75" customHeight="1" x14ac:dyDescent="0.25">
      <c r="D660" s="3"/>
      <c r="E660" s="3"/>
      <c r="F660" s="3"/>
    </row>
    <row r="661" spans="4:6" ht="12.75" customHeight="1" x14ac:dyDescent="0.25">
      <c r="D661" s="3"/>
      <c r="E661" s="3"/>
      <c r="F661" s="3"/>
    </row>
    <row r="662" spans="4:6" ht="12.75" customHeight="1" x14ac:dyDescent="0.25">
      <c r="D662" s="3"/>
      <c r="E662" s="3"/>
      <c r="F662" s="3"/>
    </row>
    <row r="663" spans="4:6" ht="12.75" customHeight="1" x14ac:dyDescent="0.25">
      <c r="D663" s="3"/>
      <c r="E663" s="3"/>
      <c r="F663" s="3"/>
    </row>
    <row r="664" spans="4:6" ht="12.75" customHeight="1" x14ac:dyDescent="0.25">
      <c r="D664" s="3"/>
      <c r="E664" s="3"/>
      <c r="F664" s="3"/>
    </row>
    <row r="665" spans="4:6" ht="12.75" customHeight="1" x14ac:dyDescent="0.25">
      <c r="D665" s="3"/>
      <c r="E665" s="3"/>
      <c r="F665" s="3"/>
    </row>
    <row r="666" spans="4:6" ht="12.75" customHeight="1" x14ac:dyDescent="0.25">
      <c r="D666" s="3"/>
      <c r="E666" s="3"/>
      <c r="F666" s="3"/>
    </row>
    <row r="667" spans="4:6" ht="12.75" customHeight="1" x14ac:dyDescent="0.25">
      <c r="D667" s="3"/>
      <c r="E667" s="3"/>
      <c r="F667" s="3"/>
    </row>
    <row r="668" spans="4:6" ht="12.75" customHeight="1" x14ac:dyDescent="0.25">
      <c r="D668" s="3"/>
      <c r="E668" s="3"/>
      <c r="F668" s="3"/>
    </row>
    <row r="669" spans="4:6" ht="12.75" customHeight="1" x14ac:dyDescent="0.25">
      <c r="D669" s="3"/>
      <c r="E669" s="3"/>
      <c r="F669" s="3"/>
    </row>
    <row r="670" spans="4:6" ht="12.75" customHeight="1" x14ac:dyDescent="0.25">
      <c r="D670" s="3"/>
      <c r="E670" s="3"/>
      <c r="F670" s="3"/>
    </row>
    <row r="671" spans="4:6" ht="12.75" customHeight="1" x14ac:dyDescent="0.25">
      <c r="D671" s="3"/>
      <c r="E671" s="3"/>
      <c r="F671" s="3"/>
    </row>
    <row r="672" spans="4:6" ht="12.75" customHeight="1" x14ac:dyDescent="0.25">
      <c r="D672" s="3"/>
      <c r="E672" s="3"/>
      <c r="F672" s="3"/>
    </row>
    <row r="673" spans="4:6" ht="12.75" customHeight="1" x14ac:dyDescent="0.25">
      <c r="D673" s="3"/>
      <c r="E673" s="3"/>
      <c r="F673" s="3"/>
    </row>
    <row r="674" spans="4:6" ht="12.75" customHeight="1" x14ac:dyDescent="0.25">
      <c r="D674" s="3"/>
      <c r="E674" s="3"/>
      <c r="F674" s="3"/>
    </row>
    <row r="675" spans="4:6" ht="12.75" customHeight="1" x14ac:dyDescent="0.25">
      <c r="D675" s="3"/>
      <c r="E675" s="3"/>
      <c r="F675" s="3"/>
    </row>
    <row r="676" spans="4:6" ht="12.75" customHeight="1" x14ac:dyDescent="0.25">
      <c r="D676" s="3"/>
      <c r="E676" s="3"/>
      <c r="F676" s="3"/>
    </row>
    <row r="677" spans="4:6" ht="12.75" customHeight="1" x14ac:dyDescent="0.25">
      <c r="D677" s="3"/>
      <c r="E677" s="3"/>
      <c r="F677" s="3"/>
    </row>
    <row r="678" spans="4:6" ht="12.75" customHeight="1" x14ac:dyDescent="0.25">
      <c r="D678" s="3"/>
      <c r="E678" s="3"/>
      <c r="F678" s="3"/>
    </row>
    <row r="679" spans="4:6" ht="12.75" customHeight="1" x14ac:dyDescent="0.25">
      <c r="D679" s="3"/>
      <c r="E679" s="3"/>
      <c r="F679" s="3"/>
    </row>
    <row r="680" spans="4:6" ht="12.75" customHeight="1" x14ac:dyDescent="0.25">
      <c r="D680" s="3"/>
      <c r="E680" s="3"/>
      <c r="F680" s="3"/>
    </row>
    <row r="681" spans="4:6" ht="12.75" customHeight="1" x14ac:dyDescent="0.25">
      <c r="D681" s="3"/>
      <c r="E681" s="3"/>
      <c r="F681" s="3"/>
    </row>
    <row r="682" spans="4:6" ht="12.75" customHeight="1" x14ac:dyDescent="0.25">
      <c r="D682" s="3"/>
      <c r="E682" s="3"/>
      <c r="F682" s="3"/>
    </row>
    <row r="683" spans="4:6" ht="12.75" customHeight="1" x14ac:dyDescent="0.25">
      <c r="D683" s="3"/>
      <c r="E683" s="3"/>
      <c r="F683" s="3"/>
    </row>
    <row r="684" spans="4:6" ht="12.75" customHeight="1" x14ac:dyDescent="0.25">
      <c r="D684" s="3"/>
      <c r="E684" s="3"/>
      <c r="F684" s="3"/>
    </row>
    <row r="685" spans="4:6" ht="12.75" customHeight="1" x14ac:dyDescent="0.25">
      <c r="D685" s="3"/>
      <c r="E685" s="3"/>
      <c r="F685" s="3"/>
    </row>
    <row r="686" spans="4:6" ht="12.75" customHeight="1" x14ac:dyDescent="0.25">
      <c r="D686" s="3"/>
      <c r="E686" s="3"/>
      <c r="F686" s="3"/>
    </row>
    <row r="687" spans="4:6" ht="12.75" customHeight="1" x14ac:dyDescent="0.25">
      <c r="D687" s="3"/>
      <c r="E687" s="3"/>
      <c r="F687" s="3"/>
    </row>
    <row r="688" spans="4:6" ht="12.75" customHeight="1" x14ac:dyDescent="0.25">
      <c r="D688" s="3"/>
      <c r="E688" s="3"/>
      <c r="F688" s="3"/>
    </row>
    <row r="689" spans="4:6" ht="12.75" customHeight="1" x14ac:dyDescent="0.25">
      <c r="D689" s="3"/>
      <c r="E689" s="3"/>
      <c r="F689" s="3"/>
    </row>
    <row r="690" spans="4:6" ht="12.75" customHeight="1" x14ac:dyDescent="0.25">
      <c r="D690" s="3"/>
      <c r="E690" s="3"/>
      <c r="F690" s="3"/>
    </row>
    <row r="691" spans="4:6" ht="12.75" customHeight="1" x14ac:dyDescent="0.25">
      <c r="D691" s="3"/>
      <c r="E691" s="3"/>
      <c r="F691" s="3"/>
    </row>
    <row r="692" spans="4:6" ht="12.75" customHeight="1" x14ac:dyDescent="0.25">
      <c r="D692" s="3"/>
      <c r="E692" s="3"/>
      <c r="F692" s="3"/>
    </row>
    <row r="693" spans="4:6" ht="12.75" customHeight="1" x14ac:dyDescent="0.25">
      <c r="D693" s="3"/>
      <c r="E693" s="3"/>
      <c r="F693" s="3"/>
    </row>
    <row r="694" spans="4:6" ht="12.75" customHeight="1" x14ac:dyDescent="0.25">
      <c r="D694" s="3"/>
      <c r="E694" s="3"/>
      <c r="F694" s="3"/>
    </row>
    <row r="695" spans="4:6" ht="12.75" customHeight="1" x14ac:dyDescent="0.25">
      <c r="D695" s="3"/>
      <c r="E695" s="3"/>
      <c r="F695" s="3"/>
    </row>
    <row r="696" spans="4:6" ht="12.75" customHeight="1" x14ac:dyDescent="0.25">
      <c r="D696" s="3"/>
      <c r="E696" s="3"/>
      <c r="F696" s="3"/>
    </row>
    <row r="697" spans="4:6" ht="12.75" customHeight="1" x14ac:dyDescent="0.25">
      <c r="D697" s="3"/>
      <c r="E697" s="3"/>
      <c r="F697" s="3"/>
    </row>
    <row r="698" spans="4:6" ht="12.75" customHeight="1" x14ac:dyDescent="0.25">
      <c r="D698" s="3"/>
      <c r="E698" s="3"/>
      <c r="F698" s="3"/>
    </row>
    <row r="699" spans="4:6" ht="12.75" customHeight="1" x14ac:dyDescent="0.25">
      <c r="D699" s="3"/>
      <c r="E699" s="3"/>
      <c r="F699" s="3"/>
    </row>
    <row r="700" spans="4:6" ht="12.75" customHeight="1" x14ac:dyDescent="0.25">
      <c r="D700" s="3"/>
      <c r="E700" s="3"/>
      <c r="F700" s="3"/>
    </row>
    <row r="701" spans="4:6" ht="12.75" customHeight="1" x14ac:dyDescent="0.25">
      <c r="D701" s="3"/>
      <c r="E701" s="3"/>
      <c r="F701" s="3"/>
    </row>
    <row r="702" spans="4:6" ht="12.75" customHeight="1" x14ac:dyDescent="0.25">
      <c r="D702" s="3"/>
      <c r="E702" s="3"/>
      <c r="F702" s="3"/>
    </row>
    <row r="703" spans="4:6" ht="12.75" customHeight="1" x14ac:dyDescent="0.25">
      <c r="D703" s="3"/>
      <c r="E703" s="3"/>
      <c r="F703" s="3"/>
    </row>
    <row r="704" spans="4:6" ht="12.75" customHeight="1" x14ac:dyDescent="0.25">
      <c r="D704" s="3"/>
      <c r="E704" s="3"/>
      <c r="F704" s="3"/>
    </row>
    <row r="705" spans="4:6" ht="12.75" customHeight="1" x14ac:dyDescent="0.25">
      <c r="D705" s="3"/>
      <c r="E705" s="3"/>
      <c r="F705" s="3"/>
    </row>
    <row r="706" spans="4:6" ht="12.75" customHeight="1" x14ac:dyDescent="0.25">
      <c r="D706" s="3"/>
      <c r="E706" s="3"/>
      <c r="F706" s="3"/>
    </row>
    <row r="707" spans="4:6" ht="12.75" customHeight="1" x14ac:dyDescent="0.25">
      <c r="D707" s="3"/>
      <c r="E707" s="3"/>
      <c r="F707" s="3"/>
    </row>
    <row r="708" spans="4:6" ht="12.75" customHeight="1" x14ac:dyDescent="0.25">
      <c r="D708" s="3"/>
      <c r="E708" s="3"/>
      <c r="F708" s="3"/>
    </row>
    <row r="709" spans="4:6" ht="12.75" customHeight="1" x14ac:dyDescent="0.25">
      <c r="D709" s="3"/>
      <c r="E709" s="3"/>
      <c r="F709" s="3"/>
    </row>
    <row r="710" spans="4:6" ht="12.75" customHeight="1" x14ac:dyDescent="0.25">
      <c r="D710" s="3"/>
      <c r="E710" s="3"/>
      <c r="F710" s="3"/>
    </row>
    <row r="711" spans="4:6" ht="12.75" customHeight="1" x14ac:dyDescent="0.25">
      <c r="D711" s="3"/>
      <c r="E711" s="3"/>
      <c r="F711" s="3"/>
    </row>
    <row r="712" spans="4:6" ht="12.75" customHeight="1" x14ac:dyDescent="0.25">
      <c r="D712" s="3"/>
      <c r="E712" s="3"/>
      <c r="F712" s="3"/>
    </row>
    <row r="713" spans="4:6" ht="12.75" customHeight="1" x14ac:dyDescent="0.25">
      <c r="D713" s="3"/>
      <c r="E713" s="3"/>
      <c r="F713" s="3"/>
    </row>
    <row r="714" spans="4:6" ht="12.75" customHeight="1" x14ac:dyDescent="0.25">
      <c r="D714" s="3"/>
      <c r="E714" s="3"/>
      <c r="F714" s="3"/>
    </row>
    <row r="715" spans="4:6" ht="12.75" customHeight="1" x14ac:dyDescent="0.25">
      <c r="D715" s="3"/>
      <c r="E715" s="3"/>
      <c r="F715" s="3"/>
    </row>
    <row r="716" spans="4:6" ht="12.75" customHeight="1" x14ac:dyDescent="0.25">
      <c r="D716" s="3"/>
      <c r="E716" s="3"/>
      <c r="F716" s="3"/>
    </row>
    <row r="717" spans="4:6" ht="12.75" customHeight="1" x14ac:dyDescent="0.25">
      <c r="D717" s="3"/>
      <c r="E717" s="3"/>
      <c r="F717" s="3"/>
    </row>
    <row r="718" spans="4:6" ht="12.75" customHeight="1" x14ac:dyDescent="0.25">
      <c r="D718" s="3"/>
      <c r="E718" s="3"/>
      <c r="F718" s="3"/>
    </row>
    <row r="719" spans="4:6" ht="12.75" customHeight="1" x14ac:dyDescent="0.25">
      <c r="D719" s="3"/>
      <c r="E719" s="3"/>
      <c r="F719" s="3"/>
    </row>
    <row r="720" spans="4:6" ht="12.75" customHeight="1" x14ac:dyDescent="0.25">
      <c r="D720" s="3"/>
      <c r="E720" s="3"/>
      <c r="F720" s="3"/>
    </row>
    <row r="721" spans="4:6" ht="12.75" customHeight="1" x14ac:dyDescent="0.25">
      <c r="D721" s="3"/>
      <c r="E721" s="3"/>
      <c r="F721" s="3"/>
    </row>
    <row r="722" spans="4:6" ht="12.75" customHeight="1" x14ac:dyDescent="0.25">
      <c r="D722" s="3"/>
      <c r="E722" s="3"/>
      <c r="F722" s="3"/>
    </row>
    <row r="723" spans="4:6" ht="12.75" customHeight="1" x14ac:dyDescent="0.25">
      <c r="D723" s="3"/>
      <c r="E723" s="3"/>
      <c r="F723" s="3"/>
    </row>
    <row r="724" spans="4:6" ht="12.75" customHeight="1" x14ac:dyDescent="0.25">
      <c r="D724" s="3"/>
      <c r="E724" s="3"/>
      <c r="F724" s="3"/>
    </row>
    <row r="725" spans="4:6" ht="12.75" customHeight="1" x14ac:dyDescent="0.25">
      <c r="D725" s="3"/>
      <c r="E725" s="3"/>
      <c r="F725" s="3"/>
    </row>
    <row r="726" spans="4:6" ht="12.75" customHeight="1" x14ac:dyDescent="0.25">
      <c r="D726" s="3"/>
      <c r="E726" s="3"/>
      <c r="F726" s="3"/>
    </row>
    <row r="727" spans="4:6" ht="12.75" customHeight="1" x14ac:dyDescent="0.25">
      <c r="D727" s="3"/>
      <c r="E727" s="3"/>
      <c r="F727" s="3"/>
    </row>
    <row r="728" spans="4:6" ht="12.75" customHeight="1" x14ac:dyDescent="0.25">
      <c r="D728" s="3"/>
      <c r="E728" s="3"/>
      <c r="F728" s="3"/>
    </row>
    <row r="729" spans="4:6" ht="12.75" customHeight="1" x14ac:dyDescent="0.25">
      <c r="D729" s="3"/>
      <c r="E729" s="3"/>
      <c r="F729" s="3"/>
    </row>
    <row r="730" spans="4:6" ht="12.75" customHeight="1" x14ac:dyDescent="0.25">
      <c r="D730" s="3"/>
      <c r="E730" s="3"/>
      <c r="F730" s="3"/>
    </row>
    <row r="731" spans="4:6" ht="12.75" customHeight="1" x14ac:dyDescent="0.25">
      <c r="D731" s="3"/>
      <c r="E731" s="3"/>
      <c r="F731" s="3"/>
    </row>
    <row r="732" spans="4:6" ht="12.75" customHeight="1" x14ac:dyDescent="0.25">
      <c r="D732" s="3"/>
      <c r="E732" s="3"/>
      <c r="F732" s="3"/>
    </row>
    <row r="733" spans="4:6" ht="12.75" customHeight="1" x14ac:dyDescent="0.25">
      <c r="D733" s="3"/>
      <c r="E733" s="3"/>
      <c r="F733" s="3"/>
    </row>
    <row r="734" spans="4:6" ht="12.75" customHeight="1" x14ac:dyDescent="0.25">
      <c r="D734" s="3"/>
      <c r="E734" s="3"/>
      <c r="F734" s="3"/>
    </row>
    <row r="735" spans="4:6" ht="12.75" customHeight="1" x14ac:dyDescent="0.25">
      <c r="D735" s="3"/>
      <c r="E735" s="3"/>
      <c r="F735" s="3"/>
    </row>
    <row r="736" spans="4:6" ht="12.75" customHeight="1" x14ac:dyDescent="0.25">
      <c r="D736" s="3"/>
      <c r="E736" s="3"/>
      <c r="F736" s="3"/>
    </row>
    <row r="737" spans="4:6" ht="12.75" customHeight="1" x14ac:dyDescent="0.25">
      <c r="D737" s="3"/>
      <c r="E737" s="3"/>
      <c r="F737" s="3"/>
    </row>
    <row r="738" spans="4:6" ht="12.75" customHeight="1" x14ac:dyDescent="0.25">
      <c r="D738" s="3"/>
      <c r="E738" s="3"/>
      <c r="F738" s="3"/>
    </row>
    <row r="739" spans="4:6" ht="12.75" customHeight="1" x14ac:dyDescent="0.25">
      <c r="D739" s="3"/>
      <c r="E739" s="3"/>
      <c r="F739" s="3"/>
    </row>
    <row r="740" spans="4:6" ht="12.75" customHeight="1" x14ac:dyDescent="0.25">
      <c r="D740" s="3"/>
      <c r="E740" s="3"/>
      <c r="F740" s="3"/>
    </row>
    <row r="741" spans="4:6" ht="12.75" customHeight="1" x14ac:dyDescent="0.25">
      <c r="D741" s="3"/>
      <c r="E741" s="3"/>
      <c r="F741" s="3"/>
    </row>
    <row r="742" spans="4:6" ht="12.75" customHeight="1" x14ac:dyDescent="0.25">
      <c r="D742" s="3"/>
      <c r="E742" s="3"/>
      <c r="F742" s="3"/>
    </row>
    <row r="743" spans="4:6" ht="12.75" customHeight="1" x14ac:dyDescent="0.25">
      <c r="D743" s="3"/>
      <c r="E743" s="3"/>
      <c r="F743" s="3"/>
    </row>
    <row r="744" spans="4:6" ht="12.75" customHeight="1" x14ac:dyDescent="0.25">
      <c r="D744" s="3"/>
      <c r="E744" s="3"/>
      <c r="F744" s="3"/>
    </row>
    <row r="745" spans="4:6" ht="12.75" customHeight="1" x14ac:dyDescent="0.25">
      <c r="D745" s="3"/>
      <c r="E745" s="3"/>
      <c r="F745" s="3"/>
    </row>
    <row r="746" spans="4:6" ht="12.75" customHeight="1" x14ac:dyDescent="0.25">
      <c r="D746" s="3"/>
      <c r="E746" s="3"/>
      <c r="F746" s="3"/>
    </row>
    <row r="747" spans="4:6" ht="12.75" customHeight="1" x14ac:dyDescent="0.25">
      <c r="D747" s="3"/>
      <c r="E747" s="3"/>
      <c r="F747" s="3"/>
    </row>
    <row r="748" spans="4:6" ht="12.75" customHeight="1" x14ac:dyDescent="0.25">
      <c r="D748" s="3"/>
      <c r="E748" s="3"/>
      <c r="F748" s="3"/>
    </row>
    <row r="749" spans="4:6" ht="12.75" customHeight="1" x14ac:dyDescent="0.25">
      <c r="D749" s="3"/>
      <c r="E749" s="3"/>
      <c r="F749" s="3"/>
    </row>
    <row r="750" spans="4:6" ht="12.75" customHeight="1" x14ac:dyDescent="0.25">
      <c r="D750" s="3"/>
      <c r="E750" s="3"/>
      <c r="F750" s="3"/>
    </row>
    <row r="751" spans="4:6" ht="12.75" customHeight="1" x14ac:dyDescent="0.25">
      <c r="D751" s="3"/>
      <c r="E751" s="3"/>
      <c r="F751" s="3"/>
    </row>
    <row r="752" spans="4:6" ht="12.75" customHeight="1" x14ac:dyDescent="0.25">
      <c r="D752" s="3"/>
      <c r="E752" s="3"/>
      <c r="F752" s="3"/>
    </row>
    <row r="753" spans="4:6" ht="12.75" customHeight="1" x14ac:dyDescent="0.25">
      <c r="D753" s="3"/>
      <c r="E753" s="3"/>
      <c r="F753" s="3"/>
    </row>
    <row r="754" spans="4:6" ht="12.75" customHeight="1" x14ac:dyDescent="0.25">
      <c r="D754" s="3"/>
      <c r="E754" s="3"/>
      <c r="F754" s="3"/>
    </row>
    <row r="755" spans="4:6" ht="12.75" customHeight="1" x14ac:dyDescent="0.25">
      <c r="D755" s="3"/>
      <c r="E755" s="3"/>
      <c r="F755" s="3"/>
    </row>
    <row r="756" spans="4:6" ht="12.75" customHeight="1" x14ac:dyDescent="0.25">
      <c r="D756" s="3"/>
      <c r="E756" s="3"/>
      <c r="F756" s="3"/>
    </row>
    <row r="757" spans="4:6" ht="12.75" customHeight="1" x14ac:dyDescent="0.25">
      <c r="D757" s="3"/>
      <c r="E757" s="3"/>
      <c r="F757" s="3"/>
    </row>
    <row r="758" spans="4:6" ht="12.75" customHeight="1" x14ac:dyDescent="0.25">
      <c r="D758" s="3"/>
      <c r="E758" s="3"/>
      <c r="F758" s="3"/>
    </row>
    <row r="759" spans="4:6" ht="12.75" customHeight="1" x14ac:dyDescent="0.25">
      <c r="D759" s="3"/>
      <c r="E759" s="3"/>
      <c r="F759" s="3"/>
    </row>
    <row r="760" spans="4:6" ht="12.75" customHeight="1" x14ac:dyDescent="0.25">
      <c r="D760" s="3"/>
      <c r="E760" s="3"/>
      <c r="F760" s="3"/>
    </row>
    <row r="761" spans="4:6" ht="12.75" customHeight="1" x14ac:dyDescent="0.25">
      <c r="D761" s="3"/>
      <c r="E761" s="3"/>
      <c r="F761" s="3"/>
    </row>
    <row r="762" spans="4:6" ht="12.75" customHeight="1" x14ac:dyDescent="0.25">
      <c r="D762" s="3"/>
      <c r="E762" s="3"/>
      <c r="F762" s="3"/>
    </row>
    <row r="763" spans="4:6" ht="12.75" customHeight="1" x14ac:dyDescent="0.25">
      <c r="D763" s="3"/>
      <c r="E763" s="3"/>
      <c r="F763" s="3"/>
    </row>
    <row r="764" spans="4:6" ht="12.75" customHeight="1" x14ac:dyDescent="0.25">
      <c r="D764" s="3"/>
      <c r="E764" s="3"/>
      <c r="F764" s="3"/>
    </row>
    <row r="765" spans="4:6" ht="12.75" customHeight="1" x14ac:dyDescent="0.25">
      <c r="D765" s="3"/>
      <c r="E765" s="3"/>
      <c r="F765" s="3"/>
    </row>
    <row r="766" spans="4:6" ht="12.75" customHeight="1" x14ac:dyDescent="0.25">
      <c r="D766" s="3"/>
      <c r="E766" s="3"/>
      <c r="F766" s="3"/>
    </row>
    <row r="767" spans="4:6" ht="12.75" customHeight="1" x14ac:dyDescent="0.25">
      <c r="D767" s="3"/>
      <c r="E767" s="3"/>
      <c r="F767" s="3"/>
    </row>
    <row r="768" spans="4:6" ht="12.75" customHeight="1" x14ac:dyDescent="0.25">
      <c r="D768" s="3"/>
      <c r="E768" s="3"/>
      <c r="F768" s="3"/>
    </row>
    <row r="769" spans="4:6" ht="12.75" customHeight="1" x14ac:dyDescent="0.25">
      <c r="D769" s="3"/>
      <c r="E769" s="3"/>
      <c r="F769" s="3"/>
    </row>
    <row r="770" spans="4:6" ht="12.75" customHeight="1" x14ac:dyDescent="0.25">
      <c r="D770" s="3"/>
      <c r="E770" s="3"/>
      <c r="F770" s="3"/>
    </row>
    <row r="771" spans="4:6" ht="12.75" customHeight="1" x14ac:dyDescent="0.25">
      <c r="D771" s="3"/>
      <c r="E771" s="3"/>
      <c r="F771" s="3"/>
    </row>
    <row r="772" spans="4:6" ht="12.75" customHeight="1" x14ac:dyDescent="0.25">
      <c r="D772" s="3"/>
      <c r="E772" s="3"/>
      <c r="F772" s="3"/>
    </row>
    <row r="773" spans="4:6" ht="12.75" customHeight="1" x14ac:dyDescent="0.25">
      <c r="D773" s="3"/>
      <c r="E773" s="3"/>
      <c r="F773" s="3"/>
    </row>
    <row r="774" spans="4:6" ht="12.75" customHeight="1" x14ac:dyDescent="0.25">
      <c r="D774" s="3"/>
      <c r="E774" s="3"/>
      <c r="F774" s="3"/>
    </row>
    <row r="775" spans="4:6" ht="12.75" customHeight="1" x14ac:dyDescent="0.25">
      <c r="D775" s="3"/>
      <c r="E775" s="3"/>
      <c r="F775" s="3"/>
    </row>
    <row r="776" spans="4:6" ht="12.75" customHeight="1" x14ac:dyDescent="0.25">
      <c r="D776" s="3"/>
      <c r="E776" s="3"/>
      <c r="F776" s="3"/>
    </row>
    <row r="777" spans="4:6" ht="12.75" customHeight="1" x14ac:dyDescent="0.25">
      <c r="D777" s="3"/>
      <c r="E777" s="3"/>
      <c r="F777" s="3"/>
    </row>
    <row r="778" spans="4:6" ht="12.75" customHeight="1" x14ac:dyDescent="0.25">
      <c r="D778" s="3"/>
      <c r="E778" s="3"/>
      <c r="F778" s="3"/>
    </row>
    <row r="779" spans="4:6" ht="12.75" customHeight="1" x14ac:dyDescent="0.25">
      <c r="D779" s="3"/>
      <c r="E779" s="3"/>
      <c r="F779" s="3"/>
    </row>
    <row r="780" spans="4:6" ht="12.75" customHeight="1" x14ac:dyDescent="0.25">
      <c r="D780" s="3"/>
      <c r="E780" s="3"/>
      <c r="F780" s="3"/>
    </row>
    <row r="781" spans="4:6" ht="12.75" customHeight="1" x14ac:dyDescent="0.25">
      <c r="D781" s="3"/>
      <c r="E781" s="3"/>
      <c r="F781" s="3"/>
    </row>
    <row r="782" spans="4:6" ht="12.75" customHeight="1" x14ac:dyDescent="0.25">
      <c r="D782" s="3"/>
      <c r="E782" s="3"/>
      <c r="F782" s="3"/>
    </row>
    <row r="783" spans="4:6" ht="12.75" customHeight="1" x14ac:dyDescent="0.25">
      <c r="D783" s="3"/>
      <c r="E783" s="3"/>
      <c r="F783" s="3"/>
    </row>
    <row r="784" spans="4:6" ht="12.75" customHeight="1" x14ac:dyDescent="0.25">
      <c r="D784" s="3"/>
      <c r="E784" s="3"/>
      <c r="F784" s="3"/>
    </row>
    <row r="785" spans="4:6" ht="12.75" customHeight="1" x14ac:dyDescent="0.25">
      <c r="D785" s="3"/>
      <c r="E785" s="3"/>
      <c r="F785" s="3"/>
    </row>
    <row r="786" spans="4:6" ht="12.75" customHeight="1" x14ac:dyDescent="0.25">
      <c r="D786" s="3"/>
      <c r="E786" s="3"/>
      <c r="F786" s="3"/>
    </row>
    <row r="787" spans="4:6" ht="12.75" customHeight="1" x14ac:dyDescent="0.25">
      <c r="D787" s="3"/>
      <c r="E787" s="3"/>
      <c r="F787" s="3"/>
    </row>
    <row r="788" spans="4:6" ht="12.75" customHeight="1" x14ac:dyDescent="0.25">
      <c r="D788" s="3"/>
      <c r="E788" s="3"/>
      <c r="F788" s="3"/>
    </row>
    <row r="789" spans="4:6" ht="12.75" customHeight="1" x14ac:dyDescent="0.25">
      <c r="D789" s="3"/>
      <c r="E789" s="3"/>
      <c r="F789" s="3"/>
    </row>
    <row r="790" spans="4:6" ht="12.75" customHeight="1" x14ac:dyDescent="0.25">
      <c r="D790" s="3"/>
      <c r="E790" s="3"/>
      <c r="F790" s="3"/>
    </row>
    <row r="791" spans="4:6" ht="12.75" customHeight="1" x14ac:dyDescent="0.25">
      <c r="D791" s="3"/>
      <c r="E791" s="3"/>
      <c r="F791" s="3"/>
    </row>
    <row r="792" spans="4:6" ht="12.75" customHeight="1" x14ac:dyDescent="0.25">
      <c r="D792" s="3"/>
      <c r="E792" s="3"/>
      <c r="F792" s="3"/>
    </row>
    <row r="793" spans="4:6" ht="12.75" customHeight="1" x14ac:dyDescent="0.25">
      <c r="D793" s="3"/>
      <c r="E793" s="3"/>
      <c r="F793" s="3"/>
    </row>
    <row r="794" spans="4:6" ht="12.75" customHeight="1" x14ac:dyDescent="0.25">
      <c r="D794" s="3"/>
      <c r="E794" s="3"/>
      <c r="F794" s="3"/>
    </row>
    <row r="795" spans="4:6" ht="12.75" customHeight="1" x14ac:dyDescent="0.25">
      <c r="D795" s="3"/>
      <c r="E795" s="3"/>
      <c r="F795" s="3"/>
    </row>
    <row r="796" spans="4:6" ht="12.75" customHeight="1" x14ac:dyDescent="0.25">
      <c r="D796" s="3"/>
      <c r="E796" s="3"/>
      <c r="F796" s="3"/>
    </row>
    <row r="797" spans="4:6" ht="12.75" customHeight="1" x14ac:dyDescent="0.25">
      <c r="D797" s="3"/>
      <c r="E797" s="3"/>
      <c r="F797" s="3"/>
    </row>
    <row r="798" spans="4:6" ht="12.75" customHeight="1" x14ac:dyDescent="0.25">
      <c r="D798" s="3"/>
      <c r="E798" s="3"/>
      <c r="F798" s="3"/>
    </row>
    <row r="799" spans="4:6" ht="12.75" customHeight="1" x14ac:dyDescent="0.25">
      <c r="D799" s="3"/>
      <c r="E799" s="3"/>
      <c r="F799" s="3"/>
    </row>
    <row r="800" spans="4:6" ht="12.75" customHeight="1" x14ac:dyDescent="0.25">
      <c r="D800" s="3"/>
      <c r="E800" s="3"/>
      <c r="F800" s="3"/>
    </row>
    <row r="801" spans="4:6" ht="12.75" customHeight="1" x14ac:dyDescent="0.25">
      <c r="D801" s="3"/>
      <c r="E801" s="3"/>
      <c r="F801" s="3"/>
    </row>
    <row r="802" spans="4:6" ht="12.75" customHeight="1" x14ac:dyDescent="0.25">
      <c r="D802" s="3"/>
      <c r="E802" s="3"/>
      <c r="F802" s="3"/>
    </row>
    <row r="803" spans="4:6" ht="12.75" customHeight="1" x14ac:dyDescent="0.25">
      <c r="D803" s="3"/>
      <c r="E803" s="3"/>
      <c r="F803" s="3"/>
    </row>
    <row r="804" spans="4:6" ht="12.75" customHeight="1" x14ac:dyDescent="0.25">
      <c r="D804" s="3"/>
      <c r="E804" s="3"/>
      <c r="F804" s="3"/>
    </row>
    <row r="805" spans="4:6" ht="12.75" customHeight="1" x14ac:dyDescent="0.25">
      <c r="D805" s="3"/>
      <c r="E805" s="3"/>
      <c r="F805" s="3"/>
    </row>
    <row r="806" spans="4:6" ht="12.75" customHeight="1" x14ac:dyDescent="0.25">
      <c r="D806" s="3"/>
      <c r="E806" s="3"/>
      <c r="F806" s="3"/>
    </row>
    <row r="807" spans="4:6" ht="12.75" customHeight="1" x14ac:dyDescent="0.25">
      <c r="D807" s="3"/>
      <c r="E807" s="3"/>
      <c r="F807" s="3"/>
    </row>
    <row r="808" spans="4:6" ht="12.75" customHeight="1" x14ac:dyDescent="0.25">
      <c r="D808" s="3"/>
      <c r="E808" s="3"/>
      <c r="F808" s="3"/>
    </row>
    <row r="809" spans="4:6" ht="12.75" customHeight="1" x14ac:dyDescent="0.25">
      <c r="D809" s="3"/>
      <c r="E809" s="3"/>
      <c r="F809" s="3"/>
    </row>
    <row r="810" spans="4:6" ht="12.75" customHeight="1" x14ac:dyDescent="0.25">
      <c r="D810" s="3"/>
      <c r="E810" s="3"/>
      <c r="F810" s="3"/>
    </row>
    <row r="811" spans="4:6" ht="12.75" customHeight="1" x14ac:dyDescent="0.25">
      <c r="D811" s="3"/>
      <c r="E811" s="3"/>
      <c r="F811" s="3"/>
    </row>
    <row r="812" spans="4:6" ht="12.75" customHeight="1" x14ac:dyDescent="0.25">
      <c r="D812" s="3"/>
      <c r="E812" s="3"/>
      <c r="F812" s="3"/>
    </row>
    <row r="813" spans="4:6" ht="12.75" customHeight="1" x14ac:dyDescent="0.25">
      <c r="D813" s="3"/>
      <c r="E813" s="3"/>
      <c r="F813" s="3"/>
    </row>
    <row r="814" spans="4:6" ht="12.75" customHeight="1" x14ac:dyDescent="0.25">
      <c r="D814" s="3"/>
      <c r="E814" s="3"/>
      <c r="F814" s="3"/>
    </row>
    <row r="815" spans="4:6" ht="12.75" customHeight="1" x14ac:dyDescent="0.25">
      <c r="D815" s="3"/>
      <c r="E815" s="3"/>
      <c r="F815" s="3"/>
    </row>
    <row r="816" spans="4:6" ht="12.75" customHeight="1" x14ac:dyDescent="0.25">
      <c r="D816" s="3"/>
      <c r="E816" s="3"/>
      <c r="F816" s="3"/>
    </row>
    <row r="817" spans="4:6" ht="12.75" customHeight="1" x14ac:dyDescent="0.25">
      <c r="D817" s="3"/>
      <c r="E817" s="3"/>
      <c r="F817" s="3"/>
    </row>
    <row r="818" spans="4:6" ht="12.75" customHeight="1" x14ac:dyDescent="0.25">
      <c r="D818" s="3"/>
      <c r="E818" s="3"/>
      <c r="F818" s="3"/>
    </row>
    <row r="819" spans="4:6" ht="12.75" customHeight="1" x14ac:dyDescent="0.25">
      <c r="D819" s="3"/>
      <c r="E819" s="3"/>
      <c r="F819" s="3"/>
    </row>
    <row r="820" spans="4:6" ht="12.75" customHeight="1" x14ac:dyDescent="0.25">
      <c r="D820" s="3"/>
      <c r="E820" s="3"/>
      <c r="F820" s="3"/>
    </row>
    <row r="821" spans="4:6" ht="12.75" customHeight="1" x14ac:dyDescent="0.25">
      <c r="D821" s="3"/>
      <c r="E821" s="3"/>
      <c r="F821" s="3"/>
    </row>
    <row r="822" spans="4:6" ht="12.75" customHeight="1" x14ac:dyDescent="0.25">
      <c r="D822" s="3"/>
      <c r="E822" s="3"/>
      <c r="F822" s="3"/>
    </row>
    <row r="823" spans="4:6" ht="12.75" customHeight="1" x14ac:dyDescent="0.25">
      <c r="D823" s="3"/>
      <c r="E823" s="3"/>
      <c r="F823" s="3"/>
    </row>
    <row r="824" spans="4:6" ht="12.75" customHeight="1" x14ac:dyDescent="0.25">
      <c r="D824" s="3"/>
      <c r="E824" s="3"/>
      <c r="F824" s="3"/>
    </row>
    <row r="825" spans="4:6" ht="12.75" customHeight="1" x14ac:dyDescent="0.25">
      <c r="D825" s="3"/>
      <c r="E825" s="3"/>
      <c r="F825" s="3"/>
    </row>
    <row r="826" spans="4:6" ht="12.75" customHeight="1" x14ac:dyDescent="0.25">
      <c r="D826" s="3"/>
      <c r="E826" s="3"/>
      <c r="F826" s="3"/>
    </row>
    <row r="827" spans="4:6" ht="12.75" customHeight="1" x14ac:dyDescent="0.25">
      <c r="D827" s="3"/>
      <c r="E827" s="3"/>
      <c r="F827" s="3"/>
    </row>
    <row r="828" spans="4:6" ht="12.75" customHeight="1" x14ac:dyDescent="0.25">
      <c r="D828" s="3"/>
      <c r="E828" s="3"/>
      <c r="F828" s="3"/>
    </row>
    <row r="829" spans="4:6" ht="12.75" customHeight="1" x14ac:dyDescent="0.25">
      <c r="D829" s="3"/>
      <c r="E829" s="3"/>
      <c r="F829" s="3"/>
    </row>
    <row r="830" spans="4:6" ht="12.75" customHeight="1" x14ac:dyDescent="0.25">
      <c r="D830" s="3"/>
      <c r="E830" s="3"/>
      <c r="F830" s="3"/>
    </row>
    <row r="831" spans="4:6" ht="12.75" customHeight="1" x14ac:dyDescent="0.25">
      <c r="D831" s="3"/>
      <c r="E831" s="3"/>
      <c r="F831" s="3"/>
    </row>
    <row r="832" spans="4:6" ht="12.75" customHeight="1" x14ac:dyDescent="0.25">
      <c r="D832" s="3"/>
      <c r="E832" s="3"/>
      <c r="F832" s="3"/>
    </row>
    <row r="833" spans="4:6" ht="12.75" customHeight="1" x14ac:dyDescent="0.25">
      <c r="D833" s="3"/>
      <c r="E833" s="3"/>
      <c r="F833" s="3"/>
    </row>
    <row r="834" spans="4:6" ht="12.75" customHeight="1" x14ac:dyDescent="0.25">
      <c r="D834" s="3"/>
      <c r="E834" s="3"/>
      <c r="F834" s="3"/>
    </row>
    <row r="835" spans="4:6" ht="12.75" customHeight="1" x14ac:dyDescent="0.25">
      <c r="D835" s="3"/>
      <c r="E835" s="3"/>
      <c r="F835" s="3"/>
    </row>
    <row r="836" spans="4:6" ht="12.75" customHeight="1" x14ac:dyDescent="0.25">
      <c r="D836" s="3"/>
      <c r="E836" s="3"/>
      <c r="F836" s="3"/>
    </row>
    <row r="837" spans="4:6" ht="12.75" customHeight="1" x14ac:dyDescent="0.25">
      <c r="D837" s="3"/>
      <c r="E837" s="3"/>
      <c r="F837" s="3"/>
    </row>
    <row r="838" spans="4:6" ht="12.75" customHeight="1" x14ac:dyDescent="0.25">
      <c r="D838" s="3"/>
      <c r="E838" s="3"/>
      <c r="F838" s="3"/>
    </row>
    <row r="839" spans="4:6" ht="12.75" customHeight="1" x14ac:dyDescent="0.25">
      <c r="D839" s="3"/>
      <c r="E839" s="3"/>
      <c r="F839" s="3"/>
    </row>
    <row r="840" spans="4:6" ht="12.75" customHeight="1" x14ac:dyDescent="0.25">
      <c r="D840" s="3"/>
      <c r="E840" s="3"/>
      <c r="F840" s="3"/>
    </row>
    <row r="841" spans="4:6" ht="12.75" customHeight="1" x14ac:dyDescent="0.25">
      <c r="D841" s="3"/>
      <c r="E841" s="3"/>
      <c r="F841" s="3"/>
    </row>
    <row r="842" spans="4:6" ht="12.75" customHeight="1" x14ac:dyDescent="0.25">
      <c r="D842" s="3"/>
      <c r="E842" s="3"/>
      <c r="F842" s="3"/>
    </row>
    <row r="843" spans="4:6" ht="12.75" customHeight="1" x14ac:dyDescent="0.25">
      <c r="D843" s="3"/>
      <c r="E843" s="3"/>
      <c r="F843" s="3"/>
    </row>
    <row r="844" spans="4:6" ht="12.75" customHeight="1" x14ac:dyDescent="0.25">
      <c r="D844" s="3"/>
      <c r="E844" s="3"/>
      <c r="F844" s="3"/>
    </row>
    <row r="845" spans="4:6" ht="12.75" customHeight="1" x14ac:dyDescent="0.25">
      <c r="D845" s="3"/>
      <c r="E845" s="3"/>
      <c r="F845" s="3"/>
    </row>
    <row r="846" spans="4:6" ht="12.75" customHeight="1" x14ac:dyDescent="0.25">
      <c r="D846" s="3"/>
      <c r="E846" s="3"/>
      <c r="F846" s="3"/>
    </row>
    <row r="847" spans="4:6" ht="12.75" customHeight="1" x14ac:dyDescent="0.25">
      <c r="D847" s="3"/>
      <c r="E847" s="3"/>
      <c r="F847" s="3"/>
    </row>
    <row r="848" spans="4:6" ht="12.75" customHeight="1" x14ac:dyDescent="0.25">
      <c r="D848" s="3"/>
      <c r="E848" s="3"/>
      <c r="F848" s="3"/>
    </row>
    <row r="849" spans="4:6" ht="12.75" customHeight="1" x14ac:dyDescent="0.25">
      <c r="D849" s="3"/>
      <c r="E849" s="3"/>
      <c r="F849" s="3"/>
    </row>
    <row r="850" spans="4:6" ht="12.75" customHeight="1" x14ac:dyDescent="0.25">
      <c r="D850" s="3"/>
      <c r="E850" s="3"/>
      <c r="F850" s="3"/>
    </row>
    <row r="851" spans="4:6" ht="12.75" customHeight="1" x14ac:dyDescent="0.25">
      <c r="D851" s="3"/>
      <c r="E851" s="3"/>
      <c r="F851" s="3"/>
    </row>
    <row r="852" spans="4:6" ht="12.75" customHeight="1" x14ac:dyDescent="0.25">
      <c r="D852" s="3"/>
      <c r="E852" s="3"/>
      <c r="F852" s="3"/>
    </row>
    <row r="853" spans="4:6" ht="12.75" customHeight="1" x14ac:dyDescent="0.25">
      <c r="D853" s="3"/>
      <c r="E853" s="3"/>
      <c r="F853" s="3"/>
    </row>
    <row r="854" spans="4:6" ht="12.75" customHeight="1" x14ac:dyDescent="0.25">
      <c r="D854" s="3"/>
      <c r="E854" s="3"/>
      <c r="F854" s="3"/>
    </row>
    <row r="855" spans="4:6" ht="12.75" customHeight="1" x14ac:dyDescent="0.25">
      <c r="D855" s="3"/>
      <c r="E855" s="3"/>
      <c r="F855" s="3"/>
    </row>
    <row r="856" spans="4:6" ht="12.75" customHeight="1" x14ac:dyDescent="0.25">
      <c r="D856" s="3"/>
      <c r="E856" s="3"/>
      <c r="F856" s="3"/>
    </row>
    <row r="857" spans="4:6" ht="12.75" customHeight="1" x14ac:dyDescent="0.25">
      <c r="D857" s="3"/>
      <c r="E857" s="3"/>
      <c r="F857" s="3"/>
    </row>
    <row r="858" spans="4:6" ht="12.75" customHeight="1" x14ac:dyDescent="0.25">
      <c r="D858" s="3"/>
      <c r="E858" s="3"/>
      <c r="F858" s="3"/>
    </row>
    <row r="859" spans="4:6" ht="12.75" customHeight="1" x14ac:dyDescent="0.25">
      <c r="D859" s="3"/>
      <c r="E859" s="3"/>
      <c r="F859" s="3"/>
    </row>
    <row r="860" spans="4:6" ht="12.75" customHeight="1" x14ac:dyDescent="0.25">
      <c r="D860" s="3"/>
      <c r="E860" s="3"/>
      <c r="F860" s="3"/>
    </row>
    <row r="861" spans="4:6" ht="12.75" customHeight="1" x14ac:dyDescent="0.25">
      <c r="D861" s="3"/>
      <c r="E861" s="3"/>
      <c r="F861" s="3"/>
    </row>
    <row r="862" spans="4:6" ht="12.75" customHeight="1" x14ac:dyDescent="0.25">
      <c r="D862" s="3"/>
      <c r="E862" s="3"/>
      <c r="F862" s="3"/>
    </row>
    <row r="863" spans="4:6" ht="12.75" customHeight="1" x14ac:dyDescent="0.25">
      <c r="D863" s="3"/>
      <c r="E863" s="3"/>
      <c r="F863" s="3"/>
    </row>
    <row r="864" spans="4:6" ht="12.75" customHeight="1" x14ac:dyDescent="0.25">
      <c r="D864" s="3"/>
      <c r="E864" s="3"/>
      <c r="F864" s="3"/>
    </row>
    <row r="865" spans="4:6" ht="12.75" customHeight="1" x14ac:dyDescent="0.25">
      <c r="D865" s="3"/>
      <c r="E865" s="3"/>
      <c r="F865" s="3"/>
    </row>
    <row r="866" spans="4:6" ht="12.75" customHeight="1" x14ac:dyDescent="0.25">
      <c r="D866" s="3"/>
      <c r="E866" s="3"/>
      <c r="F866" s="3"/>
    </row>
    <row r="867" spans="4:6" ht="12.75" customHeight="1" x14ac:dyDescent="0.25">
      <c r="D867" s="3"/>
      <c r="E867" s="3"/>
      <c r="F867" s="3"/>
    </row>
    <row r="868" spans="4:6" ht="12.75" customHeight="1" x14ac:dyDescent="0.25">
      <c r="D868" s="3"/>
      <c r="E868" s="3"/>
      <c r="F868" s="3"/>
    </row>
    <row r="869" spans="4:6" ht="12.75" customHeight="1" x14ac:dyDescent="0.25">
      <c r="D869" s="3"/>
      <c r="E869" s="3"/>
      <c r="F869" s="3"/>
    </row>
    <row r="870" spans="4:6" ht="12.75" customHeight="1" x14ac:dyDescent="0.25">
      <c r="D870" s="3"/>
      <c r="E870" s="3"/>
      <c r="F870" s="3"/>
    </row>
    <row r="871" spans="4:6" ht="12.75" customHeight="1" x14ac:dyDescent="0.25">
      <c r="D871" s="3"/>
      <c r="E871" s="3"/>
      <c r="F871" s="3"/>
    </row>
    <row r="872" spans="4:6" ht="12.75" customHeight="1" x14ac:dyDescent="0.25">
      <c r="D872" s="3"/>
      <c r="E872" s="3"/>
      <c r="F872" s="3"/>
    </row>
    <row r="873" spans="4:6" ht="12.75" customHeight="1" x14ac:dyDescent="0.25">
      <c r="D873" s="3"/>
      <c r="E873" s="3"/>
      <c r="F873" s="3"/>
    </row>
    <row r="874" spans="4:6" ht="12.75" customHeight="1" x14ac:dyDescent="0.25">
      <c r="D874" s="3"/>
      <c r="E874" s="3"/>
      <c r="F874" s="3"/>
    </row>
    <row r="875" spans="4:6" ht="12.75" customHeight="1" x14ac:dyDescent="0.25">
      <c r="D875" s="3"/>
      <c r="E875" s="3"/>
      <c r="F875" s="3"/>
    </row>
    <row r="876" spans="4:6" ht="12.75" customHeight="1" x14ac:dyDescent="0.25">
      <c r="D876" s="3"/>
      <c r="E876" s="3"/>
      <c r="F876" s="3"/>
    </row>
    <row r="877" spans="4:6" ht="12.75" customHeight="1" x14ac:dyDescent="0.25">
      <c r="D877" s="3"/>
      <c r="E877" s="3"/>
      <c r="F877" s="3"/>
    </row>
    <row r="878" spans="4:6" ht="12.75" customHeight="1" x14ac:dyDescent="0.25">
      <c r="D878" s="3"/>
      <c r="E878" s="3"/>
      <c r="F878" s="3"/>
    </row>
    <row r="879" spans="4:6" ht="12.75" customHeight="1" x14ac:dyDescent="0.25">
      <c r="D879" s="3"/>
      <c r="E879" s="3"/>
      <c r="F879" s="3"/>
    </row>
    <row r="880" spans="4:6" ht="12.75" customHeight="1" x14ac:dyDescent="0.25">
      <c r="D880" s="3"/>
      <c r="E880" s="3"/>
      <c r="F880" s="3"/>
    </row>
    <row r="881" spans="4:6" ht="12.75" customHeight="1" x14ac:dyDescent="0.25">
      <c r="D881" s="3"/>
      <c r="E881" s="3"/>
      <c r="F881" s="3"/>
    </row>
    <row r="882" spans="4:6" ht="12.75" customHeight="1" x14ac:dyDescent="0.25">
      <c r="D882" s="3"/>
      <c r="E882" s="3"/>
      <c r="F882" s="3"/>
    </row>
    <row r="883" spans="4:6" ht="12.75" customHeight="1" x14ac:dyDescent="0.25">
      <c r="D883" s="3"/>
      <c r="E883" s="3"/>
      <c r="F883" s="3"/>
    </row>
    <row r="884" spans="4:6" ht="12.75" customHeight="1" x14ac:dyDescent="0.25">
      <c r="D884" s="3"/>
      <c r="E884" s="3"/>
      <c r="F884" s="3"/>
    </row>
    <row r="885" spans="4:6" ht="12.75" customHeight="1" x14ac:dyDescent="0.25">
      <c r="D885" s="3"/>
      <c r="E885" s="3"/>
      <c r="F885" s="3"/>
    </row>
    <row r="886" spans="4:6" ht="12.75" customHeight="1" x14ac:dyDescent="0.25">
      <c r="D886" s="3"/>
      <c r="E886" s="3"/>
      <c r="F886" s="3"/>
    </row>
    <row r="887" spans="4:6" ht="12.75" customHeight="1" x14ac:dyDescent="0.25">
      <c r="D887" s="3"/>
      <c r="E887" s="3"/>
      <c r="F887" s="3"/>
    </row>
    <row r="888" spans="4:6" ht="12.75" customHeight="1" x14ac:dyDescent="0.25">
      <c r="D888" s="3"/>
      <c r="E888" s="3"/>
      <c r="F888" s="3"/>
    </row>
    <row r="889" spans="4:6" ht="12.75" customHeight="1" x14ac:dyDescent="0.25">
      <c r="D889" s="3"/>
      <c r="E889" s="3"/>
      <c r="F889" s="3"/>
    </row>
    <row r="890" spans="4:6" ht="12.75" customHeight="1" x14ac:dyDescent="0.25">
      <c r="D890" s="3"/>
      <c r="E890" s="3"/>
      <c r="F890" s="3"/>
    </row>
    <row r="891" spans="4:6" ht="12.75" customHeight="1" x14ac:dyDescent="0.25">
      <c r="D891" s="3"/>
      <c r="E891" s="3"/>
      <c r="F891" s="3"/>
    </row>
    <row r="892" spans="4:6" ht="12.75" customHeight="1" x14ac:dyDescent="0.25">
      <c r="D892" s="3"/>
      <c r="E892" s="3"/>
      <c r="F892" s="3"/>
    </row>
    <row r="893" spans="4:6" ht="12.75" customHeight="1" x14ac:dyDescent="0.25">
      <c r="D893" s="3"/>
      <c r="E893" s="3"/>
      <c r="F893" s="3"/>
    </row>
    <row r="894" spans="4:6" ht="12.75" customHeight="1" x14ac:dyDescent="0.25">
      <c r="D894" s="3"/>
      <c r="E894" s="3"/>
      <c r="F894" s="3"/>
    </row>
    <row r="895" spans="4:6" ht="12.75" customHeight="1" x14ac:dyDescent="0.25">
      <c r="D895" s="3"/>
      <c r="E895" s="3"/>
      <c r="F895" s="3"/>
    </row>
    <row r="896" spans="4:6" ht="12.75" customHeight="1" x14ac:dyDescent="0.25">
      <c r="D896" s="3"/>
      <c r="E896" s="3"/>
      <c r="F896" s="3"/>
    </row>
    <row r="897" spans="4:6" ht="12.75" customHeight="1" x14ac:dyDescent="0.25">
      <c r="D897" s="3"/>
      <c r="E897" s="3"/>
      <c r="F897" s="3"/>
    </row>
    <row r="898" spans="4:6" ht="12.75" customHeight="1" x14ac:dyDescent="0.25">
      <c r="D898" s="3"/>
      <c r="E898" s="3"/>
      <c r="F898" s="3"/>
    </row>
    <row r="899" spans="4:6" ht="12.75" customHeight="1" x14ac:dyDescent="0.25">
      <c r="D899" s="3"/>
      <c r="E899" s="3"/>
      <c r="F899" s="3"/>
    </row>
    <row r="900" spans="4:6" ht="12.75" customHeight="1" x14ac:dyDescent="0.25">
      <c r="D900" s="3"/>
      <c r="E900" s="3"/>
      <c r="F900" s="3"/>
    </row>
    <row r="901" spans="4:6" ht="12.75" customHeight="1" x14ac:dyDescent="0.25">
      <c r="D901" s="3"/>
      <c r="E901" s="3"/>
      <c r="F901" s="3"/>
    </row>
    <row r="902" spans="4:6" ht="12.75" customHeight="1" x14ac:dyDescent="0.25">
      <c r="D902" s="3"/>
      <c r="E902" s="3"/>
      <c r="F902" s="3"/>
    </row>
    <row r="903" spans="4:6" ht="12.75" customHeight="1" x14ac:dyDescent="0.25">
      <c r="D903" s="3"/>
      <c r="E903" s="3"/>
      <c r="F903" s="3"/>
    </row>
    <row r="904" spans="4:6" ht="12.75" customHeight="1" x14ac:dyDescent="0.25">
      <c r="D904" s="3"/>
      <c r="E904" s="3"/>
      <c r="F904" s="3"/>
    </row>
    <row r="905" spans="4:6" ht="12.75" customHeight="1" x14ac:dyDescent="0.25">
      <c r="D905" s="3"/>
      <c r="E905" s="3"/>
      <c r="F905" s="3"/>
    </row>
    <row r="906" spans="4:6" ht="12.75" customHeight="1" x14ac:dyDescent="0.25">
      <c r="D906" s="3"/>
      <c r="E906" s="3"/>
      <c r="F906" s="3"/>
    </row>
    <row r="907" spans="4:6" ht="12.75" customHeight="1" x14ac:dyDescent="0.25">
      <c r="D907" s="3"/>
      <c r="E907" s="3"/>
      <c r="F907" s="3"/>
    </row>
    <row r="908" spans="4:6" ht="12.75" customHeight="1" x14ac:dyDescent="0.25">
      <c r="D908" s="3"/>
      <c r="E908" s="3"/>
      <c r="F908" s="3"/>
    </row>
    <row r="909" spans="4:6" ht="12.75" customHeight="1" x14ac:dyDescent="0.25">
      <c r="D909" s="3"/>
      <c r="E909" s="3"/>
      <c r="F909" s="3"/>
    </row>
    <row r="910" spans="4:6" ht="12.75" customHeight="1" x14ac:dyDescent="0.25">
      <c r="D910" s="3"/>
      <c r="E910" s="3"/>
      <c r="F910" s="3"/>
    </row>
    <row r="911" spans="4:6" ht="12.75" customHeight="1" x14ac:dyDescent="0.25">
      <c r="D911" s="3"/>
      <c r="E911" s="3"/>
      <c r="F911" s="3"/>
    </row>
    <row r="912" spans="4:6" ht="12.75" customHeight="1" x14ac:dyDescent="0.25">
      <c r="D912" s="3"/>
      <c r="E912" s="3"/>
      <c r="F912" s="3"/>
    </row>
    <row r="913" spans="4:6" ht="12.75" customHeight="1" x14ac:dyDescent="0.25">
      <c r="D913" s="3"/>
      <c r="E913" s="3"/>
      <c r="F913" s="3"/>
    </row>
    <row r="914" spans="4:6" ht="12.75" customHeight="1" x14ac:dyDescent="0.25">
      <c r="D914" s="3"/>
      <c r="E914" s="3"/>
      <c r="F914" s="3"/>
    </row>
    <row r="915" spans="4:6" ht="12.75" customHeight="1" x14ac:dyDescent="0.25">
      <c r="D915" s="3"/>
      <c r="E915" s="3"/>
      <c r="F915" s="3"/>
    </row>
    <row r="916" spans="4:6" ht="12.75" customHeight="1" x14ac:dyDescent="0.25">
      <c r="D916" s="3"/>
      <c r="E916" s="3"/>
      <c r="F916" s="3"/>
    </row>
    <row r="917" spans="4:6" ht="12.75" customHeight="1" x14ac:dyDescent="0.25">
      <c r="D917" s="3"/>
      <c r="E917" s="3"/>
      <c r="F917" s="3"/>
    </row>
    <row r="918" spans="4:6" ht="12.75" customHeight="1" x14ac:dyDescent="0.25">
      <c r="D918" s="3"/>
      <c r="E918" s="3"/>
      <c r="F918" s="3"/>
    </row>
    <row r="919" spans="4:6" ht="12.75" customHeight="1" x14ac:dyDescent="0.25">
      <c r="D919" s="3"/>
      <c r="E919" s="3"/>
      <c r="F919" s="3"/>
    </row>
    <row r="920" spans="4:6" ht="12.75" customHeight="1" x14ac:dyDescent="0.25">
      <c r="D920" s="3"/>
      <c r="E920" s="3"/>
      <c r="F920" s="3"/>
    </row>
    <row r="921" spans="4:6" ht="12.75" customHeight="1" x14ac:dyDescent="0.25">
      <c r="D921" s="3"/>
      <c r="E921" s="3"/>
      <c r="F921" s="3"/>
    </row>
    <row r="922" spans="4:6" ht="12.75" customHeight="1" x14ac:dyDescent="0.25">
      <c r="D922" s="3"/>
      <c r="E922" s="3"/>
      <c r="F922" s="3"/>
    </row>
    <row r="923" spans="4:6" ht="12.75" customHeight="1" x14ac:dyDescent="0.25">
      <c r="D923" s="3"/>
      <c r="E923" s="3"/>
      <c r="F923" s="3"/>
    </row>
    <row r="924" spans="4:6" ht="12.75" customHeight="1" x14ac:dyDescent="0.25">
      <c r="D924" s="3"/>
      <c r="E924" s="3"/>
      <c r="F924" s="3"/>
    </row>
    <row r="925" spans="4:6" ht="12.75" customHeight="1" x14ac:dyDescent="0.25">
      <c r="D925" s="3"/>
      <c r="E925" s="3"/>
      <c r="F925" s="3"/>
    </row>
    <row r="926" spans="4:6" ht="12.75" customHeight="1" x14ac:dyDescent="0.25">
      <c r="D926" s="3"/>
      <c r="E926" s="3"/>
      <c r="F926" s="3"/>
    </row>
    <row r="927" spans="4:6" ht="12.75" customHeight="1" x14ac:dyDescent="0.25">
      <c r="D927" s="3"/>
      <c r="E927" s="3"/>
      <c r="F927" s="3"/>
    </row>
    <row r="928" spans="4:6" ht="12.75" customHeight="1" x14ac:dyDescent="0.25">
      <c r="D928" s="3"/>
      <c r="E928" s="3"/>
      <c r="F928" s="3"/>
    </row>
    <row r="929" spans="4:6" ht="12.75" customHeight="1" x14ac:dyDescent="0.25">
      <c r="D929" s="3"/>
      <c r="E929" s="3"/>
      <c r="F929" s="3"/>
    </row>
    <row r="930" spans="4:6" ht="12.75" customHeight="1" x14ac:dyDescent="0.25">
      <c r="D930" s="3"/>
      <c r="E930" s="3"/>
      <c r="F930" s="3"/>
    </row>
    <row r="931" spans="4:6" ht="12.75" customHeight="1" x14ac:dyDescent="0.25">
      <c r="D931" s="3"/>
      <c r="E931" s="3"/>
      <c r="F931" s="3"/>
    </row>
    <row r="932" spans="4:6" ht="12.75" customHeight="1" x14ac:dyDescent="0.25">
      <c r="D932" s="3"/>
      <c r="E932" s="3"/>
      <c r="F932" s="3"/>
    </row>
    <row r="933" spans="4:6" ht="12.75" customHeight="1" x14ac:dyDescent="0.25">
      <c r="D933" s="3"/>
      <c r="E933" s="3"/>
      <c r="F933" s="3"/>
    </row>
    <row r="934" spans="4:6" ht="12.75" customHeight="1" x14ac:dyDescent="0.25">
      <c r="D934" s="3"/>
      <c r="E934" s="3"/>
      <c r="F934" s="3"/>
    </row>
    <row r="935" spans="4:6" ht="12.75" customHeight="1" x14ac:dyDescent="0.25">
      <c r="D935" s="3"/>
      <c r="E935" s="3"/>
      <c r="F935" s="3"/>
    </row>
    <row r="936" spans="4:6" ht="12.75" customHeight="1" x14ac:dyDescent="0.25">
      <c r="D936" s="3"/>
      <c r="E936" s="3"/>
      <c r="F936" s="3"/>
    </row>
    <row r="937" spans="4:6" ht="12.75" customHeight="1" x14ac:dyDescent="0.25">
      <c r="D937" s="3"/>
      <c r="E937" s="3"/>
      <c r="F937" s="3"/>
    </row>
    <row r="938" spans="4:6" ht="12.75" customHeight="1" x14ac:dyDescent="0.25">
      <c r="D938" s="3"/>
      <c r="E938" s="3"/>
      <c r="F938" s="3"/>
    </row>
    <row r="939" spans="4:6" ht="12.75" customHeight="1" x14ac:dyDescent="0.25">
      <c r="D939" s="3"/>
      <c r="E939" s="3"/>
      <c r="F939" s="3"/>
    </row>
    <row r="940" spans="4:6" ht="12.75" customHeight="1" x14ac:dyDescent="0.25">
      <c r="D940" s="3"/>
      <c r="E940" s="3"/>
      <c r="F940" s="3"/>
    </row>
    <row r="941" spans="4:6" ht="12.75" customHeight="1" x14ac:dyDescent="0.25">
      <c r="D941" s="3"/>
      <c r="E941" s="3"/>
      <c r="F941" s="3"/>
    </row>
    <row r="942" spans="4:6" ht="12.75" customHeight="1" x14ac:dyDescent="0.25">
      <c r="D942" s="3"/>
      <c r="E942" s="3"/>
      <c r="F942" s="3"/>
    </row>
    <row r="943" spans="4:6" ht="12.75" customHeight="1" x14ac:dyDescent="0.25">
      <c r="D943" s="3"/>
      <c r="E943" s="3"/>
      <c r="F943" s="3"/>
    </row>
    <row r="944" spans="4:6" ht="12.75" customHeight="1" x14ac:dyDescent="0.25">
      <c r="D944" s="3"/>
      <c r="E944" s="3"/>
      <c r="F944" s="3"/>
    </row>
    <row r="945" spans="4:6" ht="12.75" customHeight="1" x14ac:dyDescent="0.25">
      <c r="D945" s="3"/>
      <c r="E945" s="3"/>
      <c r="F945" s="3"/>
    </row>
    <row r="946" spans="4:6" ht="12.75" customHeight="1" x14ac:dyDescent="0.25">
      <c r="D946" s="3"/>
      <c r="E946" s="3"/>
      <c r="F946" s="3"/>
    </row>
    <row r="947" spans="4:6" ht="12.75" customHeight="1" x14ac:dyDescent="0.25">
      <c r="D947" s="3"/>
      <c r="E947" s="3"/>
      <c r="F947" s="3"/>
    </row>
    <row r="948" spans="4:6" ht="12.75" customHeight="1" x14ac:dyDescent="0.25">
      <c r="D948" s="3"/>
      <c r="E948" s="3"/>
      <c r="F948" s="3"/>
    </row>
    <row r="949" spans="4:6" ht="12.75" customHeight="1" x14ac:dyDescent="0.25">
      <c r="D949" s="3"/>
      <c r="E949" s="3"/>
      <c r="F949" s="3"/>
    </row>
    <row r="950" spans="4:6" ht="12.75" customHeight="1" x14ac:dyDescent="0.25">
      <c r="D950" s="3"/>
      <c r="E950" s="3"/>
      <c r="F950" s="3"/>
    </row>
    <row r="951" spans="4:6" ht="12.75" customHeight="1" x14ac:dyDescent="0.25">
      <c r="D951" s="3"/>
      <c r="E951" s="3"/>
      <c r="F951" s="3"/>
    </row>
    <row r="952" spans="4:6" ht="12.75" customHeight="1" x14ac:dyDescent="0.25">
      <c r="D952" s="3"/>
      <c r="E952" s="3"/>
      <c r="F952" s="3"/>
    </row>
    <row r="953" spans="4:6" ht="12.75" customHeight="1" x14ac:dyDescent="0.25">
      <c r="D953" s="3"/>
      <c r="E953" s="3"/>
      <c r="F953" s="3"/>
    </row>
    <row r="954" spans="4:6" ht="12.75" customHeight="1" x14ac:dyDescent="0.25">
      <c r="D954" s="3"/>
      <c r="E954" s="3"/>
      <c r="F954" s="3"/>
    </row>
    <row r="955" spans="4:6" ht="12.75" customHeight="1" x14ac:dyDescent="0.25">
      <c r="D955" s="3"/>
      <c r="E955" s="3"/>
      <c r="F955" s="3"/>
    </row>
    <row r="956" spans="4:6" ht="12.75" customHeight="1" x14ac:dyDescent="0.25">
      <c r="D956" s="3"/>
      <c r="E956" s="3"/>
      <c r="F956" s="3"/>
    </row>
    <row r="957" spans="4:6" ht="12.75" customHeight="1" x14ac:dyDescent="0.25">
      <c r="D957" s="3"/>
      <c r="E957" s="3"/>
      <c r="F957" s="3"/>
    </row>
    <row r="958" spans="4:6" ht="12.75" customHeight="1" x14ac:dyDescent="0.25">
      <c r="D958" s="3"/>
      <c r="E958" s="3"/>
      <c r="F958" s="3"/>
    </row>
    <row r="959" spans="4:6" ht="12.75" customHeight="1" x14ac:dyDescent="0.25">
      <c r="D959" s="3"/>
      <c r="E959" s="3"/>
      <c r="F959" s="3"/>
    </row>
    <row r="960" spans="4:6" ht="12.75" customHeight="1" x14ac:dyDescent="0.25">
      <c r="D960" s="3"/>
      <c r="E960" s="3"/>
      <c r="F960" s="3"/>
    </row>
    <row r="961" spans="4:6" ht="12.75" customHeight="1" x14ac:dyDescent="0.25">
      <c r="D961" s="3"/>
      <c r="E961" s="3"/>
      <c r="F961" s="3"/>
    </row>
    <row r="962" spans="4:6" ht="12.75" customHeight="1" x14ac:dyDescent="0.25">
      <c r="D962" s="3"/>
      <c r="E962" s="3"/>
      <c r="F962" s="3"/>
    </row>
    <row r="963" spans="4:6" ht="12.75" customHeight="1" x14ac:dyDescent="0.25">
      <c r="D963" s="3"/>
      <c r="E963" s="3"/>
      <c r="F963" s="3"/>
    </row>
    <row r="964" spans="4:6" ht="12.75" customHeight="1" x14ac:dyDescent="0.25">
      <c r="D964" s="3"/>
      <c r="E964" s="3"/>
      <c r="F964" s="3"/>
    </row>
    <row r="965" spans="4:6" ht="12.75" customHeight="1" x14ac:dyDescent="0.25">
      <c r="D965" s="3"/>
      <c r="E965" s="3"/>
      <c r="F965" s="3"/>
    </row>
    <row r="966" spans="4:6" ht="12.75" customHeight="1" x14ac:dyDescent="0.25">
      <c r="D966" s="3"/>
      <c r="E966" s="3"/>
      <c r="F966" s="3"/>
    </row>
    <row r="967" spans="4:6" ht="12.75" customHeight="1" x14ac:dyDescent="0.25">
      <c r="D967" s="3"/>
      <c r="E967" s="3"/>
      <c r="F967" s="3"/>
    </row>
    <row r="968" spans="4:6" ht="12.75" customHeight="1" x14ac:dyDescent="0.25">
      <c r="D968" s="3"/>
      <c r="E968" s="3"/>
      <c r="F968" s="3"/>
    </row>
    <row r="969" spans="4:6" ht="12.75" customHeight="1" x14ac:dyDescent="0.25">
      <c r="D969" s="3"/>
      <c r="E969" s="3"/>
      <c r="F969" s="3"/>
    </row>
    <row r="970" spans="4:6" ht="12.75" customHeight="1" x14ac:dyDescent="0.25">
      <c r="D970" s="3"/>
      <c r="E970" s="3"/>
      <c r="F970" s="3"/>
    </row>
    <row r="971" spans="4:6" ht="12.75" customHeight="1" x14ac:dyDescent="0.25">
      <c r="D971" s="3"/>
      <c r="E971" s="3"/>
      <c r="F971" s="3"/>
    </row>
    <row r="972" spans="4:6" ht="12.75" customHeight="1" x14ac:dyDescent="0.25">
      <c r="D972" s="3"/>
      <c r="E972" s="3"/>
      <c r="F972" s="3"/>
    </row>
    <row r="973" spans="4:6" ht="12.75" customHeight="1" x14ac:dyDescent="0.25">
      <c r="D973" s="3"/>
      <c r="E973" s="3"/>
      <c r="F973" s="3"/>
    </row>
    <row r="974" spans="4:6" ht="12.75" customHeight="1" x14ac:dyDescent="0.25">
      <c r="D974" s="3"/>
      <c r="E974" s="3"/>
      <c r="F974" s="3"/>
    </row>
    <row r="975" spans="4:6" ht="12.75" customHeight="1" x14ac:dyDescent="0.25">
      <c r="D975" s="3"/>
      <c r="E975" s="3"/>
      <c r="F975" s="3"/>
    </row>
    <row r="976" spans="4:6" ht="12.75" customHeight="1" x14ac:dyDescent="0.25">
      <c r="D976" s="3"/>
      <c r="E976" s="3"/>
      <c r="F976" s="3"/>
    </row>
    <row r="977" spans="4:6" ht="12.75" customHeight="1" x14ac:dyDescent="0.25">
      <c r="D977" s="3"/>
      <c r="E977" s="3"/>
      <c r="F977" s="3"/>
    </row>
    <row r="978" spans="4:6" ht="12.75" customHeight="1" x14ac:dyDescent="0.25">
      <c r="D978" s="3"/>
      <c r="E978" s="3"/>
      <c r="F978" s="3"/>
    </row>
    <row r="979" spans="4:6" ht="12.75" customHeight="1" x14ac:dyDescent="0.25">
      <c r="D979" s="3"/>
      <c r="E979" s="3"/>
      <c r="F979" s="3"/>
    </row>
    <row r="980" spans="4:6" ht="12.75" customHeight="1" x14ac:dyDescent="0.25">
      <c r="D980" s="3"/>
      <c r="E980" s="3"/>
      <c r="F980" s="3"/>
    </row>
    <row r="981" spans="4:6" ht="12.75" customHeight="1" x14ac:dyDescent="0.25">
      <c r="D981" s="3"/>
      <c r="E981" s="3"/>
      <c r="F981" s="3"/>
    </row>
    <row r="982" spans="4:6" ht="12.75" customHeight="1" x14ac:dyDescent="0.25">
      <c r="D982" s="3"/>
      <c r="E982" s="3"/>
      <c r="F982" s="3"/>
    </row>
    <row r="983" spans="4:6" ht="12.75" customHeight="1" x14ac:dyDescent="0.25">
      <c r="D983" s="3"/>
      <c r="E983" s="3"/>
      <c r="F983" s="3"/>
    </row>
    <row r="984" spans="4:6" ht="12.75" customHeight="1" x14ac:dyDescent="0.25">
      <c r="D984" s="3"/>
      <c r="E984" s="3"/>
      <c r="F984" s="3"/>
    </row>
    <row r="985" spans="4:6" ht="12.75" customHeight="1" x14ac:dyDescent="0.25">
      <c r="D985" s="3"/>
      <c r="E985" s="3"/>
      <c r="F985" s="3"/>
    </row>
    <row r="986" spans="4:6" ht="12.75" customHeight="1" x14ac:dyDescent="0.25">
      <c r="D986" s="3"/>
      <c r="E986" s="3"/>
      <c r="F986" s="3"/>
    </row>
    <row r="987" spans="4:6" ht="12.75" customHeight="1" x14ac:dyDescent="0.25">
      <c r="D987" s="3"/>
      <c r="E987" s="3"/>
      <c r="F987" s="3"/>
    </row>
    <row r="988" spans="4:6" ht="12.75" customHeight="1" x14ac:dyDescent="0.25">
      <c r="D988" s="3"/>
      <c r="E988" s="3"/>
      <c r="F988" s="3"/>
    </row>
    <row r="989" spans="4:6" ht="12.75" customHeight="1" x14ac:dyDescent="0.25">
      <c r="D989" s="3"/>
      <c r="E989" s="3"/>
      <c r="F989" s="3"/>
    </row>
    <row r="990" spans="4:6" ht="12.75" customHeight="1" x14ac:dyDescent="0.25">
      <c r="D990" s="3"/>
      <c r="E990" s="3"/>
      <c r="F990" s="3"/>
    </row>
    <row r="991" spans="4:6" ht="12.75" customHeight="1" x14ac:dyDescent="0.25">
      <c r="D991" s="3"/>
      <c r="E991" s="3"/>
      <c r="F991" s="3"/>
    </row>
    <row r="992" spans="4:6" ht="12.75" customHeight="1" x14ac:dyDescent="0.25">
      <c r="D992" s="3"/>
      <c r="E992" s="3"/>
      <c r="F992" s="3"/>
    </row>
    <row r="993" spans="4:6" ht="12.75" customHeight="1" x14ac:dyDescent="0.25">
      <c r="D993" s="3"/>
      <c r="E993" s="3"/>
      <c r="F993" s="3"/>
    </row>
    <row r="994" spans="4:6" ht="12.75" customHeight="1" x14ac:dyDescent="0.25">
      <c r="D994" s="3"/>
      <c r="E994" s="3"/>
      <c r="F994" s="3"/>
    </row>
    <row r="995" spans="4:6" ht="12.75" customHeight="1" x14ac:dyDescent="0.25">
      <c r="D995" s="3"/>
      <c r="E995" s="3"/>
      <c r="F995" s="3"/>
    </row>
    <row r="996" spans="4:6" ht="12.75" customHeight="1" x14ac:dyDescent="0.25">
      <c r="D996" s="3"/>
      <c r="E996" s="3"/>
      <c r="F996" s="3"/>
    </row>
    <row r="997" spans="4:6" ht="12.75" customHeight="1" x14ac:dyDescent="0.25">
      <c r="D997" s="3"/>
      <c r="E997" s="3"/>
      <c r="F997" s="3"/>
    </row>
    <row r="998" spans="4:6" ht="12.75" customHeight="1" x14ac:dyDescent="0.25">
      <c r="D998" s="3"/>
      <c r="E998" s="3"/>
      <c r="F998" s="3"/>
    </row>
    <row r="999" spans="4:6" ht="12.75" customHeight="1" x14ac:dyDescent="0.25">
      <c r="D999" s="3"/>
      <c r="E999" s="3"/>
      <c r="F999" s="3"/>
    </row>
    <row r="1000" spans="4:6" ht="12.75" customHeight="1" x14ac:dyDescent="0.25">
      <c r="D1000" s="3"/>
      <c r="E1000" s="3"/>
      <c r="F1000" s="3"/>
    </row>
  </sheetData>
  <mergeCells count="4">
    <mergeCell ref="I3:M5"/>
    <mergeCell ref="I6:M8"/>
    <mergeCell ref="I10:M12"/>
    <mergeCell ref="I13:M15"/>
  </mergeCells>
  <conditionalFormatting sqref="G3:G15 G17:G1000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G3:G15 G17:G1000">
    <cfRule type="cellIs" dxfId="5" priority="2" stopIfTrue="1" operator="equal">
      <formula>"error"</formula>
    </cfRule>
  </conditionalFormatting>
  <conditionalFormatting sqref="G3:G15 G17:G1000">
    <cfRule type="cellIs" dxfId="4" priority="3" stopIfTrue="1" operator="equal">
      <formula>"OK"</formula>
    </cfRule>
  </conditionalFormatting>
  <conditionalFormatting sqref="I13">
    <cfRule type="colorScale" priority="4">
      <colorScale>
        <cfvo type="formula" val="0.19"/>
        <cfvo type="formula" val="0.2"/>
        <cfvo type="formula" val="0.5"/>
        <color rgb="FF92D050"/>
        <color rgb="FFFFEB84"/>
        <color rgb="FFD99594"/>
      </colorScale>
    </cfRule>
  </conditionalFormatting>
  <conditionalFormatting sqref="I6:M8">
    <cfRule type="colorScale" priority="5">
      <colorScale>
        <cfvo type="formula" val="0.19"/>
        <cfvo type="formula" val="0.2"/>
        <cfvo type="formula" val="0.5"/>
        <color rgb="FF92D050"/>
        <color rgb="FFFFEB84"/>
        <color rgb="FFD99594"/>
      </colorScale>
    </cfRule>
  </conditionalFormatting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00"/>
  <sheetViews>
    <sheetView workbookViewId="0"/>
  </sheetViews>
  <sheetFormatPr baseColWidth="10" defaultColWidth="12.6328125" defaultRowHeight="15" customHeight="1" x14ac:dyDescent="0.25"/>
  <cols>
    <col min="1" max="1" width="10.6328125" customWidth="1"/>
    <col min="2" max="2" width="18.7265625" customWidth="1"/>
    <col min="3" max="3" width="12.26953125" customWidth="1"/>
    <col min="4" max="4" width="18" customWidth="1"/>
    <col min="5" max="5" width="3.7265625" hidden="1" customWidth="1"/>
    <col min="6" max="6" width="3.90625" hidden="1" customWidth="1"/>
    <col min="7" max="7" width="20.08984375" customWidth="1"/>
    <col min="8" max="8" width="4" customWidth="1"/>
    <col min="9" max="26" width="10.6328125" customWidth="1"/>
  </cols>
  <sheetData>
    <row r="1" spans="2:13" ht="12.75" customHeight="1" x14ac:dyDescent="0.25">
      <c r="D1" s="3"/>
      <c r="E1" s="3"/>
      <c r="F1" s="3"/>
    </row>
    <row r="2" spans="2:13" ht="12.75" customHeight="1" x14ac:dyDescent="0.25">
      <c r="D2" s="3"/>
      <c r="E2" s="3"/>
      <c r="F2" s="3"/>
    </row>
    <row r="3" spans="2:13" ht="23.25" customHeight="1" x14ac:dyDescent="0.4">
      <c r="B3" s="30" t="s">
        <v>37</v>
      </c>
      <c r="C3" s="21" t="s">
        <v>23</v>
      </c>
      <c r="D3" s="21" t="s">
        <v>24</v>
      </c>
      <c r="E3" s="21"/>
      <c r="F3" s="21"/>
      <c r="G3" s="21"/>
      <c r="H3" s="3"/>
      <c r="I3" s="48" t="s">
        <v>25</v>
      </c>
      <c r="J3" s="49"/>
      <c r="K3" s="49"/>
      <c r="L3" s="49"/>
      <c r="M3" s="50"/>
    </row>
    <row r="4" spans="2:13" ht="23.25" customHeight="1" x14ac:dyDescent="0.4">
      <c r="B4" s="21">
        <v>1</v>
      </c>
      <c r="C4" s="23">
        <v>10</v>
      </c>
      <c r="D4" s="23">
        <v>9</v>
      </c>
      <c r="E4" s="21">
        <f>C4-TOTAL!G4</f>
        <v>0</v>
      </c>
      <c r="F4" s="21">
        <f>D4-TOTAL!H4</f>
        <v>0</v>
      </c>
      <c r="G4" s="21" t="str">
        <f t="shared" ref="G4:G14" si="0">IF(AND(E4=0,F4=0),IF(B4="T","OKPELEA","OK"),IF(B4="T","ERRORPELEA","ERROR"))</f>
        <v>OK</v>
      </c>
      <c r="H4" s="3"/>
      <c r="I4" s="51"/>
      <c r="J4" s="52"/>
      <c r="K4" s="52"/>
      <c r="L4" s="52"/>
      <c r="M4" s="53"/>
    </row>
    <row r="5" spans="2:13" ht="23.25" customHeight="1" x14ac:dyDescent="0.4">
      <c r="B5" s="21">
        <v>2</v>
      </c>
      <c r="C5" s="21">
        <v>10</v>
      </c>
      <c r="D5" s="21">
        <v>9</v>
      </c>
      <c r="E5" s="21">
        <f>C5-TOTAL!G5</f>
        <v>0</v>
      </c>
      <c r="F5" s="21">
        <f>D5-TOTAL!H5</f>
        <v>0</v>
      </c>
      <c r="G5" s="21" t="str">
        <f t="shared" si="0"/>
        <v>OK</v>
      </c>
      <c r="H5" s="3"/>
      <c r="I5" s="54"/>
      <c r="J5" s="55"/>
      <c r="K5" s="55"/>
      <c r="L5" s="55"/>
      <c r="M5" s="56"/>
    </row>
    <row r="6" spans="2:13" ht="23.25" customHeight="1" x14ac:dyDescent="0.4">
      <c r="B6" s="21">
        <v>3</v>
      </c>
      <c r="C6" s="21">
        <v>10</v>
      </c>
      <c r="D6" s="21">
        <v>9</v>
      </c>
      <c r="E6" s="21">
        <f>C6-TOTAL!G6</f>
        <v>0</v>
      </c>
      <c r="F6" s="21">
        <f>D6-TOTAL!H6</f>
        <v>0</v>
      </c>
      <c r="G6" s="21" t="str">
        <f t="shared" si="0"/>
        <v>OK</v>
      </c>
      <c r="H6" s="3"/>
      <c r="I6" s="57">
        <f>COUNTIF(G4:G13,"ERROR")*1/10</f>
        <v>0</v>
      </c>
      <c r="J6" s="49"/>
      <c r="K6" s="49"/>
      <c r="L6" s="49"/>
      <c r="M6" s="50"/>
    </row>
    <row r="7" spans="2:13" ht="23.25" customHeight="1" x14ac:dyDescent="0.4">
      <c r="B7" s="21">
        <v>4</v>
      </c>
      <c r="C7" s="21">
        <v>9</v>
      </c>
      <c r="D7" s="21">
        <v>10</v>
      </c>
      <c r="E7" s="21">
        <f>C7-TOTAL!G7</f>
        <v>0</v>
      </c>
      <c r="F7" s="21">
        <f>D7-TOTAL!H7</f>
        <v>0</v>
      </c>
      <c r="G7" s="21" t="str">
        <f t="shared" si="0"/>
        <v>OK</v>
      </c>
      <c r="H7" s="3"/>
      <c r="I7" s="51"/>
      <c r="J7" s="52"/>
      <c r="K7" s="52"/>
      <c r="L7" s="52"/>
      <c r="M7" s="53"/>
    </row>
    <row r="8" spans="2:13" ht="23.25" customHeight="1" x14ac:dyDescent="0.4">
      <c r="B8" s="21">
        <v>5</v>
      </c>
      <c r="C8" s="21">
        <v>9</v>
      </c>
      <c r="D8" s="21">
        <v>10</v>
      </c>
      <c r="E8" s="21">
        <f>C8-TOTAL!G8</f>
        <v>0</v>
      </c>
      <c r="F8" s="21">
        <f>D8-TOTAL!H8</f>
        <v>0</v>
      </c>
      <c r="G8" s="21" t="str">
        <f t="shared" si="0"/>
        <v>OK</v>
      </c>
      <c r="H8" s="3"/>
      <c r="I8" s="54"/>
      <c r="J8" s="55"/>
      <c r="K8" s="55"/>
      <c r="L8" s="55"/>
      <c r="M8" s="56"/>
    </row>
    <row r="9" spans="2:13" ht="23.25" customHeight="1" x14ac:dyDescent="0.4">
      <c r="B9" s="21">
        <v>6</v>
      </c>
      <c r="C9" s="23">
        <v>10</v>
      </c>
      <c r="D9" s="23">
        <v>9</v>
      </c>
      <c r="E9" s="21">
        <f>C9-TOTAL!G9</f>
        <v>0</v>
      </c>
      <c r="F9" s="21">
        <f>D9-TOTAL!H9</f>
        <v>0</v>
      </c>
      <c r="G9" s="21" t="str">
        <f t="shared" si="0"/>
        <v>OK</v>
      </c>
      <c r="H9" s="3"/>
    </row>
    <row r="10" spans="2:13" ht="23.25" customHeight="1" x14ac:dyDescent="0.4">
      <c r="B10" s="21">
        <v>7</v>
      </c>
      <c r="C10" s="23">
        <v>10</v>
      </c>
      <c r="D10" s="23">
        <v>9</v>
      </c>
      <c r="E10" s="21">
        <f>C10-TOTAL!G10</f>
        <v>0</v>
      </c>
      <c r="F10" s="21">
        <f>D10-TOTAL!H10</f>
        <v>0</v>
      </c>
      <c r="G10" s="21" t="str">
        <f t="shared" si="0"/>
        <v>OK</v>
      </c>
      <c r="H10" s="3"/>
      <c r="I10" s="48" t="s">
        <v>31</v>
      </c>
      <c r="J10" s="49"/>
      <c r="K10" s="49"/>
      <c r="L10" s="49"/>
      <c r="M10" s="50"/>
    </row>
    <row r="11" spans="2:13" ht="23.25" customHeight="1" x14ac:dyDescent="0.4">
      <c r="B11" s="21">
        <v>8</v>
      </c>
      <c r="C11" s="21">
        <v>10</v>
      </c>
      <c r="D11" s="21">
        <v>9</v>
      </c>
      <c r="E11" s="21">
        <f>C11-TOTAL!G11</f>
        <v>0</v>
      </c>
      <c r="F11" s="21">
        <f>D11-TOTAL!H11</f>
        <v>0</v>
      </c>
      <c r="G11" s="21" t="str">
        <f t="shared" si="0"/>
        <v>OK</v>
      </c>
      <c r="H11" s="3"/>
      <c r="I11" s="51"/>
      <c r="J11" s="52"/>
      <c r="K11" s="52"/>
      <c r="L11" s="52"/>
      <c r="M11" s="53"/>
    </row>
    <row r="12" spans="2:13" ht="23.25" customHeight="1" x14ac:dyDescent="0.4">
      <c r="B12" s="21">
        <v>9</v>
      </c>
      <c r="C12" s="21">
        <v>10</v>
      </c>
      <c r="D12" s="21">
        <v>9</v>
      </c>
      <c r="E12" s="21">
        <f>C12-TOTAL!G12</f>
        <v>0</v>
      </c>
      <c r="F12" s="21">
        <f>D12-TOTAL!H12</f>
        <v>0</v>
      </c>
      <c r="G12" s="21" t="str">
        <f t="shared" si="0"/>
        <v>OK</v>
      </c>
      <c r="H12" s="3"/>
      <c r="I12" s="54"/>
      <c r="J12" s="55"/>
      <c r="K12" s="55"/>
      <c r="L12" s="55"/>
      <c r="M12" s="56"/>
    </row>
    <row r="13" spans="2:13" ht="23.25" customHeight="1" x14ac:dyDescent="0.4">
      <c r="B13" s="21">
        <v>10</v>
      </c>
      <c r="C13" s="23">
        <v>10</v>
      </c>
      <c r="D13" s="23">
        <v>9</v>
      </c>
      <c r="E13" s="21">
        <f>C13-TOTAL!G13</f>
        <v>0</v>
      </c>
      <c r="F13" s="21">
        <f>D13-TOTAL!H13</f>
        <v>0</v>
      </c>
      <c r="G13" s="21" t="str">
        <f t="shared" si="0"/>
        <v>OK</v>
      </c>
      <c r="H13" s="3"/>
      <c r="I13" s="58">
        <v>0.2</v>
      </c>
      <c r="J13" s="49"/>
      <c r="K13" s="49"/>
      <c r="L13" s="49"/>
      <c r="M13" s="50"/>
    </row>
    <row r="14" spans="2:13" ht="23.25" customHeight="1" x14ac:dyDescent="0.4">
      <c r="B14" s="21" t="s">
        <v>3</v>
      </c>
      <c r="C14" s="21">
        <f t="shared" ref="C14:D14" si="1">SUM(C4:C13)</f>
        <v>98</v>
      </c>
      <c r="D14" s="21">
        <f t="shared" si="1"/>
        <v>92</v>
      </c>
      <c r="E14" s="21">
        <f>C14-TOTAL!G14</f>
        <v>0</v>
      </c>
      <c r="F14" s="21">
        <f>D14-TOTAL!H14</f>
        <v>0</v>
      </c>
      <c r="G14" s="21" t="str">
        <f t="shared" si="0"/>
        <v>OKPELEA</v>
      </c>
      <c r="H14" s="3"/>
      <c r="I14" s="51"/>
      <c r="J14" s="52"/>
      <c r="K14" s="52"/>
      <c r="L14" s="52"/>
      <c r="M14" s="53"/>
    </row>
    <row r="15" spans="2:13" ht="23.25" customHeight="1" x14ac:dyDescent="0.4">
      <c r="B15" s="29"/>
      <c r="C15" s="29"/>
      <c r="D15" s="21" t="s">
        <v>27</v>
      </c>
      <c r="E15" s="21"/>
      <c r="F15" s="21"/>
      <c r="G15" s="21">
        <f>COUNTIF(G4:G13,"error")</f>
        <v>0</v>
      </c>
      <c r="I15" s="54"/>
      <c r="J15" s="55"/>
      <c r="K15" s="55"/>
      <c r="L15" s="55"/>
      <c r="M15" s="56"/>
    </row>
    <row r="16" spans="2:13" ht="12.75" customHeight="1" x14ac:dyDescent="0.25">
      <c r="D16" s="3"/>
      <c r="E16" s="3"/>
      <c r="F16" s="3"/>
    </row>
    <row r="17" spans="4:6" ht="12.75" customHeight="1" x14ac:dyDescent="0.25">
      <c r="D17" s="3"/>
      <c r="E17" s="3"/>
      <c r="F17" s="3"/>
    </row>
    <row r="18" spans="4:6" ht="12.75" customHeight="1" x14ac:dyDescent="0.25">
      <c r="D18" s="3"/>
      <c r="E18" s="3"/>
      <c r="F18" s="3"/>
    </row>
    <row r="19" spans="4:6" ht="12.75" customHeight="1" x14ac:dyDescent="0.25">
      <c r="D19" s="3"/>
      <c r="E19" s="3"/>
      <c r="F19" s="3"/>
    </row>
    <row r="20" spans="4:6" ht="12.75" customHeight="1" x14ac:dyDescent="0.25">
      <c r="D20" s="3"/>
      <c r="E20" s="3"/>
      <c r="F20" s="3"/>
    </row>
    <row r="21" spans="4:6" ht="12.75" customHeight="1" x14ac:dyDescent="0.25">
      <c r="D21" s="3"/>
      <c r="E21" s="3"/>
      <c r="F21" s="3"/>
    </row>
    <row r="22" spans="4:6" ht="12.75" customHeight="1" x14ac:dyDescent="0.25">
      <c r="D22" s="3"/>
      <c r="E22" s="3"/>
      <c r="F22" s="3"/>
    </row>
    <row r="23" spans="4:6" ht="12.75" customHeight="1" x14ac:dyDescent="0.25">
      <c r="D23" s="3"/>
      <c r="E23" s="3"/>
      <c r="F23" s="3"/>
    </row>
    <row r="24" spans="4:6" ht="12.75" customHeight="1" x14ac:dyDescent="0.25">
      <c r="D24" s="3"/>
      <c r="E24" s="3"/>
      <c r="F24" s="3"/>
    </row>
    <row r="25" spans="4:6" ht="12.75" customHeight="1" x14ac:dyDescent="0.25">
      <c r="D25" s="3"/>
      <c r="E25" s="3"/>
      <c r="F25" s="3"/>
    </row>
    <row r="26" spans="4:6" ht="12.75" customHeight="1" x14ac:dyDescent="0.25">
      <c r="D26" s="3"/>
      <c r="E26" s="3"/>
      <c r="F26" s="3"/>
    </row>
    <row r="27" spans="4:6" ht="12.75" customHeight="1" x14ac:dyDescent="0.25">
      <c r="D27" s="3"/>
      <c r="E27" s="3"/>
      <c r="F27" s="3"/>
    </row>
    <row r="28" spans="4:6" ht="12.75" customHeight="1" x14ac:dyDescent="0.25">
      <c r="D28" s="3"/>
      <c r="E28" s="3"/>
      <c r="F28" s="3"/>
    </row>
    <row r="29" spans="4:6" ht="12.75" customHeight="1" x14ac:dyDescent="0.25">
      <c r="D29" s="3"/>
      <c r="E29" s="3"/>
      <c r="F29" s="3"/>
    </row>
    <row r="30" spans="4:6" ht="12.75" customHeight="1" x14ac:dyDescent="0.25">
      <c r="D30" s="3"/>
      <c r="E30" s="3"/>
      <c r="F30" s="3"/>
    </row>
    <row r="31" spans="4:6" ht="12.75" customHeight="1" x14ac:dyDescent="0.25">
      <c r="D31" s="3"/>
      <c r="E31" s="3"/>
      <c r="F31" s="3"/>
    </row>
    <row r="32" spans="4:6" ht="12.75" customHeight="1" x14ac:dyDescent="0.25">
      <c r="D32" s="3"/>
      <c r="E32" s="3"/>
      <c r="F32" s="3"/>
    </row>
    <row r="33" spans="4:6" ht="12.75" customHeight="1" x14ac:dyDescent="0.25">
      <c r="D33" s="3"/>
      <c r="E33" s="3"/>
      <c r="F33" s="3"/>
    </row>
    <row r="34" spans="4:6" ht="12.75" customHeight="1" x14ac:dyDescent="0.25">
      <c r="D34" s="3"/>
      <c r="E34" s="3"/>
      <c r="F34" s="3"/>
    </row>
    <row r="35" spans="4:6" ht="12.75" customHeight="1" x14ac:dyDescent="0.25">
      <c r="D35" s="3"/>
      <c r="E35" s="3"/>
      <c r="F35" s="3"/>
    </row>
    <row r="36" spans="4:6" ht="12.75" customHeight="1" x14ac:dyDescent="0.25">
      <c r="D36" s="3"/>
      <c r="E36" s="3"/>
      <c r="F36" s="3"/>
    </row>
    <row r="37" spans="4:6" ht="12.75" customHeight="1" x14ac:dyDescent="0.25">
      <c r="D37" s="3"/>
      <c r="E37" s="3"/>
      <c r="F37" s="3"/>
    </row>
    <row r="38" spans="4:6" ht="12.75" customHeight="1" x14ac:dyDescent="0.25">
      <c r="D38" s="3"/>
      <c r="E38" s="3"/>
      <c r="F38" s="3"/>
    </row>
    <row r="39" spans="4:6" ht="12.75" customHeight="1" x14ac:dyDescent="0.25">
      <c r="D39" s="3"/>
      <c r="E39" s="3"/>
      <c r="F39" s="3"/>
    </row>
    <row r="40" spans="4:6" ht="12.75" customHeight="1" x14ac:dyDescent="0.25">
      <c r="D40" s="3"/>
      <c r="E40" s="3"/>
      <c r="F40" s="3"/>
    </row>
    <row r="41" spans="4:6" ht="12.75" customHeight="1" x14ac:dyDescent="0.25">
      <c r="D41" s="3"/>
      <c r="E41" s="3"/>
      <c r="F41" s="3"/>
    </row>
    <row r="42" spans="4:6" ht="12.75" customHeight="1" x14ac:dyDescent="0.25">
      <c r="D42" s="3"/>
      <c r="E42" s="3"/>
      <c r="F42" s="3"/>
    </row>
    <row r="43" spans="4:6" ht="12.75" customHeight="1" x14ac:dyDescent="0.25">
      <c r="D43" s="3"/>
      <c r="E43" s="3"/>
      <c r="F43" s="3"/>
    </row>
    <row r="44" spans="4:6" ht="12.75" customHeight="1" x14ac:dyDescent="0.25">
      <c r="D44" s="3"/>
      <c r="E44" s="3"/>
      <c r="F44" s="3"/>
    </row>
    <row r="45" spans="4:6" ht="12.75" customHeight="1" x14ac:dyDescent="0.25">
      <c r="D45" s="3"/>
      <c r="E45" s="3"/>
      <c r="F45" s="3"/>
    </row>
    <row r="46" spans="4:6" ht="12.75" customHeight="1" x14ac:dyDescent="0.25">
      <c r="D46" s="3"/>
      <c r="E46" s="3"/>
      <c r="F46" s="3"/>
    </row>
    <row r="47" spans="4:6" ht="12.75" customHeight="1" x14ac:dyDescent="0.25">
      <c r="D47" s="3"/>
      <c r="E47" s="3"/>
      <c r="F47" s="3"/>
    </row>
    <row r="48" spans="4:6" ht="12.75" customHeight="1" x14ac:dyDescent="0.25">
      <c r="D48" s="3"/>
      <c r="E48" s="3"/>
      <c r="F48" s="3"/>
    </row>
    <row r="49" spans="4:6" ht="12.75" customHeight="1" x14ac:dyDescent="0.25">
      <c r="D49" s="3"/>
      <c r="E49" s="3"/>
      <c r="F49" s="3"/>
    </row>
    <row r="50" spans="4:6" ht="12.75" customHeight="1" x14ac:dyDescent="0.25">
      <c r="D50" s="3"/>
      <c r="E50" s="3"/>
      <c r="F50" s="3"/>
    </row>
    <row r="51" spans="4:6" ht="12.75" customHeight="1" x14ac:dyDescent="0.25">
      <c r="D51" s="3"/>
      <c r="E51" s="3"/>
      <c r="F51" s="3"/>
    </row>
    <row r="52" spans="4:6" ht="12.75" customHeight="1" x14ac:dyDescent="0.25">
      <c r="D52" s="3"/>
      <c r="E52" s="3"/>
      <c r="F52" s="3"/>
    </row>
    <row r="53" spans="4:6" ht="12.75" customHeight="1" x14ac:dyDescent="0.25">
      <c r="D53" s="3"/>
      <c r="E53" s="3"/>
      <c r="F53" s="3"/>
    </row>
    <row r="54" spans="4:6" ht="12.75" customHeight="1" x14ac:dyDescent="0.25">
      <c r="D54" s="3"/>
      <c r="E54" s="3"/>
      <c r="F54" s="3"/>
    </row>
    <row r="55" spans="4:6" ht="12.75" customHeight="1" x14ac:dyDescent="0.25">
      <c r="D55" s="3"/>
      <c r="E55" s="3"/>
      <c r="F55" s="3"/>
    </row>
    <row r="56" spans="4:6" ht="12.75" customHeight="1" x14ac:dyDescent="0.25">
      <c r="D56" s="3"/>
      <c r="E56" s="3"/>
      <c r="F56" s="3"/>
    </row>
    <row r="57" spans="4:6" ht="12.75" customHeight="1" x14ac:dyDescent="0.25">
      <c r="D57" s="3"/>
      <c r="E57" s="3"/>
      <c r="F57" s="3"/>
    </row>
    <row r="58" spans="4:6" ht="12.75" customHeight="1" x14ac:dyDescent="0.25">
      <c r="D58" s="3"/>
      <c r="E58" s="3"/>
      <c r="F58" s="3"/>
    </row>
    <row r="59" spans="4:6" ht="12.75" customHeight="1" x14ac:dyDescent="0.25">
      <c r="D59" s="3"/>
      <c r="E59" s="3"/>
      <c r="F59" s="3"/>
    </row>
    <row r="60" spans="4:6" ht="12.75" customHeight="1" x14ac:dyDescent="0.25">
      <c r="D60" s="3"/>
      <c r="E60" s="3"/>
      <c r="F60" s="3"/>
    </row>
    <row r="61" spans="4:6" ht="12.75" customHeight="1" x14ac:dyDescent="0.25">
      <c r="D61" s="3"/>
      <c r="E61" s="3"/>
      <c r="F61" s="3"/>
    </row>
    <row r="62" spans="4:6" ht="12.75" customHeight="1" x14ac:dyDescent="0.25">
      <c r="D62" s="3"/>
      <c r="E62" s="3"/>
      <c r="F62" s="3"/>
    </row>
    <row r="63" spans="4:6" ht="12.75" customHeight="1" x14ac:dyDescent="0.25">
      <c r="D63" s="3"/>
      <c r="E63" s="3"/>
      <c r="F63" s="3"/>
    </row>
    <row r="64" spans="4:6" ht="12.75" customHeight="1" x14ac:dyDescent="0.25">
      <c r="D64" s="3"/>
      <c r="E64" s="3"/>
      <c r="F64" s="3"/>
    </row>
    <row r="65" spans="4:6" ht="12.75" customHeight="1" x14ac:dyDescent="0.25">
      <c r="D65" s="3"/>
      <c r="E65" s="3"/>
      <c r="F65" s="3"/>
    </row>
    <row r="66" spans="4:6" ht="12.75" customHeight="1" x14ac:dyDescent="0.25">
      <c r="D66" s="3"/>
      <c r="E66" s="3"/>
      <c r="F66" s="3"/>
    </row>
    <row r="67" spans="4:6" ht="12.75" customHeight="1" x14ac:dyDescent="0.25">
      <c r="D67" s="3"/>
      <c r="E67" s="3"/>
      <c r="F67" s="3"/>
    </row>
    <row r="68" spans="4:6" ht="12.75" customHeight="1" x14ac:dyDescent="0.25">
      <c r="D68" s="3"/>
      <c r="E68" s="3"/>
      <c r="F68" s="3"/>
    </row>
    <row r="69" spans="4:6" ht="12.75" customHeight="1" x14ac:dyDescent="0.25">
      <c r="D69" s="3"/>
      <c r="E69" s="3"/>
      <c r="F69" s="3"/>
    </row>
    <row r="70" spans="4:6" ht="12.75" customHeight="1" x14ac:dyDescent="0.25">
      <c r="D70" s="3"/>
      <c r="E70" s="3"/>
      <c r="F70" s="3"/>
    </row>
    <row r="71" spans="4:6" ht="12.75" customHeight="1" x14ac:dyDescent="0.25">
      <c r="D71" s="3"/>
      <c r="E71" s="3"/>
      <c r="F71" s="3"/>
    </row>
    <row r="72" spans="4:6" ht="12.75" customHeight="1" x14ac:dyDescent="0.25">
      <c r="D72" s="3"/>
      <c r="E72" s="3"/>
      <c r="F72" s="3"/>
    </row>
    <row r="73" spans="4:6" ht="12.75" customHeight="1" x14ac:dyDescent="0.25">
      <c r="D73" s="3"/>
      <c r="E73" s="3"/>
      <c r="F73" s="3"/>
    </row>
    <row r="74" spans="4:6" ht="12.75" customHeight="1" x14ac:dyDescent="0.25">
      <c r="D74" s="3"/>
      <c r="E74" s="3"/>
      <c r="F74" s="3"/>
    </row>
    <row r="75" spans="4:6" ht="12.75" customHeight="1" x14ac:dyDescent="0.25">
      <c r="D75" s="3"/>
      <c r="E75" s="3"/>
      <c r="F75" s="3"/>
    </row>
    <row r="76" spans="4:6" ht="12.75" customHeight="1" x14ac:dyDescent="0.25">
      <c r="D76" s="3"/>
      <c r="E76" s="3"/>
      <c r="F76" s="3"/>
    </row>
    <row r="77" spans="4:6" ht="12.75" customHeight="1" x14ac:dyDescent="0.25">
      <c r="D77" s="3"/>
      <c r="E77" s="3"/>
      <c r="F77" s="3"/>
    </row>
    <row r="78" spans="4:6" ht="12.75" customHeight="1" x14ac:dyDescent="0.25">
      <c r="D78" s="3"/>
      <c r="E78" s="3"/>
      <c r="F78" s="3"/>
    </row>
    <row r="79" spans="4:6" ht="12.75" customHeight="1" x14ac:dyDescent="0.25">
      <c r="D79" s="3"/>
      <c r="E79" s="3"/>
      <c r="F79" s="3"/>
    </row>
    <row r="80" spans="4:6" ht="12.75" customHeight="1" x14ac:dyDescent="0.25">
      <c r="D80" s="3"/>
      <c r="E80" s="3"/>
      <c r="F80" s="3"/>
    </row>
    <row r="81" spans="4:6" ht="12.75" customHeight="1" x14ac:dyDescent="0.25">
      <c r="D81" s="3"/>
      <c r="E81" s="3"/>
      <c r="F81" s="3"/>
    </row>
    <row r="82" spans="4:6" ht="12.75" customHeight="1" x14ac:dyDescent="0.25">
      <c r="D82" s="3"/>
      <c r="E82" s="3"/>
      <c r="F82" s="3"/>
    </row>
    <row r="83" spans="4:6" ht="12.75" customHeight="1" x14ac:dyDescent="0.25">
      <c r="D83" s="3"/>
      <c r="E83" s="3"/>
      <c r="F83" s="3"/>
    </row>
    <row r="84" spans="4:6" ht="12.75" customHeight="1" x14ac:dyDescent="0.25">
      <c r="D84" s="3"/>
      <c r="E84" s="3"/>
      <c r="F84" s="3"/>
    </row>
    <row r="85" spans="4:6" ht="12.75" customHeight="1" x14ac:dyDescent="0.25">
      <c r="D85" s="3"/>
      <c r="E85" s="3"/>
      <c r="F85" s="3"/>
    </row>
    <row r="86" spans="4:6" ht="12.75" customHeight="1" x14ac:dyDescent="0.25">
      <c r="D86" s="3"/>
      <c r="E86" s="3"/>
      <c r="F86" s="3"/>
    </row>
    <row r="87" spans="4:6" ht="12.75" customHeight="1" x14ac:dyDescent="0.25">
      <c r="D87" s="3"/>
      <c r="E87" s="3"/>
      <c r="F87" s="3"/>
    </row>
    <row r="88" spans="4:6" ht="12.75" customHeight="1" x14ac:dyDescent="0.25">
      <c r="D88" s="3"/>
      <c r="E88" s="3"/>
      <c r="F88" s="3"/>
    </row>
    <row r="89" spans="4:6" ht="12.75" customHeight="1" x14ac:dyDescent="0.25">
      <c r="D89" s="3"/>
      <c r="E89" s="3"/>
      <c r="F89" s="3"/>
    </row>
    <row r="90" spans="4:6" ht="12.75" customHeight="1" x14ac:dyDescent="0.25">
      <c r="D90" s="3"/>
      <c r="E90" s="3"/>
      <c r="F90" s="3"/>
    </row>
    <row r="91" spans="4:6" ht="12.75" customHeight="1" x14ac:dyDescent="0.25">
      <c r="D91" s="3"/>
      <c r="E91" s="3"/>
      <c r="F91" s="3"/>
    </row>
    <row r="92" spans="4:6" ht="12.75" customHeight="1" x14ac:dyDescent="0.25">
      <c r="D92" s="3"/>
      <c r="E92" s="3"/>
      <c r="F92" s="3"/>
    </row>
    <row r="93" spans="4:6" ht="12.75" customHeight="1" x14ac:dyDescent="0.25">
      <c r="D93" s="3"/>
      <c r="E93" s="3"/>
      <c r="F93" s="3"/>
    </row>
    <row r="94" spans="4:6" ht="12.75" customHeight="1" x14ac:dyDescent="0.25">
      <c r="D94" s="3"/>
      <c r="E94" s="3"/>
      <c r="F94" s="3"/>
    </row>
    <row r="95" spans="4:6" ht="12.75" customHeight="1" x14ac:dyDescent="0.25">
      <c r="D95" s="3"/>
      <c r="E95" s="3"/>
      <c r="F95" s="3"/>
    </row>
    <row r="96" spans="4:6" ht="12.75" customHeight="1" x14ac:dyDescent="0.25">
      <c r="D96" s="3"/>
      <c r="E96" s="3"/>
      <c r="F96" s="3"/>
    </row>
    <row r="97" spans="4:6" ht="12.75" customHeight="1" x14ac:dyDescent="0.25">
      <c r="D97" s="3"/>
      <c r="E97" s="3"/>
      <c r="F97" s="3"/>
    </row>
    <row r="98" spans="4:6" ht="12.75" customHeight="1" x14ac:dyDescent="0.25">
      <c r="D98" s="3"/>
      <c r="E98" s="3"/>
      <c r="F98" s="3"/>
    </row>
    <row r="99" spans="4:6" ht="12.75" customHeight="1" x14ac:dyDescent="0.25">
      <c r="D99" s="3"/>
      <c r="E99" s="3"/>
      <c r="F99" s="3"/>
    </row>
    <row r="100" spans="4:6" ht="12.75" customHeight="1" x14ac:dyDescent="0.25">
      <c r="D100" s="3"/>
      <c r="E100" s="3"/>
      <c r="F100" s="3"/>
    </row>
    <row r="101" spans="4:6" ht="12.75" customHeight="1" x14ac:dyDescent="0.25">
      <c r="D101" s="3"/>
      <c r="E101" s="3"/>
      <c r="F101" s="3"/>
    </row>
    <row r="102" spans="4:6" ht="12.75" customHeight="1" x14ac:dyDescent="0.25">
      <c r="D102" s="3"/>
      <c r="E102" s="3"/>
      <c r="F102" s="3"/>
    </row>
    <row r="103" spans="4:6" ht="12.75" customHeight="1" x14ac:dyDescent="0.25">
      <c r="D103" s="3"/>
      <c r="E103" s="3"/>
      <c r="F103" s="3"/>
    </row>
    <row r="104" spans="4:6" ht="12.75" customHeight="1" x14ac:dyDescent="0.25">
      <c r="D104" s="3"/>
      <c r="E104" s="3"/>
      <c r="F104" s="3"/>
    </row>
    <row r="105" spans="4:6" ht="12.75" customHeight="1" x14ac:dyDescent="0.25">
      <c r="D105" s="3"/>
      <c r="E105" s="3"/>
      <c r="F105" s="3"/>
    </row>
    <row r="106" spans="4:6" ht="12.75" customHeight="1" x14ac:dyDescent="0.25">
      <c r="D106" s="3"/>
      <c r="E106" s="3"/>
      <c r="F106" s="3"/>
    </row>
    <row r="107" spans="4:6" ht="12.75" customHeight="1" x14ac:dyDescent="0.25">
      <c r="D107" s="3"/>
      <c r="E107" s="3"/>
      <c r="F107" s="3"/>
    </row>
    <row r="108" spans="4:6" ht="12.75" customHeight="1" x14ac:dyDescent="0.25">
      <c r="D108" s="3"/>
      <c r="E108" s="3"/>
      <c r="F108" s="3"/>
    </row>
    <row r="109" spans="4:6" ht="12.75" customHeight="1" x14ac:dyDescent="0.25">
      <c r="D109" s="3"/>
      <c r="E109" s="3"/>
      <c r="F109" s="3"/>
    </row>
    <row r="110" spans="4:6" ht="12.75" customHeight="1" x14ac:dyDescent="0.25">
      <c r="D110" s="3"/>
      <c r="E110" s="3"/>
      <c r="F110" s="3"/>
    </row>
    <row r="111" spans="4:6" ht="12.75" customHeight="1" x14ac:dyDescent="0.25">
      <c r="D111" s="3"/>
      <c r="E111" s="3"/>
      <c r="F111" s="3"/>
    </row>
    <row r="112" spans="4:6" ht="12.75" customHeight="1" x14ac:dyDescent="0.25">
      <c r="D112" s="3"/>
      <c r="E112" s="3"/>
      <c r="F112" s="3"/>
    </row>
    <row r="113" spans="4:6" ht="12.75" customHeight="1" x14ac:dyDescent="0.25">
      <c r="D113" s="3"/>
      <c r="E113" s="3"/>
      <c r="F113" s="3"/>
    </row>
    <row r="114" spans="4:6" ht="12.75" customHeight="1" x14ac:dyDescent="0.25">
      <c r="D114" s="3"/>
      <c r="E114" s="3"/>
      <c r="F114" s="3"/>
    </row>
    <row r="115" spans="4:6" ht="12.75" customHeight="1" x14ac:dyDescent="0.25">
      <c r="D115" s="3"/>
      <c r="E115" s="3"/>
      <c r="F115" s="3"/>
    </row>
    <row r="116" spans="4:6" ht="12.75" customHeight="1" x14ac:dyDescent="0.25">
      <c r="D116" s="3"/>
      <c r="E116" s="3"/>
      <c r="F116" s="3"/>
    </row>
    <row r="117" spans="4:6" ht="12.75" customHeight="1" x14ac:dyDescent="0.25">
      <c r="D117" s="3"/>
      <c r="E117" s="3"/>
      <c r="F117" s="3"/>
    </row>
    <row r="118" spans="4:6" ht="12.75" customHeight="1" x14ac:dyDescent="0.25">
      <c r="D118" s="3"/>
      <c r="E118" s="3"/>
      <c r="F118" s="3"/>
    </row>
    <row r="119" spans="4:6" ht="12.75" customHeight="1" x14ac:dyDescent="0.25">
      <c r="D119" s="3"/>
      <c r="E119" s="3"/>
      <c r="F119" s="3"/>
    </row>
    <row r="120" spans="4:6" ht="12.75" customHeight="1" x14ac:dyDescent="0.25">
      <c r="D120" s="3"/>
      <c r="E120" s="3"/>
      <c r="F120" s="3"/>
    </row>
    <row r="121" spans="4:6" ht="12.75" customHeight="1" x14ac:dyDescent="0.25">
      <c r="D121" s="3"/>
      <c r="E121" s="3"/>
      <c r="F121" s="3"/>
    </row>
    <row r="122" spans="4:6" ht="12.75" customHeight="1" x14ac:dyDescent="0.25">
      <c r="D122" s="3"/>
      <c r="E122" s="3"/>
      <c r="F122" s="3"/>
    </row>
    <row r="123" spans="4:6" ht="12.75" customHeight="1" x14ac:dyDescent="0.25">
      <c r="D123" s="3"/>
      <c r="E123" s="3"/>
      <c r="F123" s="3"/>
    </row>
    <row r="124" spans="4:6" ht="12.75" customHeight="1" x14ac:dyDescent="0.25">
      <c r="D124" s="3"/>
      <c r="E124" s="3"/>
      <c r="F124" s="3"/>
    </row>
    <row r="125" spans="4:6" ht="12.75" customHeight="1" x14ac:dyDescent="0.25">
      <c r="D125" s="3"/>
      <c r="E125" s="3"/>
      <c r="F125" s="3"/>
    </row>
    <row r="126" spans="4:6" ht="12.75" customHeight="1" x14ac:dyDescent="0.25">
      <c r="D126" s="3"/>
      <c r="E126" s="3"/>
      <c r="F126" s="3"/>
    </row>
    <row r="127" spans="4:6" ht="12.75" customHeight="1" x14ac:dyDescent="0.25">
      <c r="D127" s="3"/>
      <c r="E127" s="3"/>
      <c r="F127" s="3"/>
    </row>
    <row r="128" spans="4:6" ht="12.75" customHeight="1" x14ac:dyDescent="0.25">
      <c r="D128" s="3"/>
      <c r="E128" s="3"/>
      <c r="F128" s="3"/>
    </row>
    <row r="129" spans="4:6" ht="12.75" customHeight="1" x14ac:dyDescent="0.25">
      <c r="D129" s="3"/>
      <c r="E129" s="3"/>
      <c r="F129" s="3"/>
    </row>
    <row r="130" spans="4:6" ht="12.75" customHeight="1" x14ac:dyDescent="0.25">
      <c r="D130" s="3"/>
      <c r="E130" s="3"/>
      <c r="F130" s="3"/>
    </row>
    <row r="131" spans="4:6" ht="12.75" customHeight="1" x14ac:dyDescent="0.25">
      <c r="D131" s="3"/>
      <c r="E131" s="3"/>
      <c r="F131" s="3"/>
    </row>
    <row r="132" spans="4:6" ht="12.75" customHeight="1" x14ac:dyDescent="0.25">
      <c r="D132" s="3"/>
      <c r="E132" s="3"/>
      <c r="F132" s="3"/>
    </row>
    <row r="133" spans="4:6" ht="12.75" customHeight="1" x14ac:dyDescent="0.25">
      <c r="D133" s="3"/>
      <c r="E133" s="3"/>
      <c r="F133" s="3"/>
    </row>
    <row r="134" spans="4:6" ht="12.75" customHeight="1" x14ac:dyDescent="0.25">
      <c r="D134" s="3"/>
      <c r="E134" s="3"/>
      <c r="F134" s="3"/>
    </row>
    <row r="135" spans="4:6" ht="12.75" customHeight="1" x14ac:dyDescent="0.25">
      <c r="D135" s="3"/>
      <c r="E135" s="3"/>
      <c r="F135" s="3"/>
    </row>
    <row r="136" spans="4:6" ht="12.75" customHeight="1" x14ac:dyDescent="0.25">
      <c r="D136" s="3"/>
      <c r="E136" s="3"/>
      <c r="F136" s="3"/>
    </row>
    <row r="137" spans="4:6" ht="12.75" customHeight="1" x14ac:dyDescent="0.25">
      <c r="D137" s="3"/>
      <c r="E137" s="3"/>
      <c r="F137" s="3"/>
    </row>
    <row r="138" spans="4:6" ht="12.75" customHeight="1" x14ac:dyDescent="0.25">
      <c r="D138" s="3"/>
      <c r="E138" s="3"/>
      <c r="F138" s="3"/>
    </row>
    <row r="139" spans="4:6" ht="12.75" customHeight="1" x14ac:dyDescent="0.25">
      <c r="D139" s="3"/>
      <c r="E139" s="3"/>
      <c r="F139" s="3"/>
    </row>
    <row r="140" spans="4:6" ht="12.75" customHeight="1" x14ac:dyDescent="0.25">
      <c r="D140" s="3"/>
      <c r="E140" s="3"/>
      <c r="F140" s="3"/>
    </row>
    <row r="141" spans="4:6" ht="12.75" customHeight="1" x14ac:dyDescent="0.25">
      <c r="D141" s="3"/>
      <c r="E141" s="3"/>
      <c r="F141" s="3"/>
    </row>
    <row r="142" spans="4:6" ht="12.75" customHeight="1" x14ac:dyDescent="0.25">
      <c r="D142" s="3"/>
      <c r="E142" s="3"/>
      <c r="F142" s="3"/>
    </row>
    <row r="143" spans="4:6" ht="12.75" customHeight="1" x14ac:dyDescent="0.25">
      <c r="D143" s="3"/>
      <c r="E143" s="3"/>
      <c r="F143" s="3"/>
    </row>
    <row r="144" spans="4:6" ht="12.75" customHeight="1" x14ac:dyDescent="0.25">
      <c r="D144" s="3"/>
      <c r="E144" s="3"/>
      <c r="F144" s="3"/>
    </row>
    <row r="145" spans="4:6" ht="12.75" customHeight="1" x14ac:dyDescent="0.25">
      <c r="D145" s="3"/>
      <c r="E145" s="3"/>
      <c r="F145" s="3"/>
    </row>
    <row r="146" spans="4:6" ht="12.75" customHeight="1" x14ac:dyDescent="0.25">
      <c r="D146" s="3"/>
      <c r="E146" s="3"/>
      <c r="F146" s="3"/>
    </row>
    <row r="147" spans="4:6" ht="12.75" customHeight="1" x14ac:dyDescent="0.25">
      <c r="D147" s="3"/>
      <c r="E147" s="3"/>
      <c r="F147" s="3"/>
    </row>
    <row r="148" spans="4:6" ht="12.75" customHeight="1" x14ac:dyDescent="0.25">
      <c r="D148" s="3"/>
      <c r="E148" s="3"/>
      <c r="F148" s="3"/>
    </row>
    <row r="149" spans="4:6" ht="12.75" customHeight="1" x14ac:dyDescent="0.25">
      <c r="D149" s="3"/>
      <c r="E149" s="3"/>
      <c r="F149" s="3"/>
    </row>
    <row r="150" spans="4:6" ht="12.75" customHeight="1" x14ac:dyDescent="0.25">
      <c r="D150" s="3"/>
      <c r="E150" s="3"/>
      <c r="F150" s="3"/>
    </row>
    <row r="151" spans="4:6" ht="12.75" customHeight="1" x14ac:dyDescent="0.25">
      <c r="D151" s="3"/>
      <c r="E151" s="3"/>
      <c r="F151" s="3"/>
    </row>
    <row r="152" spans="4:6" ht="12.75" customHeight="1" x14ac:dyDescent="0.25">
      <c r="D152" s="3"/>
      <c r="E152" s="3"/>
      <c r="F152" s="3"/>
    </row>
    <row r="153" spans="4:6" ht="12.75" customHeight="1" x14ac:dyDescent="0.25">
      <c r="D153" s="3"/>
      <c r="E153" s="3"/>
      <c r="F153" s="3"/>
    </row>
    <row r="154" spans="4:6" ht="12.75" customHeight="1" x14ac:dyDescent="0.25">
      <c r="D154" s="3"/>
      <c r="E154" s="3"/>
      <c r="F154" s="3"/>
    </row>
    <row r="155" spans="4:6" ht="12.75" customHeight="1" x14ac:dyDescent="0.25">
      <c r="D155" s="3"/>
      <c r="E155" s="3"/>
      <c r="F155" s="3"/>
    </row>
    <row r="156" spans="4:6" ht="12.75" customHeight="1" x14ac:dyDescent="0.25">
      <c r="D156" s="3"/>
      <c r="E156" s="3"/>
      <c r="F156" s="3"/>
    </row>
    <row r="157" spans="4:6" ht="12.75" customHeight="1" x14ac:dyDescent="0.25">
      <c r="D157" s="3"/>
      <c r="E157" s="3"/>
      <c r="F157" s="3"/>
    </row>
    <row r="158" spans="4:6" ht="12.75" customHeight="1" x14ac:dyDescent="0.25">
      <c r="D158" s="3"/>
      <c r="E158" s="3"/>
      <c r="F158" s="3"/>
    </row>
    <row r="159" spans="4:6" ht="12.75" customHeight="1" x14ac:dyDescent="0.25">
      <c r="D159" s="3"/>
      <c r="E159" s="3"/>
      <c r="F159" s="3"/>
    </row>
    <row r="160" spans="4:6" ht="12.75" customHeight="1" x14ac:dyDescent="0.25">
      <c r="D160" s="3"/>
      <c r="E160" s="3"/>
      <c r="F160" s="3"/>
    </row>
    <row r="161" spans="4:6" ht="12.75" customHeight="1" x14ac:dyDescent="0.25">
      <c r="D161" s="3"/>
      <c r="E161" s="3"/>
      <c r="F161" s="3"/>
    </row>
    <row r="162" spans="4:6" ht="12.75" customHeight="1" x14ac:dyDescent="0.25">
      <c r="D162" s="3"/>
      <c r="E162" s="3"/>
      <c r="F162" s="3"/>
    </row>
    <row r="163" spans="4:6" ht="12.75" customHeight="1" x14ac:dyDescent="0.25">
      <c r="D163" s="3"/>
      <c r="E163" s="3"/>
      <c r="F163" s="3"/>
    </row>
    <row r="164" spans="4:6" ht="12.75" customHeight="1" x14ac:dyDescent="0.25">
      <c r="D164" s="3"/>
      <c r="E164" s="3"/>
      <c r="F164" s="3"/>
    </row>
    <row r="165" spans="4:6" ht="12.75" customHeight="1" x14ac:dyDescent="0.25">
      <c r="D165" s="3"/>
      <c r="E165" s="3"/>
      <c r="F165" s="3"/>
    </row>
    <row r="166" spans="4:6" ht="12.75" customHeight="1" x14ac:dyDescent="0.25">
      <c r="D166" s="3"/>
      <c r="E166" s="3"/>
      <c r="F166" s="3"/>
    </row>
    <row r="167" spans="4:6" ht="12.75" customHeight="1" x14ac:dyDescent="0.25">
      <c r="D167" s="3"/>
      <c r="E167" s="3"/>
      <c r="F167" s="3"/>
    </row>
    <row r="168" spans="4:6" ht="12.75" customHeight="1" x14ac:dyDescent="0.25">
      <c r="D168" s="3"/>
      <c r="E168" s="3"/>
      <c r="F168" s="3"/>
    </row>
    <row r="169" spans="4:6" ht="12.75" customHeight="1" x14ac:dyDescent="0.25">
      <c r="D169" s="3"/>
      <c r="E169" s="3"/>
      <c r="F169" s="3"/>
    </row>
    <row r="170" spans="4:6" ht="12.75" customHeight="1" x14ac:dyDescent="0.25">
      <c r="D170" s="3"/>
      <c r="E170" s="3"/>
      <c r="F170" s="3"/>
    </row>
    <row r="171" spans="4:6" ht="12.75" customHeight="1" x14ac:dyDescent="0.25">
      <c r="D171" s="3"/>
      <c r="E171" s="3"/>
      <c r="F171" s="3"/>
    </row>
    <row r="172" spans="4:6" ht="12.75" customHeight="1" x14ac:dyDescent="0.25">
      <c r="D172" s="3"/>
      <c r="E172" s="3"/>
      <c r="F172" s="3"/>
    </row>
    <row r="173" spans="4:6" ht="12.75" customHeight="1" x14ac:dyDescent="0.25">
      <c r="D173" s="3"/>
      <c r="E173" s="3"/>
      <c r="F173" s="3"/>
    </row>
    <row r="174" spans="4:6" ht="12.75" customHeight="1" x14ac:dyDescent="0.25">
      <c r="D174" s="3"/>
      <c r="E174" s="3"/>
      <c r="F174" s="3"/>
    </row>
    <row r="175" spans="4:6" ht="12.75" customHeight="1" x14ac:dyDescent="0.25">
      <c r="D175" s="3"/>
      <c r="E175" s="3"/>
      <c r="F175" s="3"/>
    </row>
    <row r="176" spans="4:6" ht="12.75" customHeight="1" x14ac:dyDescent="0.25">
      <c r="D176" s="3"/>
      <c r="E176" s="3"/>
      <c r="F176" s="3"/>
    </row>
    <row r="177" spans="4:6" ht="12.75" customHeight="1" x14ac:dyDescent="0.25">
      <c r="D177" s="3"/>
      <c r="E177" s="3"/>
      <c r="F177" s="3"/>
    </row>
    <row r="178" spans="4:6" ht="12.75" customHeight="1" x14ac:dyDescent="0.25">
      <c r="D178" s="3"/>
      <c r="E178" s="3"/>
      <c r="F178" s="3"/>
    </row>
    <row r="179" spans="4:6" ht="12.75" customHeight="1" x14ac:dyDescent="0.25">
      <c r="D179" s="3"/>
      <c r="E179" s="3"/>
      <c r="F179" s="3"/>
    </row>
    <row r="180" spans="4:6" ht="12.75" customHeight="1" x14ac:dyDescent="0.25">
      <c r="D180" s="3"/>
      <c r="E180" s="3"/>
      <c r="F180" s="3"/>
    </row>
    <row r="181" spans="4:6" ht="12.75" customHeight="1" x14ac:dyDescent="0.25">
      <c r="D181" s="3"/>
      <c r="E181" s="3"/>
      <c r="F181" s="3"/>
    </row>
    <row r="182" spans="4:6" ht="12.75" customHeight="1" x14ac:dyDescent="0.25">
      <c r="D182" s="3"/>
      <c r="E182" s="3"/>
      <c r="F182" s="3"/>
    </row>
    <row r="183" spans="4:6" ht="12.75" customHeight="1" x14ac:dyDescent="0.25">
      <c r="D183" s="3"/>
      <c r="E183" s="3"/>
      <c r="F183" s="3"/>
    </row>
    <row r="184" spans="4:6" ht="12.75" customHeight="1" x14ac:dyDescent="0.25">
      <c r="D184" s="3"/>
      <c r="E184" s="3"/>
      <c r="F184" s="3"/>
    </row>
    <row r="185" spans="4:6" ht="12.75" customHeight="1" x14ac:dyDescent="0.25">
      <c r="D185" s="3"/>
      <c r="E185" s="3"/>
      <c r="F185" s="3"/>
    </row>
    <row r="186" spans="4:6" ht="12.75" customHeight="1" x14ac:dyDescent="0.25">
      <c r="D186" s="3"/>
      <c r="E186" s="3"/>
      <c r="F186" s="3"/>
    </row>
    <row r="187" spans="4:6" ht="12.75" customHeight="1" x14ac:dyDescent="0.25">
      <c r="D187" s="3"/>
      <c r="E187" s="3"/>
      <c r="F187" s="3"/>
    </row>
    <row r="188" spans="4:6" ht="12.75" customHeight="1" x14ac:dyDescent="0.25">
      <c r="D188" s="3"/>
      <c r="E188" s="3"/>
      <c r="F188" s="3"/>
    </row>
    <row r="189" spans="4:6" ht="12.75" customHeight="1" x14ac:dyDescent="0.25">
      <c r="D189" s="3"/>
      <c r="E189" s="3"/>
      <c r="F189" s="3"/>
    </row>
    <row r="190" spans="4:6" ht="12.75" customHeight="1" x14ac:dyDescent="0.25">
      <c r="D190" s="3"/>
      <c r="E190" s="3"/>
      <c r="F190" s="3"/>
    </row>
    <row r="191" spans="4:6" ht="12.75" customHeight="1" x14ac:dyDescent="0.25">
      <c r="D191" s="3"/>
      <c r="E191" s="3"/>
      <c r="F191" s="3"/>
    </row>
    <row r="192" spans="4:6" ht="12.75" customHeight="1" x14ac:dyDescent="0.25">
      <c r="D192" s="3"/>
      <c r="E192" s="3"/>
      <c r="F192" s="3"/>
    </row>
    <row r="193" spans="4:6" ht="12.75" customHeight="1" x14ac:dyDescent="0.25">
      <c r="D193" s="3"/>
      <c r="E193" s="3"/>
      <c r="F193" s="3"/>
    </row>
    <row r="194" spans="4:6" ht="12.75" customHeight="1" x14ac:dyDescent="0.25">
      <c r="D194" s="3"/>
      <c r="E194" s="3"/>
      <c r="F194" s="3"/>
    </row>
    <row r="195" spans="4:6" ht="12.75" customHeight="1" x14ac:dyDescent="0.25">
      <c r="D195" s="3"/>
      <c r="E195" s="3"/>
      <c r="F195" s="3"/>
    </row>
    <row r="196" spans="4:6" ht="12.75" customHeight="1" x14ac:dyDescent="0.25">
      <c r="D196" s="3"/>
      <c r="E196" s="3"/>
      <c r="F196" s="3"/>
    </row>
    <row r="197" spans="4:6" ht="12.75" customHeight="1" x14ac:dyDescent="0.25">
      <c r="D197" s="3"/>
      <c r="E197" s="3"/>
      <c r="F197" s="3"/>
    </row>
    <row r="198" spans="4:6" ht="12.75" customHeight="1" x14ac:dyDescent="0.25">
      <c r="D198" s="3"/>
      <c r="E198" s="3"/>
      <c r="F198" s="3"/>
    </row>
    <row r="199" spans="4:6" ht="12.75" customHeight="1" x14ac:dyDescent="0.25">
      <c r="D199" s="3"/>
      <c r="E199" s="3"/>
      <c r="F199" s="3"/>
    </row>
    <row r="200" spans="4:6" ht="12.75" customHeight="1" x14ac:dyDescent="0.25">
      <c r="D200" s="3"/>
      <c r="E200" s="3"/>
      <c r="F200" s="3"/>
    </row>
    <row r="201" spans="4:6" ht="12.75" customHeight="1" x14ac:dyDescent="0.25">
      <c r="D201" s="3"/>
      <c r="E201" s="3"/>
      <c r="F201" s="3"/>
    </row>
    <row r="202" spans="4:6" ht="12.75" customHeight="1" x14ac:dyDescent="0.25">
      <c r="D202" s="3"/>
      <c r="E202" s="3"/>
      <c r="F202" s="3"/>
    </row>
    <row r="203" spans="4:6" ht="12.75" customHeight="1" x14ac:dyDescent="0.25">
      <c r="D203" s="3"/>
      <c r="E203" s="3"/>
      <c r="F203" s="3"/>
    </row>
    <row r="204" spans="4:6" ht="12.75" customHeight="1" x14ac:dyDescent="0.25">
      <c r="D204" s="3"/>
      <c r="E204" s="3"/>
      <c r="F204" s="3"/>
    </row>
    <row r="205" spans="4:6" ht="12.75" customHeight="1" x14ac:dyDescent="0.25">
      <c r="D205" s="3"/>
      <c r="E205" s="3"/>
      <c r="F205" s="3"/>
    </row>
    <row r="206" spans="4:6" ht="12.75" customHeight="1" x14ac:dyDescent="0.25">
      <c r="D206" s="3"/>
      <c r="E206" s="3"/>
      <c r="F206" s="3"/>
    </row>
    <row r="207" spans="4:6" ht="12.75" customHeight="1" x14ac:dyDescent="0.25">
      <c r="D207" s="3"/>
      <c r="E207" s="3"/>
      <c r="F207" s="3"/>
    </row>
    <row r="208" spans="4:6" ht="12.75" customHeight="1" x14ac:dyDescent="0.25">
      <c r="D208" s="3"/>
      <c r="E208" s="3"/>
      <c r="F208" s="3"/>
    </row>
    <row r="209" spans="4:6" ht="12.75" customHeight="1" x14ac:dyDescent="0.25">
      <c r="D209" s="3"/>
      <c r="E209" s="3"/>
      <c r="F209" s="3"/>
    </row>
    <row r="210" spans="4:6" ht="12.75" customHeight="1" x14ac:dyDescent="0.25">
      <c r="D210" s="3"/>
      <c r="E210" s="3"/>
      <c r="F210" s="3"/>
    </row>
    <row r="211" spans="4:6" ht="12.75" customHeight="1" x14ac:dyDescent="0.25">
      <c r="D211" s="3"/>
      <c r="E211" s="3"/>
      <c r="F211" s="3"/>
    </row>
    <row r="212" spans="4:6" ht="12.75" customHeight="1" x14ac:dyDescent="0.25">
      <c r="D212" s="3"/>
      <c r="E212" s="3"/>
      <c r="F212" s="3"/>
    </row>
    <row r="213" spans="4:6" ht="12.75" customHeight="1" x14ac:dyDescent="0.25">
      <c r="D213" s="3"/>
      <c r="E213" s="3"/>
      <c r="F213" s="3"/>
    </row>
    <row r="214" spans="4:6" ht="12.75" customHeight="1" x14ac:dyDescent="0.25">
      <c r="D214" s="3"/>
      <c r="E214" s="3"/>
      <c r="F214" s="3"/>
    </row>
    <row r="215" spans="4:6" ht="12.75" customHeight="1" x14ac:dyDescent="0.25">
      <c r="D215" s="3"/>
      <c r="E215" s="3"/>
      <c r="F215" s="3"/>
    </row>
    <row r="216" spans="4:6" ht="12.75" customHeight="1" x14ac:dyDescent="0.25">
      <c r="D216" s="3"/>
      <c r="E216" s="3"/>
      <c r="F216" s="3"/>
    </row>
    <row r="217" spans="4:6" ht="12.75" customHeight="1" x14ac:dyDescent="0.25">
      <c r="D217" s="3"/>
      <c r="E217" s="3"/>
      <c r="F217" s="3"/>
    </row>
    <row r="218" spans="4:6" ht="12.75" customHeight="1" x14ac:dyDescent="0.25">
      <c r="D218" s="3"/>
      <c r="E218" s="3"/>
      <c r="F218" s="3"/>
    </row>
    <row r="219" spans="4:6" ht="12.75" customHeight="1" x14ac:dyDescent="0.25">
      <c r="D219" s="3"/>
      <c r="E219" s="3"/>
      <c r="F219" s="3"/>
    </row>
    <row r="220" spans="4:6" ht="12.75" customHeight="1" x14ac:dyDescent="0.25">
      <c r="D220" s="3"/>
      <c r="E220" s="3"/>
      <c r="F220" s="3"/>
    </row>
    <row r="221" spans="4:6" ht="12.75" customHeight="1" x14ac:dyDescent="0.25">
      <c r="D221" s="3"/>
      <c r="E221" s="3"/>
      <c r="F221" s="3"/>
    </row>
    <row r="222" spans="4:6" ht="12.75" customHeight="1" x14ac:dyDescent="0.25">
      <c r="D222" s="3"/>
      <c r="E222" s="3"/>
      <c r="F222" s="3"/>
    </row>
    <row r="223" spans="4:6" ht="12.75" customHeight="1" x14ac:dyDescent="0.25">
      <c r="D223" s="3"/>
      <c r="E223" s="3"/>
      <c r="F223" s="3"/>
    </row>
    <row r="224" spans="4:6" ht="12.75" customHeight="1" x14ac:dyDescent="0.25">
      <c r="D224" s="3"/>
      <c r="E224" s="3"/>
      <c r="F224" s="3"/>
    </row>
    <row r="225" spans="4:6" ht="12.75" customHeight="1" x14ac:dyDescent="0.25">
      <c r="D225" s="3"/>
      <c r="E225" s="3"/>
      <c r="F225" s="3"/>
    </row>
    <row r="226" spans="4:6" ht="12.75" customHeight="1" x14ac:dyDescent="0.25">
      <c r="D226" s="3"/>
      <c r="E226" s="3"/>
      <c r="F226" s="3"/>
    </row>
    <row r="227" spans="4:6" ht="12.75" customHeight="1" x14ac:dyDescent="0.25">
      <c r="D227" s="3"/>
      <c r="E227" s="3"/>
      <c r="F227" s="3"/>
    </row>
    <row r="228" spans="4:6" ht="12.75" customHeight="1" x14ac:dyDescent="0.25">
      <c r="D228" s="3"/>
      <c r="E228" s="3"/>
      <c r="F228" s="3"/>
    </row>
    <row r="229" spans="4:6" ht="12.75" customHeight="1" x14ac:dyDescent="0.25">
      <c r="D229" s="3"/>
      <c r="E229" s="3"/>
      <c r="F229" s="3"/>
    </row>
    <row r="230" spans="4:6" ht="12.75" customHeight="1" x14ac:dyDescent="0.25">
      <c r="D230" s="3"/>
      <c r="E230" s="3"/>
      <c r="F230" s="3"/>
    </row>
    <row r="231" spans="4:6" ht="12.75" customHeight="1" x14ac:dyDescent="0.25">
      <c r="D231" s="3"/>
      <c r="E231" s="3"/>
      <c r="F231" s="3"/>
    </row>
    <row r="232" spans="4:6" ht="12.75" customHeight="1" x14ac:dyDescent="0.25">
      <c r="D232" s="3"/>
      <c r="E232" s="3"/>
      <c r="F232" s="3"/>
    </row>
    <row r="233" spans="4:6" ht="12.75" customHeight="1" x14ac:dyDescent="0.25">
      <c r="D233" s="3"/>
      <c r="E233" s="3"/>
      <c r="F233" s="3"/>
    </row>
    <row r="234" spans="4:6" ht="12.75" customHeight="1" x14ac:dyDescent="0.25">
      <c r="D234" s="3"/>
      <c r="E234" s="3"/>
      <c r="F234" s="3"/>
    </row>
    <row r="235" spans="4:6" ht="12.75" customHeight="1" x14ac:dyDescent="0.25">
      <c r="D235" s="3"/>
      <c r="E235" s="3"/>
      <c r="F235" s="3"/>
    </row>
    <row r="236" spans="4:6" ht="12.75" customHeight="1" x14ac:dyDescent="0.25">
      <c r="D236" s="3"/>
      <c r="E236" s="3"/>
      <c r="F236" s="3"/>
    </row>
    <row r="237" spans="4:6" ht="12.75" customHeight="1" x14ac:dyDescent="0.25">
      <c r="D237" s="3"/>
      <c r="E237" s="3"/>
      <c r="F237" s="3"/>
    </row>
    <row r="238" spans="4:6" ht="12.75" customHeight="1" x14ac:dyDescent="0.25">
      <c r="D238" s="3"/>
      <c r="E238" s="3"/>
      <c r="F238" s="3"/>
    </row>
    <row r="239" spans="4:6" ht="12.75" customHeight="1" x14ac:dyDescent="0.25">
      <c r="D239" s="3"/>
      <c r="E239" s="3"/>
      <c r="F239" s="3"/>
    </row>
    <row r="240" spans="4:6" ht="12.75" customHeight="1" x14ac:dyDescent="0.25">
      <c r="D240" s="3"/>
      <c r="E240" s="3"/>
      <c r="F240" s="3"/>
    </row>
    <row r="241" spans="4:6" ht="12.75" customHeight="1" x14ac:dyDescent="0.25">
      <c r="D241" s="3"/>
      <c r="E241" s="3"/>
      <c r="F241" s="3"/>
    </row>
    <row r="242" spans="4:6" ht="12.75" customHeight="1" x14ac:dyDescent="0.25">
      <c r="D242" s="3"/>
      <c r="E242" s="3"/>
      <c r="F242" s="3"/>
    </row>
    <row r="243" spans="4:6" ht="12.75" customHeight="1" x14ac:dyDescent="0.25">
      <c r="D243" s="3"/>
      <c r="E243" s="3"/>
      <c r="F243" s="3"/>
    </row>
    <row r="244" spans="4:6" ht="12.75" customHeight="1" x14ac:dyDescent="0.25">
      <c r="D244" s="3"/>
      <c r="E244" s="3"/>
      <c r="F244" s="3"/>
    </row>
    <row r="245" spans="4:6" ht="12.75" customHeight="1" x14ac:dyDescent="0.25">
      <c r="D245" s="3"/>
      <c r="E245" s="3"/>
      <c r="F245" s="3"/>
    </row>
    <row r="246" spans="4:6" ht="12.75" customHeight="1" x14ac:dyDescent="0.25">
      <c r="D246" s="3"/>
      <c r="E246" s="3"/>
      <c r="F246" s="3"/>
    </row>
    <row r="247" spans="4:6" ht="12.75" customHeight="1" x14ac:dyDescent="0.25">
      <c r="D247" s="3"/>
      <c r="E247" s="3"/>
      <c r="F247" s="3"/>
    </row>
    <row r="248" spans="4:6" ht="12.75" customHeight="1" x14ac:dyDescent="0.25">
      <c r="D248" s="3"/>
      <c r="E248" s="3"/>
      <c r="F248" s="3"/>
    </row>
    <row r="249" spans="4:6" ht="12.75" customHeight="1" x14ac:dyDescent="0.25">
      <c r="D249" s="3"/>
      <c r="E249" s="3"/>
      <c r="F249" s="3"/>
    </row>
    <row r="250" spans="4:6" ht="12.75" customHeight="1" x14ac:dyDescent="0.25">
      <c r="D250" s="3"/>
      <c r="E250" s="3"/>
      <c r="F250" s="3"/>
    </row>
    <row r="251" spans="4:6" ht="12.75" customHeight="1" x14ac:dyDescent="0.25">
      <c r="D251" s="3"/>
      <c r="E251" s="3"/>
      <c r="F251" s="3"/>
    </row>
    <row r="252" spans="4:6" ht="12.75" customHeight="1" x14ac:dyDescent="0.25">
      <c r="D252" s="3"/>
      <c r="E252" s="3"/>
      <c r="F252" s="3"/>
    </row>
    <row r="253" spans="4:6" ht="12.75" customHeight="1" x14ac:dyDescent="0.25">
      <c r="D253" s="3"/>
      <c r="E253" s="3"/>
      <c r="F253" s="3"/>
    </row>
    <row r="254" spans="4:6" ht="12.75" customHeight="1" x14ac:dyDescent="0.25">
      <c r="D254" s="3"/>
      <c r="E254" s="3"/>
      <c r="F254" s="3"/>
    </row>
    <row r="255" spans="4:6" ht="12.75" customHeight="1" x14ac:dyDescent="0.25">
      <c r="D255" s="3"/>
      <c r="E255" s="3"/>
      <c r="F255" s="3"/>
    </row>
    <row r="256" spans="4:6" ht="12.75" customHeight="1" x14ac:dyDescent="0.25">
      <c r="D256" s="3"/>
      <c r="E256" s="3"/>
      <c r="F256" s="3"/>
    </row>
    <row r="257" spans="4:6" ht="12.75" customHeight="1" x14ac:dyDescent="0.25">
      <c r="D257" s="3"/>
      <c r="E257" s="3"/>
      <c r="F257" s="3"/>
    </row>
    <row r="258" spans="4:6" ht="12.75" customHeight="1" x14ac:dyDescent="0.25">
      <c r="D258" s="3"/>
      <c r="E258" s="3"/>
      <c r="F258" s="3"/>
    </row>
    <row r="259" spans="4:6" ht="12.75" customHeight="1" x14ac:dyDescent="0.25">
      <c r="D259" s="3"/>
      <c r="E259" s="3"/>
      <c r="F259" s="3"/>
    </row>
    <row r="260" spans="4:6" ht="12.75" customHeight="1" x14ac:dyDescent="0.25">
      <c r="D260" s="3"/>
      <c r="E260" s="3"/>
      <c r="F260" s="3"/>
    </row>
    <row r="261" spans="4:6" ht="12.75" customHeight="1" x14ac:dyDescent="0.25">
      <c r="D261" s="3"/>
      <c r="E261" s="3"/>
      <c r="F261" s="3"/>
    </row>
    <row r="262" spans="4:6" ht="12.75" customHeight="1" x14ac:dyDescent="0.25">
      <c r="D262" s="3"/>
      <c r="E262" s="3"/>
      <c r="F262" s="3"/>
    </row>
    <row r="263" spans="4:6" ht="12.75" customHeight="1" x14ac:dyDescent="0.25">
      <c r="D263" s="3"/>
      <c r="E263" s="3"/>
      <c r="F263" s="3"/>
    </row>
    <row r="264" spans="4:6" ht="12.75" customHeight="1" x14ac:dyDescent="0.25">
      <c r="D264" s="3"/>
      <c r="E264" s="3"/>
      <c r="F264" s="3"/>
    </row>
    <row r="265" spans="4:6" ht="12.75" customHeight="1" x14ac:dyDescent="0.25">
      <c r="D265" s="3"/>
      <c r="E265" s="3"/>
      <c r="F265" s="3"/>
    </row>
    <row r="266" spans="4:6" ht="12.75" customHeight="1" x14ac:dyDescent="0.25">
      <c r="D266" s="3"/>
      <c r="E266" s="3"/>
      <c r="F266" s="3"/>
    </row>
    <row r="267" spans="4:6" ht="12.75" customHeight="1" x14ac:dyDescent="0.25">
      <c r="D267" s="3"/>
      <c r="E267" s="3"/>
      <c r="F267" s="3"/>
    </row>
    <row r="268" spans="4:6" ht="12.75" customHeight="1" x14ac:dyDescent="0.25">
      <c r="D268" s="3"/>
      <c r="E268" s="3"/>
      <c r="F268" s="3"/>
    </row>
    <row r="269" spans="4:6" ht="12.75" customHeight="1" x14ac:dyDescent="0.25">
      <c r="D269" s="3"/>
      <c r="E269" s="3"/>
      <c r="F269" s="3"/>
    </row>
    <row r="270" spans="4:6" ht="12.75" customHeight="1" x14ac:dyDescent="0.25">
      <c r="D270" s="3"/>
      <c r="E270" s="3"/>
      <c r="F270" s="3"/>
    </row>
    <row r="271" spans="4:6" ht="12.75" customHeight="1" x14ac:dyDescent="0.25">
      <c r="D271" s="3"/>
      <c r="E271" s="3"/>
      <c r="F271" s="3"/>
    </row>
    <row r="272" spans="4:6" ht="12.75" customHeight="1" x14ac:dyDescent="0.25">
      <c r="D272" s="3"/>
      <c r="E272" s="3"/>
      <c r="F272" s="3"/>
    </row>
    <row r="273" spans="4:6" ht="12.75" customHeight="1" x14ac:dyDescent="0.25">
      <c r="D273" s="3"/>
      <c r="E273" s="3"/>
      <c r="F273" s="3"/>
    </row>
    <row r="274" spans="4:6" ht="12.75" customHeight="1" x14ac:dyDescent="0.25">
      <c r="D274" s="3"/>
      <c r="E274" s="3"/>
      <c r="F274" s="3"/>
    </row>
    <row r="275" spans="4:6" ht="12.75" customHeight="1" x14ac:dyDescent="0.25">
      <c r="D275" s="3"/>
      <c r="E275" s="3"/>
      <c r="F275" s="3"/>
    </row>
    <row r="276" spans="4:6" ht="12.75" customHeight="1" x14ac:dyDescent="0.25">
      <c r="D276" s="3"/>
      <c r="E276" s="3"/>
      <c r="F276" s="3"/>
    </row>
    <row r="277" spans="4:6" ht="12.75" customHeight="1" x14ac:dyDescent="0.25">
      <c r="D277" s="3"/>
      <c r="E277" s="3"/>
      <c r="F277" s="3"/>
    </row>
    <row r="278" spans="4:6" ht="12.75" customHeight="1" x14ac:dyDescent="0.25">
      <c r="D278" s="3"/>
      <c r="E278" s="3"/>
      <c r="F278" s="3"/>
    </row>
    <row r="279" spans="4:6" ht="12.75" customHeight="1" x14ac:dyDescent="0.25">
      <c r="D279" s="3"/>
      <c r="E279" s="3"/>
      <c r="F279" s="3"/>
    </row>
    <row r="280" spans="4:6" ht="12.75" customHeight="1" x14ac:dyDescent="0.25">
      <c r="D280" s="3"/>
      <c r="E280" s="3"/>
      <c r="F280" s="3"/>
    </row>
    <row r="281" spans="4:6" ht="12.75" customHeight="1" x14ac:dyDescent="0.25">
      <c r="D281" s="3"/>
      <c r="E281" s="3"/>
      <c r="F281" s="3"/>
    </row>
    <row r="282" spans="4:6" ht="12.75" customHeight="1" x14ac:dyDescent="0.25">
      <c r="D282" s="3"/>
      <c r="E282" s="3"/>
      <c r="F282" s="3"/>
    </row>
    <row r="283" spans="4:6" ht="12.75" customHeight="1" x14ac:dyDescent="0.25">
      <c r="D283" s="3"/>
      <c r="E283" s="3"/>
      <c r="F283" s="3"/>
    </row>
    <row r="284" spans="4:6" ht="12.75" customHeight="1" x14ac:dyDescent="0.25">
      <c r="D284" s="3"/>
      <c r="E284" s="3"/>
      <c r="F284" s="3"/>
    </row>
    <row r="285" spans="4:6" ht="12.75" customHeight="1" x14ac:dyDescent="0.25">
      <c r="D285" s="3"/>
      <c r="E285" s="3"/>
      <c r="F285" s="3"/>
    </row>
    <row r="286" spans="4:6" ht="12.75" customHeight="1" x14ac:dyDescent="0.25">
      <c r="D286" s="3"/>
      <c r="E286" s="3"/>
      <c r="F286" s="3"/>
    </row>
    <row r="287" spans="4:6" ht="12.75" customHeight="1" x14ac:dyDescent="0.25">
      <c r="D287" s="3"/>
      <c r="E287" s="3"/>
      <c r="F287" s="3"/>
    </row>
    <row r="288" spans="4:6" ht="12.75" customHeight="1" x14ac:dyDescent="0.25">
      <c r="D288" s="3"/>
      <c r="E288" s="3"/>
      <c r="F288" s="3"/>
    </row>
    <row r="289" spans="4:6" ht="12.75" customHeight="1" x14ac:dyDescent="0.25">
      <c r="D289" s="3"/>
      <c r="E289" s="3"/>
      <c r="F289" s="3"/>
    </row>
    <row r="290" spans="4:6" ht="12.75" customHeight="1" x14ac:dyDescent="0.25">
      <c r="D290" s="3"/>
      <c r="E290" s="3"/>
      <c r="F290" s="3"/>
    </row>
    <row r="291" spans="4:6" ht="12.75" customHeight="1" x14ac:dyDescent="0.25">
      <c r="D291" s="3"/>
      <c r="E291" s="3"/>
      <c r="F291" s="3"/>
    </row>
    <row r="292" spans="4:6" ht="12.75" customHeight="1" x14ac:dyDescent="0.25">
      <c r="D292" s="3"/>
      <c r="E292" s="3"/>
      <c r="F292" s="3"/>
    </row>
    <row r="293" spans="4:6" ht="12.75" customHeight="1" x14ac:dyDescent="0.25">
      <c r="D293" s="3"/>
      <c r="E293" s="3"/>
      <c r="F293" s="3"/>
    </row>
    <row r="294" spans="4:6" ht="12.75" customHeight="1" x14ac:dyDescent="0.25">
      <c r="D294" s="3"/>
      <c r="E294" s="3"/>
      <c r="F294" s="3"/>
    </row>
    <row r="295" spans="4:6" ht="12.75" customHeight="1" x14ac:dyDescent="0.25">
      <c r="D295" s="3"/>
      <c r="E295" s="3"/>
      <c r="F295" s="3"/>
    </row>
    <row r="296" spans="4:6" ht="12.75" customHeight="1" x14ac:dyDescent="0.25">
      <c r="D296" s="3"/>
      <c r="E296" s="3"/>
      <c r="F296" s="3"/>
    </row>
    <row r="297" spans="4:6" ht="12.75" customHeight="1" x14ac:dyDescent="0.25">
      <c r="D297" s="3"/>
      <c r="E297" s="3"/>
      <c r="F297" s="3"/>
    </row>
    <row r="298" spans="4:6" ht="12.75" customHeight="1" x14ac:dyDescent="0.25">
      <c r="D298" s="3"/>
      <c r="E298" s="3"/>
      <c r="F298" s="3"/>
    </row>
    <row r="299" spans="4:6" ht="12.75" customHeight="1" x14ac:dyDescent="0.25">
      <c r="D299" s="3"/>
      <c r="E299" s="3"/>
      <c r="F299" s="3"/>
    </row>
    <row r="300" spans="4:6" ht="12.75" customHeight="1" x14ac:dyDescent="0.25">
      <c r="D300" s="3"/>
      <c r="E300" s="3"/>
      <c r="F300" s="3"/>
    </row>
    <row r="301" spans="4:6" ht="12.75" customHeight="1" x14ac:dyDescent="0.25">
      <c r="D301" s="3"/>
      <c r="E301" s="3"/>
      <c r="F301" s="3"/>
    </row>
    <row r="302" spans="4:6" ht="12.75" customHeight="1" x14ac:dyDescent="0.25">
      <c r="D302" s="3"/>
      <c r="E302" s="3"/>
      <c r="F302" s="3"/>
    </row>
    <row r="303" spans="4:6" ht="12.75" customHeight="1" x14ac:dyDescent="0.25">
      <c r="D303" s="3"/>
      <c r="E303" s="3"/>
      <c r="F303" s="3"/>
    </row>
    <row r="304" spans="4:6" ht="12.75" customHeight="1" x14ac:dyDescent="0.25">
      <c r="D304" s="3"/>
      <c r="E304" s="3"/>
      <c r="F304" s="3"/>
    </row>
    <row r="305" spans="4:6" ht="12.75" customHeight="1" x14ac:dyDescent="0.25">
      <c r="D305" s="3"/>
      <c r="E305" s="3"/>
      <c r="F305" s="3"/>
    </row>
    <row r="306" spans="4:6" ht="12.75" customHeight="1" x14ac:dyDescent="0.25">
      <c r="D306" s="3"/>
      <c r="E306" s="3"/>
      <c r="F306" s="3"/>
    </row>
    <row r="307" spans="4:6" ht="12.75" customHeight="1" x14ac:dyDescent="0.25">
      <c r="D307" s="3"/>
      <c r="E307" s="3"/>
      <c r="F307" s="3"/>
    </row>
    <row r="308" spans="4:6" ht="12.75" customHeight="1" x14ac:dyDescent="0.25">
      <c r="D308" s="3"/>
      <c r="E308" s="3"/>
      <c r="F308" s="3"/>
    </row>
    <row r="309" spans="4:6" ht="12.75" customHeight="1" x14ac:dyDescent="0.25">
      <c r="D309" s="3"/>
      <c r="E309" s="3"/>
      <c r="F309" s="3"/>
    </row>
    <row r="310" spans="4:6" ht="12.75" customHeight="1" x14ac:dyDescent="0.25">
      <c r="D310" s="3"/>
      <c r="E310" s="3"/>
      <c r="F310" s="3"/>
    </row>
    <row r="311" spans="4:6" ht="12.75" customHeight="1" x14ac:dyDescent="0.25">
      <c r="D311" s="3"/>
      <c r="E311" s="3"/>
      <c r="F311" s="3"/>
    </row>
    <row r="312" spans="4:6" ht="12.75" customHeight="1" x14ac:dyDescent="0.25">
      <c r="D312" s="3"/>
      <c r="E312" s="3"/>
      <c r="F312" s="3"/>
    </row>
    <row r="313" spans="4:6" ht="12.75" customHeight="1" x14ac:dyDescent="0.25">
      <c r="D313" s="3"/>
      <c r="E313" s="3"/>
      <c r="F313" s="3"/>
    </row>
    <row r="314" spans="4:6" ht="12.75" customHeight="1" x14ac:dyDescent="0.25">
      <c r="D314" s="3"/>
      <c r="E314" s="3"/>
      <c r="F314" s="3"/>
    </row>
    <row r="315" spans="4:6" ht="12.75" customHeight="1" x14ac:dyDescent="0.25">
      <c r="D315" s="3"/>
      <c r="E315" s="3"/>
      <c r="F315" s="3"/>
    </row>
    <row r="316" spans="4:6" ht="12.75" customHeight="1" x14ac:dyDescent="0.25">
      <c r="D316" s="3"/>
      <c r="E316" s="3"/>
      <c r="F316" s="3"/>
    </row>
    <row r="317" spans="4:6" ht="12.75" customHeight="1" x14ac:dyDescent="0.25">
      <c r="D317" s="3"/>
      <c r="E317" s="3"/>
      <c r="F317" s="3"/>
    </row>
    <row r="318" spans="4:6" ht="12.75" customHeight="1" x14ac:dyDescent="0.25">
      <c r="D318" s="3"/>
      <c r="E318" s="3"/>
      <c r="F318" s="3"/>
    </row>
    <row r="319" spans="4:6" ht="12.75" customHeight="1" x14ac:dyDescent="0.25">
      <c r="D319" s="3"/>
      <c r="E319" s="3"/>
      <c r="F319" s="3"/>
    </row>
    <row r="320" spans="4:6" ht="12.75" customHeight="1" x14ac:dyDescent="0.25">
      <c r="D320" s="3"/>
      <c r="E320" s="3"/>
      <c r="F320" s="3"/>
    </row>
    <row r="321" spans="4:6" ht="12.75" customHeight="1" x14ac:dyDescent="0.25">
      <c r="D321" s="3"/>
      <c r="E321" s="3"/>
      <c r="F321" s="3"/>
    </row>
    <row r="322" spans="4:6" ht="12.75" customHeight="1" x14ac:dyDescent="0.25">
      <c r="D322" s="3"/>
      <c r="E322" s="3"/>
      <c r="F322" s="3"/>
    </row>
    <row r="323" spans="4:6" ht="12.75" customHeight="1" x14ac:dyDescent="0.25">
      <c r="D323" s="3"/>
      <c r="E323" s="3"/>
      <c r="F323" s="3"/>
    </row>
    <row r="324" spans="4:6" ht="12.75" customHeight="1" x14ac:dyDescent="0.25">
      <c r="D324" s="3"/>
      <c r="E324" s="3"/>
      <c r="F324" s="3"/>
    </row>
    <row r="325" spans="4:6" ht="12.75" customHeight="1" x14ac:dyDescent="0.25">
      <c r="D325" s="3"/>
      <c r="E325" s="3"/>
      <c r="F325" s="3"/>
    </row>
    <row r="326" spans="4:6" ht="12.75" customHeight="1" x14ac:dyDescent="0.25">
      <c r="D326" s="3"/>
      <c r="E326" s="3"/>
      <c r="F326" s="3"/>
    </row>
    <row r="327" spans="4:6" ht="12.75" customHeight="1" x14ac:dyDescent="0.25">
      <c r="D327" s="3"/>
      <c r="E327" s="3"/>
      <c r="F327" s="3"/>
    </row>
    <row r="328" spans="4:6" ht="12.75" customHeight="1" x14ac:dyDescent="0.25">
      <c r="D328" s="3"/>
      <c r="E328" s="3"/>
      <c r="F328" s="3"/>
    </row>
    <row r="329" spans="4:6" ht="12.75" customHeight="1" x14ac:dyDescent="0.25">
      <c r="D329" s="3"/>
      <c r="E329" s="3"/>
      <c r="F329" s="3"/>
    </row>
    <row r="330" spans="4:6" ht="12.75" customHeight="1" x14ac:dyDescent="0.25">
      <c r="D330" s="3"/>
      <c r="E330" s="3"/>
      <c r="F330" s="3"/>
    </row>
    <row r="331" spans="4:6" ht="12.75" customHeight="1" x14ac:dyDescent="0.25">
      <c r="D331" s="3"/>
      <c r="E331" s="3"/>
      <c r="F331" s="3"/>
    </row>
    <row r="332" spans="4:6" ht="12.75" customHeight="1" x14ac:dyDescent="0.25">
      <c r="D332" s="3"/>
      <c r="E332" s="3"/>
      <c r="F332" s="3"/>
    </row>
    <row r="333" spans="4:6" ht="12.75" customHeight="1" x14ac:dyDescent="0.25">
      <c r="D333" s="3"/>
      <c r="E333" s="3"/>
      <c r="F333" s="3"/>
    </row>
    <row r="334" spans="4:6" ht="12.75" customHeight="1" x14ac:dyDescent="0.25">
      <c r="D334" s="3"/>
      <c r="E334" s="3"/>
      <c r="F334" s="3"/>
    </row>
    <row r="335" spans="4:6" ht="12.75" customHeight="1" x14ac:dyDescent="0.25">
      <c r="D335" s="3"/>
      <c r="E335" s="3"/>
      <c r="F335" s="3"/>
    </row>
    <row r="336" spans="4:6" ht="12.75" customHeight="1" x14ac:dyDescent="0.25">
      <c r="D336" s="3"/>
      <c r="E336" s="3"/>
      <c r="F336" s="3"/>
    </row>
    <row r="337" spans="4:6" ht="12.75" customHeight="1" x14ac:dyDescent="0.25">
      <c r="D337" s="3"/>
      <c r="E337" s="3"/>
      <c r="F337" s="3"/>
    </row>
    <row r="338" spans="4:6" ht="12.75" customHeight="1" x14ac:dyDescent="0.25">
      <c r="D338" s="3"/>
      <c r="E338" s="3"/>
      <c r="F338" s="3"/>
    </row>
    <row r="339" spans="4:6" ht="12.75" customHeight="1" x14ac:dyDescent="0.25">
      <c r="D339" s="3"/>
      <c r="E339" s="3"/>
      <c r="F339" s="3"/>
    </row>
    <row r="340" spans="4:6" ht="12.75" customHeight="1" x14ac:dyDescent="0.25">
      <c r="D340" s="3"/>
      <c r="E340" s="3"/>
      <c r="F340" s="3"/>
    </row>
    <row r="341" spans="4:6" ht="12.75" customHeight="1" x14ac:dyDescent="0.25">
      <c r="D341" s="3"/>
      <c r="E341" s="3"/>
      <c r="F341" s="3"/>
    </row>
    <row r="342" spans="4:6" ht="12.75" customHeight="1" x14ac:dyDescent="0.25">
      <c r="D342" s="3"/>
      <c r="E342" s="3"/>
      <c r="F342" s="3"/>
    </row>
    <row r="343" spans="4:6" ht="12.75" customHeight="1" x14ac:dyDescent="0.25">
      <c r="D343" s="3"/>
      <c r="E343" s="3"/>
      <c r="F343" s="3"/>
    </row>
    <row r="344" spans="4:6" ht="12.75" customHeight="1" x14ac:dyDescent="0.25">
      <c r="D344" s="3"/>
      <c r="E344" s="3"/>
      <c r="F344" s="3"/>
    </row>
    <row r="345" spans="4:6" ht="12.75" customHeight="1" x14ac:dyDescent="0.25">
      <c r="D345" s="3"/>
      <c r="E345" s="3"/>
      <c r="F345" s="3"/>
    </row>
    <row r="346" spans="4:6" ht="12.75" customHeight="1" x14ac:dyDescent="0.25">
      <c r="D346" s="3"/>
      <c r="E346" s="3"/>
      <c r="F346" s="3"/>
    </row>
    <row r="347" spans="4:6" ht="12.75" customHeight="1" x14ac:dyDescent="0.25">
      <c r="D347" s="3"/>
      <c r="E347" s="3"/>
      <c r="F347" s="3"/>
    </row>
    <row r="348" spans="4:6" ht="12.75" customHeight="1" x14ac:dyDescent="0.25">
      <c r="D348" s="3"/>
      <c r="E348" s="3"/>
      <c r="F348" s="3"/>
    </row>
    <row r="349" spans="4:6" ht="12.75" customHeight="1" x14ac:dyDescent="0.25">
      <c r="D349" s="3"/>
      <c r="E349" s="3"/>
      <c r="F349" s="3"/>
    </row>
    <row r="350" spans="4:6" ht="12.75" customHeight="1" x14ac:dyDescent="0.25">
      <c r="D350" s="3"/>
      <c r="E350" s="3"/>
      <c r="F350" s="3"/>
    </row>
    <row r="351" spans="4:6" ht="12.75" customHeight="1" x14ac:dyDescent="0.25">
      <c r="D351" s="3"/>
      <c r="E351" s="3"/>
      <c r="F351" s="3"/>
    </row>
    <row r="352" spans="4:6" ht="12.75" customHeight="1" x14ac:dyDescent="0.25">
      <c r="D352" s="3"/>
      <c r="E352" s="3"/>
      <c r="F352" s="3"/>
    </row>
    <row r="353" spans="4:6" ht="12.75" customHeight="1" x14ac:dyDescent="0.25">
      <c r="D353" s="3"/>
      <c r="E353" s="3"/>
      <c r="F353" s="3"/>
    </row>
    <row r="354" spans="4:6" ht="12.75" customHeight="1" x14ac:dyDescent="0.25">
      <c r="D354" s="3"/>
      <c r="E354" s="3"/>
      <c r="F354" s="3"/>
    </row>
    <row r="355" spans="4:6" ht="12.75" customHeight="1" x14ac:dyDescent="0.25">
      <c r="D355" s="3"/>
      <c r="E355" s="3"/>
      <c r="F355" s="3"/>
    </row>
    <row r="356" spans="4:6" ht="12.75" customHeight="1" x14ac:dyDescent="0.25">
      <c r="D356" s="3"/>
      <c r="E356" s="3"/>
      <c r="F356" s="3"/>
    </row>
    <row r="357" spans="4:6" ht="12.75" customHeight="1" x14ac:dyDescent="0.25">
      <c r="D357" s="3"/>
      <c r="E357" s="3"/>
      <c r="F357" s="3"/>
    </row>
    <row r="358" spans="4:6" ht="12.75" customHeight="1" x14ac:dyDescent="0.25">
      <c r="D358" s="3"/>
      <c r="E358" s="3"/>
      <c r="F358" s="3"/>
    </row>
    <row r="359" spans="4:6" ht="12.75" customHeight="1" x14ac:dyDescent="0.25">
      <c r="D359" s="3"/>
      <c r="E359" s="3"/>
      <c r="F359" s="3"/>
    </row>
    <row r="360" spans="4:6" ht="12.75" customHeight="1" x14ac:dyDescent="0.25">
      <c r="D360" s="3"/>
      <c r="E360" s="3"/>
      <c r="F360" s="3"/>
    </row>
    <row r="361" spans="4:6" ht="12.75" customHeight="1" x14ac:dyDescent="0.25">
      <c r="D361" s="3"/>
      <c r="E361" s="3"/>
      <c r="F361" s="3"/>
    </row>
    <row r="362" spans="4:6" ht="12.75" customHeight="1" x14ac:dyDescent="0.25">
      <c r="D362" s="3"/>
      <c r="E362" s="3"/>
      <c r="F362" s="3"/>
    </row>
    <row r="363" spans="4:6" ht="12.75" customHeight="1" x14ac:dyDescent="0.25">
      <c r="D363" s="3"/>
      <c r="E363" s="3"/>
      <c r="F363" s="3"/>
    </row>
    <row r="364" spans="4:6" ht="12.75" customHeight="1" x14ac:dyDescent="0.25">
      <c r="D364" s="3"/>
      <c r="E364" s="3"/>
      <c r="F364" s="3"/>
    </row>
    <row r="365" spans="4:6" ht="12.75" customHeight="1" x14ac:dyDescent="0.25">
      <c r="D365" s="3"/>
      <c r="E365" s="3"/>
      <c r="F365" s="3"/>
    </row>
    <row r="366" spans="4:6" ht="12.75" customHeight="1" x14ac:dyDescent="0.25">
      <c r="D366" s="3"/>
      <c r="E366" s="3"/>
      <c r="F366" s="3"/>
    </row>
    <row r="367" spans="4:6" ht="12.75" customHeight="1" x14ac:dyDescent="0.25">
      <c r="D367" s="3"/>
      <c r="E367" s="3"/>
      <c r="F367" s="3"/>
    </row>
    <row r="368" spans="4:6" ht="12.75" customHeight="1" x14ac:dyDescent="0.25">
      <c r="D368" s="3"/>
      <c r="E368" s="3"/>
      <c r="F368" s="3"/>
    </row>
    <row r="369" spans="4:6" ht="12.75" customHeight="1" x14ac:dyDescent="0.25">
      <c r="D369" s="3"/>
      <c r="E369" s="3"/>
      <c r="F369" s="3"/>
    </row>
    <row r="370" spans="4:6" ht="12.75" customHeight="1" x14ac:dyDescent="0.25">
      <c r="D370" s="3"/>
      <c r="E370" s="3"/>
      <c r="F370" s="3"/>
    </row>
    <row r="371" spans="4:6" ht="12.75" customHeight="1" x14ac:dyDescent="0.25">
      <c r="D371" s="3"/>
      <c r="E371" s="3"/>
      <c r="F371" s="3"/>
    </row>
    <row r="372" spans="4:6" ht="12.75" customHeight="1" x14ac:dyDescent="0.25">
      <c r="D372" s="3"/>
      <c r="E372" s="3"/>
      <c r="F372" s="3"/>
    </row>
    <row r="373" spans="4:6" ht="12.75" customHeight="1" x14ac:dyDescent="0.25">
      <c r="D373" s="3"/>
      <c r="E373" s="3"/>
      <c r="F373" s="3"/>
    </row>
    <row r="374" spans="4:6" ht="12.75" customHeight="1" x14ac:dyDescent="0.25">
      <c r="D374" s="3"/>
      <c r="E374" s="3"/>
      <c r="F374" s="3"/>
    </row>
    <row r="375" spans="4:6" ht="12.75" customHeight="1" x14ac:dyDescent="0.25">
      <c r="D375" s="3"/>
      <c r="E375" s="3"/>
      <c r="F375" s="3"/>
    </row>
    <row r="376" spans="4:6" ht="12.75" customHeight="1" x14ac:dyDescent="0.25">
      <c r="D376" s="3"/>
      <c r="E376" s="3"/>
      <c r="F376" s="3"/>
    </row>
    <row r="377" spans="4:6" ht="12.75" customHeight="1" x14ac:dyDescent="0.25">
      <c r="D377" s="3"/>
      <c r="E377" s="3"/>
      <c r="F377" s="3"/>
    </row>
    <row r="378" spans="4:6" ht="12.75" customHeight="1" x14ac:dyDescent="0.25">
      <c r="D378" s="3"/>
      <c r="E378" s="3"/>
      <c r="F378" s="3"/>
    </row>
    <row r="379" spans="4:6" ht="12.75" customHeight="1" x14ac:dyDescent="0.25">
      <c r="D379" s="3"/>
      <c r="E379" s="3"/>
      <c r="F379" s="3"/>
    </row>
    <row r="380" spans="4:6" ht="12.75" customHeight="1" x14ac:dyDescent="0.25">
      <c r="D380" s="3"/>
      <c r="E380" s="3"/>
      <c r="F380" s="3"/>
    </row>
    <row r="381" spans="4:6" ht="12.75" customHeight="1" x14ac:dyDescent="0.25">
      <c r="D381" s="3"/>
      <c r="E381" s="3"/>
      <c r="F381" s="3"/>
    </row>
    <row r="382" spans="4:6" ht="12.75" customHeight="1" x14ac:dyDescent="0.25">
      <c r="D382" s="3"/>
      <c r="E382" s="3"/>
      <c r="F382" s="3"/>
    </row>
    <row r="383" spans="4:6" ht="12.75" customHeight="1" x14ac:dyDescent="0.25">
      <c r="D383" s="3"/>
      <c r="E383" s="3"/>
      <c r="F383" s="3"/>
    </row>
    <row r="384" spans="4:6" ht="12.75" customHeight="1" x14ac:dyDescent="0.25">
      <c r="D384" s="3"/>
      <c r="E384" s="3"/>
      <c r="F384" s="3"/>
    </row>
    <row r="385" spans="4:6" ht="12.75" customHeight="1" x14ac:dyDescent="0.25">
      <c r="D385" s="3"/>
      <c r="E385" s="3"/>
      <c r="F385" s="3"/>
    </row>
    <row r="386" spans="4:6" ht="12.75" customHeight="1" x14ac:dyDescent="0.25">
      <c r="D386" s="3"/>
      <c r="E386" s="3"/>
      <c r="F386" s="3"/>
    </row>
    <row r="387" spans="4:6" ht="12.75" customHeight="1" x14ac:dyDescent="0.25">
      <c r="D387" s="3"/>
      <c r="E387" s="3"/>
      <c r="F387" s="3"/>
    </row>
    <row r="388" spans="4:6" ht="12.75" customHeight="1" x14ac:dyDescent="0.25">
      <c r="D388" s="3"/>
      <c r="E388" s="3"/>
      <c r="F388" s="3"/>
    </row>
    <row r="389" spans="4:6" ht="12.75" customHeight="1" x14ac:dyDescent="0.25">
      <c r="D389" s="3"/>
      <c r="E389" s="3"/>
      <c r="F389" s="3"/>
    </row>
    <row r="390" spans="4:6" ht="12.75" customHeight="1" x14ac:dyDescent="0.25">
      <c r="D390" s="3"/>
      <c r="E390" s="3"/>
      <c r="F390" s="3"/>
    </row>
    <row r="391" spans="4:6" ht="12.75" customHeight="1" x14ac:dyDescent="0.25">
      <c r="D391" s="3"/>
      <c r="E391" s="3"/>
      <c r="F391" s="3"/>
    </row>
    <row r="392" spans="4:6" ht="12.75" customHeight="1" x14ac:dyDescent="0.25">
      <c r="D392" s="3"/>
      <c r="E392" s="3"/>
      <c r="F392" s="3"/>
    </row>
    <row r="393" spans="4:6" ht="12.75" customHeight="1" x14ac:dyDescent="0.25">
      <c r="D393" s="3"/>
      <c r="E393" s="3"/>
      <c r="F393" s="3"/>
    </row>
    <row r="394" spans="4:6" ht="12.75" customHeight="1" x14ac:dyDescent="0.25">
      <c r="D394" s="3"/>
      <c r="E394" s="3"/>
      <c r="F394" s="3"/>
    </row>
    <row r="395" spans="4:6" ht="12.75" customHeight="1" x14ac:dyDescent="0.25">
      <c r="D395" s="3"/>
      <c r="E395" s="3"/>
      <c r="F395" s="3"/>
    </row>
    <row r="396" spans="4:6" ht="12.75" customHeight="1" x14ac:dyDescent="0.25">
      <c r="D396" s="3"/>
      <c r="E396" s="3"/>
      <c r="F396" s="3"/>
    </row>
    <row r="397" spans="4:6" ht="12.75" customHeight="1" x14ac:dyDescent="0.25">
      <c r="D397" s="3"/>
      <c r="E397" s="3"/>
      <c r="F397" s="3"/>
    </row>
    <row r="398" spans="4:6" ht="12.75" customHeight="1" x14ac:dyDescent="0.25">
      <c r="D398" s="3"/>
      <c r="E398" s="3"/>
      <c r="F398" s="3"/>
    </row>
    <row r="399" spans="4:6" ht="12.75" customHeight="1" x14ac:dyDescent="0.25">
      <c r="D399" s="3"/>
      <c r="E399" s="3"/>
      <c r="F399" s="3"/>
    </row>
    <row r="400" spans="4:6" ht="12.75" customHeight="1" x14ac:dyDescent="0.25">
      <c r="D400" s="3"/>
      <c r="E400" s="3"/>
      <c r="F400" s="3"/>
    </row>
    <row r="401" spans="4:6" ht="12.75" customHeight="1" x14ac:dyDescent="0.25">
      <c r="D401" s="3"/>
      <c r="E401" s="3"/>
      <c r="F401" s="3"/>
    </row>
    <row r="402" spans="4:6" ht="12.75" customHeight="1" x14ac:dyDescent="0.25">
      <c r="D402" s="3"/>
      <c r="E402" s="3"/>
      <c r="F402" s="3"/>
    </row>
    <row r="403" spans="4:6" ht="12.75" customHeight="1" x14ac:dyDescent="0.25">
      <c r="D403" s="3"/>
      <c r="E403" s="3"/>
      <c r="F403" s="3"/>
    </row>
    <row r="404" spans="4:6" ht="12.75" customHeight="1" x14ac:dyDescent="0.25">
      <c r="D404" s="3"/>
      <c r="E404" s="3"/>
      <c r="F404" s="3"/>
    </row>
    <row r="405" spans="4:6" ht="12.75" customHeight="1" x14ac:dyDescent="0.25">
      <c r="D405" s="3"/>
      <c r="E405" s="3"/>
      <c r="F405" s="3"/>
    </row>
    <row r="406" spans="4:6" ht="12.75" customHeight="1" x14ac:dyDescent="0.25">
      <c r="D406" s="3"/>
      <c r="E406" s="3"/>
      <c r="F406" s="3"/>
    </row>
    <row r="407" spans="4:6" ht="12.75" customHeight="1" x14ac:dyDescent="0.25">
      <c r="D407" s="3"/>
      <c r="E407" s="3"/>
      <c r="F407" s="3"/>
    </row>
    <row r="408" spans="4:6" ht="12.75" customHeight="1" x14ac:dyDescent="0.25">
      <c r="D408" s="3"/>
      <c r="E408" s="3"/>
      <c r="F408" s="3"/>
    </row>
    <row r="409" spans="4:6" ht="12.75" customHeight="1" x14ac:dyDescent="0.25">
      <c r="D409" s="3"/>
      <c r="E409" s="3"/>
      <c r="F409" s="3"/>
    </row>
    <row r="410" spans="4:6" ht="12.75" customHeight="1" x14ac:dyDescent="0.25">
      <c r="D410" s="3"/>
      <c r="E410" s="3"/>
      <c r="F410" s="3"/>
    </row>
    <row r="411" spans="4:6" ht="12.75" customHeight="1" x14ac:dyDescent="0.25">
      <c r="D411" s="3"/>
      <c r="E411" s="3"/>
      <c r="F411" s="3"/>
    </row>
    <row r="412" spans="4:6" ht="12.75" customHeight="1" x14ac:dyDescent="0.25">
      <c r="D412" s="3"/>
      <c r="E412" s="3"/>
      <c r="F412" s="3"/>
    </row>
    <row r="413" spans="4:6" ht="12.75" customHeight="1" x14ac:dyDescent="0.25">
      <c r="D413" s="3"/>
      <c r="E413" s="3"/>
      <c r="F413" s="3"/>
    </row>
    <row r="414" spans="4:6" ht="12.75" customHeight="1" x14ac:dyDescent="0.25">
      <c r="D414" s="3"/>
      <c r="E414" s="3"/>
      <c r="F414" s="3"/>
    </row>
    <row r="415" spans="4:6" ht="12.75" customHeight="1" x14ac:dyDescent="0.25">
      <c r="D415" s="3"/>
      <c r="E415" s="3"/>
      <c r="F415" s="3"/>
    </row>
    <row r="416" spans="4:6" ht="12.75" customHeight="1" x14ac:dyDescent="0.25">
      <c r="D416" s="3"/>
      <c r="E416" s="3"/>
      <c r="F416" s="3"/>
    </row>
    <row r="417" spans="4:6" ht="12.75" customHeight="1" x14ac:dyDescent="0.25">
      <c r="D417" s="3"/>
      <c r="E417" s="3"/>
      <c r="F417" s="3"/>
    </row>
    <row r="418" spans="4:6" ht="12.75" customHeight="1" x14ac:dyDescent="0.25">
      <c r="D418" s="3"/>
      <c r="E418" s="3"/>
      <c r="F418" s="3"/>
    </row>
    <row r="419" spans="4:6" ht="12.75" customHeight="1" x14ac:dyDescent="0.25">
      <c r="D419" s="3"/>
      <c r="E419" s="3"/>
      <c r="F419" s="3"/>
    </row>
    <row r="420" spans="4:6" ht="12.75" customHeight="1" x14ac:dyDescent="0.25">
      <c r="D420" s="3"/>
      <c r="E420" s="3"/>
      <c r="F420" s="3"/>
    </row>
    <row r="421" spans="4:6" ht="12.75" customHeight="1" x14ac:dyDescent="0.25">
      <c r="D421" s="3"/>
      <c r="E421" s="3"/>
      <c r="F421" s="3"/>
    </row>
    <row r="422" spans="4:6" ht="12.75" customHeight="1" x14ac:dyDescent="0.25">
      <c r="D422" s="3"/>
      <c r="E422" s="3"/>
      <c r="F422" s="3"/>
    </row>
    <row r="423" spans="4:6" ht="12.75" customHeight="1" x14ac:dyDescent="0.25">
      <c r="D423" s="3"/>
      <c r="E423" s="3"/>
      <c r="F423" s="3"/>
    </row>
    <row r="424" spans="4:6" ht="12.75" customHeight="1" x14ac:dyDescent="0.25">
      <c r="D424" s="3"/>
      <c r="E424" s="3"/>
      <c r="F424" s="3"/>
    </row>
    <row r="425" spans="4:6" ht="12.75" customHeight="1" x14ac:dyDescent="0.25">
      <c r="D425" s="3"/>
      <c r="E425" s="3"/>
      <c r="F425" s="3"/>
    </row>
    <row r="426" spans="4:6" ht="12.75" customHeight="1" x14ac:dyDescent="0.25">
      <c r="D426" s="3"/>
      <c r="E426" s="3"/>
      <c r="F426" s="3"/>
    </row>
    <row r="427" spans="4:6" ht="12.75" customHeight="1" x14ac:dyDescent="0.25">
      <c r="D427" s="3"/>
      <c r="E427" s="3"/>
      <c r="F427" s="3"/>
    </row>
    <row r="428" spans="4:6" ht="12.75" customHeight="1" x14ac:dyDescent="0.25">
      <c r="D428" s="3"/>
      <c r="E428" s="3"/>
      <c r="F428" s="3"/>
    </row>
    <row r="429" spans="4:6" ht="12.75" customHeight="1" x14ac:dyDescent="0.25">
      <c r="D429" s="3"/>
      <c r="E429" s="3"/>
      <c r="F429" s="3"/>
    </row>
    <row r="430" spans="4:6" ht="12.75" customHeight="1" x14ac:dyDescent="0.25">
      <c r="D430" s="3"/>
      <c r="E430" s="3"/>
      <c r="F430" s="3"/>
    </row>
    <row r="431" spans="4:6" ht="12.75" customHeight="1" x14ac:dyDescent="0.25">
      <c r="D431" s="3"/>
      <c r="E431" s="3"/>
      <c r="F431" s="3"/>
    </row>
    <row r="432" spans="4:6" ht="12.75" customHeight="1" x14ac:dyDescent="0.25">
      <c r="D432" s="3"/>
      <c r="E432" s="3"/>
      <c r="F432" s="3"/>
    </row>
    <row r="433" spans="4:6" ht="12.75" customHeight="1" x14ac:dyDescent="0.25">
      <c r="D433" s="3"/>
      <c r="E433" s="3"/>
      <c r="F433" s="3"/>
    </row>
    <row r="434" spans="4:6" ht="12.75" customHeight="1" x14ac:dyDescent="0.25">
      <c r="D434" s="3"/>
      <c r="E434" s="3"/>
      <c r="F434" s="3"/>
    </row>
    <row r="435" spans="4:6" ht="12.75" customHeight="1" x14ac:dyDescent="0.25">
      <c r="D435" s="3"/>
      <c r="E435" s="3"/>
      <c r="F435" s="3"/>
    </row>
    <row r="436" spans="4:6" ht="12.75" customHeight="1" x14ac:dyDescent="0.25">
      <c r="D436" s="3"/>
      <c r="E436" s="3"/>
      <c r="F436" s="3"/>
    </row>
    <row r="437" spans="4:6" ht="12.75" customHeight="1" x14ac:dyDescent="0.25">
      <c r="D437" s="3"/>
      <c r="E437" s="3"/>
      <c r="F437" s="3"/>
    </row>
    <row r="438" spans="4:6" ht="12.75" customHeight="1" x14ac:dyDescent="0.25">
      <c r="D438" s="3"/>
      <c r="E438" s="3"/>
      <c r="F438" s="3"/>
    </row>
    <row r="439" spans="4:6" ht="12.75" customHeight="1" x14ac:dyDescent="0.25">
      <c r="D439" s="3"/>
      <c r="E439" s="3"/>
      <c r="F439" s="3"/>
    </row>
    <row r="440" spans="4:6" ht="12.75" customHeight="1" x14ac:dyDescent="0.25">
      <c r="D440" s="3"/>
      <c r="E440" s="3"/>
      <c r="F440" s="3"/>
    </row>
    <row r="441" spans="4:6" ht="12.75" customHeight="1" x14ac:dyDescent="0.25">
      <c r="D441" s="3"/>
      <c r="E441" s="3"/>
      <c r="F441" s="3"/>
    </row>
    <row r="442" spans="4:6" ht="12.75" customHeight="1" x14ac:dyDescent="0.25">
      <c r="D442" s="3"/>
      <c r="E442" s="3"/>
      <c r="F442" s="3"/>
    </row>
    <row r="443" spans="4:6" ht="12.75" customHeight="1" x14ac:dyDescent="0.25">
      <c r="D443" s="3"/>
      <c r="E443" s="3"/>
      <c r="F443" s="3"/>
    </row>
    <row r="444" spans="4:6" ht="12.75" customHeight="1" x14ac:dyDescent="0.25">
      <c r="D444" s="3"/>
      <c r="E444" s="3"/>
      <c r="F444" s="3"/>
    </row>
    <row r="445" spans="4:6" ht="12.75" customHeight="1" x14ac:dyDescent="0.25">
      <c r="D445" s="3"/>
      <c r="E445" s="3"/>
      <c r="F445" s="3"/>
    </row>
    <row r="446" spans="4:6" ht="12.75" customHeight="1" x14ac:dyDescent="0.25">
      <c r="D446" s="3"/>
      <c r="E446" s="3"/>
      <c r="F446" s="3"/>
    </row>
    <row r="447" spans="4:6" ht="12.75" customHeight="1" x14ac:dyDescent="0.25">
      <c r="D447" s="3"/>
      <c r="E447" s="3"/>
      <c r="F447" s="3"/>
    </row>
    <row r="448" spans="4:6" ht="12.75" customHeight="1" x14ac:dyDescent="0.25">
      <c r="D448" s="3"/>
      <c r="E448" s="3"/>
      <c r="F448" s="3"/>
    </row>
    <row r="449" spans="4:6" ht="12.75" customHeight="1" x14ac:dyDescent="0.25">
      <c r="D449" s="3"/>
      <c r="E449" s="3"/>
      <c r="F449" s="3"/>
    </row>
    <row r="450" spans="4:6" ht="12.75" customHeight="1" x14ac:dyDescent="0.25">
      <c r="D450" s="3"/>
      <c r="E450" s="3"/>
      <c r="F450" s="3"/>
    </row>
    <row r="451" spans="4:6" ht="12.75" customHeight="1" x14ac:dyDescent="0.25">
      <c r="D451" s="3"/>
      <c r="E451" s="3"/>
      <c r="F451" s="3"/>
    </row>
    <row r="452" spans="4:6" ht="12.75" customHeight="1" x14ac:dyDescent="0.25">
      <c r="D452" s="3"/>
      <c r="E452" s="3"/>
      <c r="F452" s="3"/>
    </row>
    <row r="453" spans="4:6" ht="12.75" customHeight="1" x14ac:dyDescent="0.25">
      <c r="D453" s="3"/>
      <c r="E453" s="3"/>
      <c r="F453" s="3"/>
    </row>
    <row r="454" spans="4:6" ht="12.75" customHeight="1" x14ac:dyDescent="0.25">
      <c r="D454" s="3"/>
      <c r="E454" s="3"/>
      <c r="F454" s="3"/>
    </row>
    <row r="455" spans="4:6" ht="12.75" customHeight="1" x14ac:dyDescent="0.25">
      <c r="D455" s="3"/>
      <c r="E455" s="3"/>
      <c r="F455" s="3"/>
    </row>
    <row r="456" spans="4:6" ht="12.75" customHeight="1" x14ac:dyDescent="0.25">
      <c r="D456" s="3"/>
      <c r="E456" s="3"/>
      <c r="F456" s="3"/>
    </row>
    <row r="457" spans="4:6" ht="12.75" customHeight="1" x14ac:dyDescent="0.25">
      <c r="D457" s="3"/>
      <c r="E457" s="3"/>
      <c r="F457" s="3"/>
    </row>
    <row r="458" spans="4:6" ht="12.75" customHeight="1" x14ac:dyDescent="0.25">
      <c r="D458" s="3"/>
      <c r="E458" s="3"/>
      <c r="F458" s="3"/>
    </row>
    <row r="459" spans="4:6" ht="12.75" customHeight="1" x14ac:dyDescent="0.25">
      <c r="D459" s="3"/>
      <c r="E459" s="3"/>
      <c r="F459" s="3"/>
    </row>
    <row r="460" spans="4:6" ht="12.75" customHeight="1" x14ac:dyDescent="0.25">
      <c r="D460" s="3"/>
      <c r="E460" s="3"/>
      <c r="F460" s="3"/>
    </row>
    <row r="461" spans="4:6" ht="12.75" customHeight="1" x14ac:dyDescent="0.25">
      <c r="D461" s="3"/>
      <c r="E461" s="3"/>
      <c r="F461" s="3"/>
    </row>
    <row r="462" spans="4:6" ht="12.75" customHeight="1" x14ac:dyDescent="0.25">
      <c r="D462" s="3"/>
      <c r="E462" s="3"/>
      <c r="F462" s="3"/>
    </row>
    <row r="463" spans="4:6" ht="12.75" customHeight="1" x14ac:dyDescent="0.25">
      <c r="D463" s="3"/>
      <c r="E463" s="3"/>
      <c r="F463" s="3"/>
    </row>
    <row r="464" spans="4:6" ht="12.75" customHeight="1" x14ac:dyDescent="0.25">
      <c r="D464" s="3"/>
      <c r="E464" s="3"/>
      <c r="F464" s="3"/>
    </row>
    <row r="465" spans="4:6" ht="12.75" customHeight="1" x14ac:dyDescent="0.25">
      <c r="D465" s="3"/>
      <c r="E465" s="3"/>
      <c r="F465" s="3"/>
    </row>
    <row r="466" spans="4:6" ht="12.75" customHeight="1" x14ac:dyDescent="0.25">
      <c r="D466" s="3"/>
      <c r="E466" s="3"/>
      <c r="F466" s="3"/>
    </row>
    <row r="467" spans="4:6" ht="12.75" customHeight="1" x14ac:dyDescent="0.25">
      <c r="D467" s="3"/>
      <c r="E467" s="3"/>
      <c r="F467" s="3"/>
    </row>
    <row r="468" spans="4:6" ht="12.75" customHeight="1" x14ac:dyDescent="0.25">
      <c r="D468" s="3"/>
      <c r="E468" s="3"/>
      <c r="F468" s="3"/>
    </row>
    <row r="469" spans="4:6" ht="12.75" customHeight="1" x14ac:dyDescent="0.25">
      <c r="D469" s="3"/>
      <c r="E469" s="3"/>
      <c r="F469" s="3"/>
    </row>
    <row r="470" spans="4:6" ht="12.75" customHeight="1" x14ac:dyDescent="0.25">
      <c r="D470" s="3"/>
      <c r="E470" s="3"/>
      <c r="F470" s="3"/>
    </row>
    <row r="471" spans="4:6" ht="12.75" customHeight="1" x14ac:dyDescent="0.25">
      <c r="D471" s="3"/>
      <c r="E471" s="3"/>
      <c r="F471" s="3"/>
    </row>
    <row r="472" spans="4:6" ht="12.75" customHeight="1" x14ac:dyDescent="0.25">
      <c r="D472" s="3"/>
      <c r="E472" s="3"/>
      <c r="F472" s="3"/>
    </row>
    <row r="473" spans="4:6" ht="12.75" customHeight="1" x14ac:dyDescent="0.25">
      <c r="D473" s="3"/>
      <c r="E473" s="3"/>
      <c r="F473" s="3"/>
    </row>
    <row r="474" spans="4:6" ht="12.75" customHeight="1" x14ac:dyDescent="0.25">
      <c r="D474" s="3"/>
      <c r="E474" s="3"/>
      <c r="F474" s="3"/>
    </row>
    <row r="475" spans="4:6" ht="12.75" customHeight="1" x14ac:dyDescent="0.25">
      <c r="D475" s="3"/>
      <c r="E475" s="3"/>
      <c r="F475" s="3"/>
    </row>
    <row r="476" spans="4:6" ht="12.75" customHeight="1" x14ac:dyDescent="0.25">
      <c r="D476" s="3"/>
      <c r="E476" s="3"/>
      <c r="F476" s="3"/>
    </row>
    <row r="477" spans="4:6" ht="12.75" customHeight="1" x14ac:dyDescent="0.25">
      <c r="D477" s="3"/>
      <c r="E477" s="3"/>
      <c r="F477" s="3"/>
    </row>
    <row r="478" spans="4:6" ht="12.75" customHeight="1" x14ac:dyDescent="0.25">
      <c r="D478" s="3"/>
      <c r="E478" s="3"/>
      <c r="F478" s="3"/>
    </row>
    <row r="479" spans="4:6" ht="12.75" customHeight="1" x14ac:dyDescent="0.25">
      <c r="D479" s="3"/>
      <c r="E479" s="3"/>
      <c r="F479" s="3"/>
    </row>
    <row r="480" spans="4:6" ht="12.75" customHeight="1" x14ac:dyDescent="0.25">
      <c r="D480" s="3"/>
      <c r="E480" s="3"/>
      <c r="F480" s="3"/>
    </row>
    <row r="481" spans="4:6" ht="12.75" customHeight="1" x14ac:dyDescent="0.25">
      <c r="D481" s="3"/>
      <c r="E481" s="3"/>
      <c r="F481" s="3"/>
    </row>
    <row r="482" spans="4:6" ht="12.75" customHeight="1" x14ac:dyDescent="0.25">
      <c r="D482" s="3"/>
      <c r="E482" s="3"/>
      <c r="F482" s="3"/>
    </row>
    <row r="483" spans="4:6" ht="12.75" customHeight="1" x14ac:dyDescent="0.25">
      <c r="D483" s="3"/>
      <c r="E483" s="3"/>
      <c r="F483" s="3"/>
    </row>
    <row r="484" spans="4:6" ht="12.75" customHeight="1" x14ac:dyDescent="0.25">
      <c r="D484" s="3"/>
      <c r="E484" s="3"/>
      <c r="F484" s="3"/>
    </row>
    <row r="485" spans="4:6" ht="12.75" customHeight="1" x14ac:dyDescent="0.25">
      <c r="D485" s="3"/>
      <c r="E485" s="3"/>
      <c r="F485" s="3"/>
    </row>
    <row r="486" spans="4:6" ht="12.75" customHeight="1" x14ac:dyDescent="0.25">
      <c r="D486" s="3"/>
      <c r="E486" s="3"/>
      <c r="F486" s="3"/>
    </row>
    <row r="487" spans="4:6" ht="12.75" customHeight="1" x14ac:dyDescent="0.25">
      <c r="D487" s="3"/>
      <c r="E487" s="3"/>
      <c r="F487" s="3"/>
    </row>
    <row r="488" spans="4:6" ht="12.75" customHeight="1" x14ac:dyDescent="0.25">
      <c r="D488" s="3"/>
      <c r="E488" s="3"/>
      <c r="F488" s="3"/>
    </row>
    <row r="489" spans="4:6" ht="12.75" customHeight="1" x14ac:dyDescent="0.25">
      <c r="D489" s="3"/>
      <c r="E489" s="3"/>
      <c r="F489" s="3"/>
    </row>
    <row r="490" spans="4:6" ht="12.75" customHeight="1" x14ac:dyDescent="0.25">
      <c r="D490" s="3"/>
      <c r="E490" s="3"/>
      <c r="F490" s="3"/>
    </row>
    <row r="491" spans="4:6" ht="12.75" customHeight="1" x14ac:dyDescent="0.25">
      <c r="D491" s="3"/>
      <c r="E491" s="3"/>
      <c r="F491" s="3"/>
    </row>
    <row r="492" spans="4:6" ht="12.75" customHeight="1" x14ac:dyDescent="0.25">
      <c r="D492" s="3"/>
      <c r="E492" s="3"/>
      <c r="F492" s="3"/>
    </row>
    <row r="493" spans="4:6" ht="12.75" customHeight="1" x14ac:dyDescent="0.25">
      <c r="D493" s="3"/>
      <c r="E493" s="3"/>
      <c r="F493" s="3"/>
    </row>
    <row r="494" spans="4:6" ht="12.75" customHeight="1" x14ac:dyDescent="0.25">
      <c r="D494" s="3"/>
      <c r="E494" s="3"/>
      <c r="F494" s="3"/>
    </row>
    <row r="495" spans="4:6" ht="12.75" customHeight="1" x14ac:dyDescent="0.25">
      <c r="D495" s="3"/>
      <c r="E495" s="3"/>
      <c r="F495" s="3"/>
    </row>
    <row r="496" spans="4:6" ht="12.75" customHeight="1" x14ac:dyDescent="0.25">
      <c r="D496" s="3"/>
      <c r="E496" s="3"/>
      <c r="F496" s="3"/>
    </row>
    <row r="497" spans="4:6" ht="12.75" customHeight="1" x14ac:dyDescent="0.25">
      <c r="D497" s="3"/>
      <c r="E497" s="3"/>
      <c r="F497" s="3"/>
    </row>
    <row r="498" spans="4:6" ht="12.75" customHeight="1" x14ac:dyDescent="0.25">
      <c r="D498" s="3"/>
      <c r="E498" s="3"/>
      <c r="F498" s="3"/>
    </row>
    <row r="499" spans="4:6" ht="12.75" customHeight="1" x14ac:dyDescent="0.25">
      <c r="D499" s="3"/>
      <c r="E499" s="3"/>
      <c r="F499" s="3"/>
    </row>
    <row r="500" spans="4:6" ht="12.75" customHeight="1" x14ac:dyDescent="0.25">
      <c r="D500" s="3"/>
      <c r="E500" s="3"/>
      <c r="F500" s="3"/>
    </row>
    <row r="501" spans="4:6" ht="12.75" customHeight="1" x14ac:dyDescent="0.25">
      <c r="D501" s="3"/>
      <c r="E501" s="3"/>
      <c r="F501" s="3"/>
    </row>
    <row r="502" spans="4:6" ht="12.75" customHeight="1" x14ac:dyDescent="0.25">
      <c r="D502" s="3"/>
      <c r="E502" s="3"/>
      <c r="F502" s="3"/>
    </row>
    <row r="503" spans="4:6" ht="12.75" customHeight="1" x14ac:dyDescent="0.25">
      <c r="D503" s="3"/>
      <c r="E503" s="3"/>
      <c r="F503" s="3"/>
    </row>
    <row r="504" spans="4:6" ht="12.75" customHeight="1" x14ac:dyDescent="0.25">
      <c r="D504" s="3"/>
      <c r="E504" s="3"/>
      <c r="F504" s="3"/>
    </row>
    <row r="505" spans="4:6" ht="12.75" customHeight="1" x14ac:dyDescent="0.25">
      <c r="D505" s="3"/>
      <c r="E505" s="3"/>
      <c r="F505" s="3"/>
    </row>
    <row r="506" spans="4:6" ht="12.75" customHeight="1" x14ac:dyDescent="0.25">
      <c r="D506" s="3"/>
      <c r="E506" s="3"/>
      <c r="F506" s="3"/>
    </row>
    <row r="507" spans="4:6" ht="12.75" customHeight="1" x14ac:dyDescent="0.25">
      <c r="D507" s="3"/>
      <c r="E507" s="3"/>
      <c r="F507" s="3"/>
    </row>
    <row r="508" spans="4:6" ht="12.75" customHeight="1" x14ac:dyDescent="0.25">
      <c r="D508" s="3"/>
      <c r="E508" s="3"/>
      <c r="F508" s="3"/>
    </row>
    <row r="509" spans="4:6" ht="12.75" customHeight="1" x14ac:dyDescent="0.25">
      <c r="D509" s="3"/>
      <c r="E509" s="3"/>
      <c r="F509" s="3"/>
    </row>
    <row r="510" spans="4:6" ht="12.75" customHeight="1" x14ac:dyDescent="0.25">
      <c r="D510" s="3"/>
      <c r="E510" s="3"/>
      <c r="F510" s="3"/>
    </row>
    <row r="511" spans="4:6" ht="12.75" customHeight="1" x14ac:dyDescent="0.25">
      <c r="D511" s="3"/>
      <c r="E511" s="3"/>
      <c r="F511" s="3"/>
    </row>
    <row r="512" spans="4:6" ht="12.75" customHeight="1" x14ac:dyDescent="0.25">
      <c r="D512" s="3"/>
      <c r="E512" s="3"/>
      <c r="F512" s="3"/>
    </row>
    <row r="513" spans="4:6" ht="12.75" customHeight="1" x14ac:dyDescent="0.25">
      <c r="D513" s="3"/>
      <c r="E513" s="3"/>
      <c r="F513" s="3"/>
    </row>
    <row r="514" spans="4:6" ht="12.75" customHeight="1" x14ac:dyDescent="0.25">
      <c r="D514" s="3"/>
      <c r="E514" s="3"/>
      <c r="F514" s="3"/>
    </row>
    <row r="515" spans="4:6" ht="12.75" customHeight="1" x14ac:dyDescent="0.25">
      <c r="D515" s="3"/>
      <c r="E515" s="3"/>
      <c r="F515" s="3"/>
    </row>
    <row r="516" spans="4:6" ht="12.75" customHeight="1" x14ac:dyDescent="0.25">
      <c r="D516" s="3"/>
      <c r="E516" s="3"/>
      <c r="F516" s="3"/>
    </row>
    <row r="517" spans="4:6" ht="12.75" customHeight="1" x14ac:dyDescent="0.25">
      <c r="D517" s="3"/>
      <c r="E517" s="3"/>
      <c r="F517" s="3"/>
    </row>
    <row r="518" spans="4:6" ht="12.75" customHeight="1" x14ac:dyDescent="0.25">
      <c r="D518" s="3"/>
      <c r="E518" s="3"/>
      <c r="F518" s="3"/>
    </row>
    <row r="519" spans="4:6" ht="12.75" customHeight="1" x14ac:dyDescent="0.25">
      <c r="D519" s="3"/>
      <c r="E519" s="3"/>
      <c r="F519" s="3"/>
    </row>
    <row r="520" spans="4:6" ht="12.75" customHeight="1" x14ac:dyDescent="0.25">
      <c r="D520" s="3"/>
      <c r="E520" s="3"/>
      <c r="F520" s="3"/>
    </row>
    <row r="521" spans="4:6" ht="12.75" customHeight="1" x14ac:dyDescent="0.25">
      <c r="D521" s="3"/>
      <c r="E521" s="3"/>
      <c r="F521" s="3"/>
    </row>
    <row r="522" spans="4:6" ht="12.75" customHeight="1" x14ac:dyDescent="0.25">
      <c r="D522" s="3"/>
      <c r="E522" s="3"/>
      <c r="F522" s="3"/>
    </row>
    <row r="523" spans="4:6" ht="12.75" customHeight="1" x14ac:dyDescent="0.25">
      <c r="D523" s="3"/>
      <c r="E523" s="3"/>
      <c r="F523" s="3"/>
    </row>
    <row r="524" spans="4:6" ht="12.75" customHeight="1" x14ac:dyDescent="0.25">
      <c r="D524" s="3"/>
      <c r="E524" s="3"/>
      <c r="F524" s="3"/>
    </row>
    <row r="525" spans="4:6" ht="12.75" customHeight="1" x14ac:dyDescent="0.25">
      <c r="D525" s="3"/>
      <c r="E525" s="3"/>
      <c r="F525" s="3"/>
    </row>
    <row r="526" spans="4:6" ht="12.75" customHeight="1" x14ac:dyDescent="0.25">
      <c r="D526" s="3"/>
      <c r="E526" s="3"/>
      <c r="F526" s="3"/>
    </row>
    <row r="527" spans="4:6" ht="12.75" customHeight="1" x14ac:dyDescent="0.25">
      <c r="D527" s="3"/>
      <c r="E527" s="3"/>
      <c r="F527" s="3"/>
    </row>
    <row r="528" spans="4:6" ht="12.75" customHeight="1" x14ac:dyDescent="0.25">
      <c r="D528" s="3"/>
      <c r="E528" s="3"/>
      <c r="F528" s="3"/>
    </row>
    <row r="529" spans="4:6" ht="12.75" customHeight="1" x14ac:dyDescent="0.25">
      <c r="D529" s="3"/>
      <c r="E529" s="3"/>
      <c r="F529" s="3"/>
    </row>
    <row r="530" spans="4:6" ht="12.75" customHeight="1" x14ac:dyDescent="0.25">
      <c r="D530" s="3"/>
      <c r="E530" s="3"/>
      <c r="F530" s="3"/>
    </row>
    <row r="531" spans="4:6" ht="12.75" customHeight="1" x14ac:dyDescent="0.25">
      <c r="D531" s="3"/>
      <c r="E531" s="3"/>
      <c r="F531" s="3"/>
    </row>
    <row r="532" spans="4:6" ht="12.75" customHeight="1" x14ac:dyDescent="0.25">
      <c r="D532" s="3"/>
      <c r="E532" s="3"/>
      <c r="F532" s="3"/>
    </row>
    <row r="533" spans="4:6" ht="12.75" customHeight="1" x14ac:dyDescent="0.25">
      <c r="D533" s="3"/>
      <c r="E533" s="3"/>
      <c r="F533" s="3"/>
    </row>
    <row r="534" spans="4:6" ht="12.75" customHeight="1" x14ac:dyDescent="0.25">
      <c r="D534" s="3"/>
      <c r="E534" s="3"/>
      <c r="F534" s="3"/>
    </row>
    <row r="535" spans="4:6" ht="12.75" customHeight="1" x14ac:dyDescent="0.25">
      <c r="D535" s="3"/>
      <c r="E535" s="3"/>
      <c r="F535" s="3"/>
    </row>
    <row r="536" spans="4:6" ht="12.75" customHeight="1" x14ac:dyDescent="0.25">
      <c r="D536" s="3"/>
      <c r="E536" s="3"/>
      <c r="F536" s="3"/>
    </row>
    <row r="537" spans="4:6" ht="12.75" customHeight="1" x14ac:dyDescent="0.25">
      <c r="D537" s="3"/>
      <c r="E537" s="3"/>
      <c r="F537" s="3"/>
    </row>
    <row r="538" spans="4:6" ht="12.75" customHeight="1" x14ac:dyDescent="0.25">
      <c r="D538" s="3"/>
      <c r="E538" s="3"/>
      <c r="F538" s="3"/>
    </row>
    <row r="539" spans="4:6" ht="12.75" customHeight="1" x14ac:dyDescent="0.25">
      <c r="D539" s="3"/>
      <c r="E539" s="3"/>
      <c r="F539" s="3"/>
    </row>
    <row r="540" spans="4:6" ht="12.75" customHeight="1" x14ac:dyDescent="0.25">
      <c r="D540" s="3"/>
      <c r="E540" s="3"/>
      <c r="F540" s="3"/>
    </row>
    <row r="541" spans="4:6" ht="12.75" customHeight="1" x14ac:dyDescent="0.25">
      <c r="D541" s="3"/>
      <c r="E541" s="3"/>
      <c r="F541" s="3"/>
    </row>
    <row r="542" spans="4:6" ht="12.75" customHeight="1" x14ac:dyDescent="0.25">
      <c r="D542" s="3"/>
      <c r="E542" s="3"/>
      <c r="F542" s="3"/>
    </row>
    <row r="543" spans="4:6" ht="12.75" customHeight="1" x14ac:dyDescent="0.25">
      <c r="D543" s="3"/>
      <c r="E543" s="3"/>
      <c r="F543" s="3"/>
    </row>
    <row r="544" spans="4:6" ht="12.75" customHeight="1" x14ac:dyDescent="0.25">
      <c r="D544" s="3"/>
      <c r="E544" s="3"/>
      <c r="F544" s="3"/>
    </row>
    <row r="545" spans="4:6" ht="12.75" customHeight="1" x14ac:dyDescent="0.25">
      <c r="D545" s="3"/>
      <c r="E545" s="3"/>
      <c r="F545" s="3"/>
    </row>
    <row r="546" spans="4:6" ht="12.75" customHeight="1" x14ac:dyDescent="0.25">
      <c r="D546" s="3"/>
      <c r="E546" s="3"/>
      <c r="F546" s="3"/>
    </row>
    <row r="547" spans="4:6" ht="12.75" customHeight="1" x14ac:dyDescent="0.25">
      <c r="D547" s="3"/>
      <c r="E547" s="3"/>
      <c r="F547" s="3"/>
    </row>
    <row r="548" spans="4:6" ht="12.75" customHeight="1" x14ac:dyDescent="0.25">
      <c r="D548" s="3"/>
      <c r="E548" s="3"/>
      <c r="F548" s="3"/>
    </row>
    <row r="549" spans="4:6" ht="12.75" customHeight="1" x14ac:dyDescent="0.25">
      <c r="D549" s="3"/>
      <c r="E549" s="3"/>
      <c r="F549" s="3"/>
    </row>
    <row r="550" spans="4:6" ht="12.75" customHeight="1" x14ac:dyDescent="0.25">
      <c r="D550" s="3"/>
      <c r="E550" s="3"/>
      <c r="F550" s="3"/>
    </row>
    <row r="551" spans="4:6" ht="12.75" customHeight="1" x14ac:dyDescent="0.25">
      <c r="D551" s="3"/>
      <c r="E551" s="3"/>
      <c r="F551" s="3"/>
    </row>
    <row r="552" spans="4:6" ht="12.75" customHeight="1" x14ac:dyDescent="0.25">
      <c r="D552" s="3"/>
      <c r="E552" s="3"/>
      <c r="F552" s="3"/>
    </row>
    <row r="553" spans="4:6" ht="12.75" customHeight="1" x14ac:dyDescent="0.25">
      <c r="D553" s="3"/>
      <c r="E553" s="3"/>
      <c r="F553" s="3"/>
    </row>
    <row r="554" spans="4:6" ht="12.75" customHeight="1" x14ac:dyDescent="0.25">
      <c r="D554" s="3"/>
      <c r="E554" s="3"/>
      <c r="F554" s="3"/>
    </row>
    <row r="555" spans="4:6" ht="12.75" customHeight="1" x14ac:dyDescent="0.25">
      <c r="D555" s="3"/>
      <c r="E555" s="3"/>
      <c r="F555" s="3"/>
    </row>
    <row r="556" spans="4:6" ht="12.75" customHeight="1" x14ac:dyDescent="0.25">
      <c r="D556" s="3"/>
      <c r="E556" s="3"/>
      <c r="F556" s="3"/>
    </row>
    <row r="557" spans="4:6" ht="12.75" customHeight="1" x14ac:dyDescent="0.25">
      <c r="D557" s="3"/>
      <c r="E557" s="3"/>
      <c r="F557" s="3"/>
    </row>
    <row r="558" spans="4:6" ht="12.75" customHeight="1" x14ac:dyDescent="0.25">
      <c r="D558" s="3"/>
      <c r="E558" s="3"/>
      <c r="F558" s="3"/>
    </row>
    <row r="559" spans="4:6" ht="12.75" customHeight="1" x14ac:dyDescent="0.25">
      <c r="D559" s="3"/>
      <c r="E559" s="3"/>
      <c r="F559" s="3"/>
    </row>
    <row r="560" spans="4:6" ht="12.75" customHeight="1" x14ac:dyDescent="0.25">
      <c r="D560" s="3"/>
      <c r="E560" s="3"/>
      <c r="F560" s="3"/>
    </row>
    <row r="561" spans="4:6" ht="12.75" customHeight="1" x14ac:dyDescent="0.25">
      <c r="D561" s="3"/>
      <c r="E561" s="3"/>
      <c r="F561" s="3"/>
    </row>
    <row r="562" spans="4:6" ht="12.75" customHeight="1" x14ac:dyDescent="0.25">
      <c r="D562" s="3"/>
      <c r="E562" s="3"/>
      <c r="F562" s="3"/>
    </row>
    <row r="563" spans="4:6" ht="12.75" customHeight="1" x14ac:dyDescent="0.25">
      <c r="D563" s="3"/>
      <c r="E563" s="3"/>
      <c r="F563" s="3"/>
    </row>
    <row r="564" spans="4:6" ht="12.75" customHeight="1" x14ac:dyDescent="0.25">
      <c r="D564" s="3"/>
      <c r="E564" s="3"/>
      <c r="F564" s="3"/>
    </row>
    <row r="565" spans="4:6" ht="12.75" customHeight="1" x14ac:dyDescent="0.25">
      <c r="D565" s="3"/>
      <c r="E565" s="3"/>
      <c r="F565" s="3"/>
    </row>
    <row r="566" spans="4:6" ht="12.75" customHeight="1" x14ac:dyDescent="0.25">
      <c r="D566" s="3"/>
      <c r="E566" s="3"/>
      <c r="F566" s="3"/>
    </row>
    <row r="567" spans="4:6" ht="12.75" customHeight="1" x14ac:dyDescent="0.25">
      <c r="D567" s="3"/>
      <c r="E567" s="3"/>
      <c r="F567" s="3"/>
    </row>
    <row r="568" spans="4:6" ht="12.75" customHeight="1" x14ac:dyDescent="0.25">
      <c r="D568" s="3"/>
      <c r="E568" s="3"/>
      <c r="F568" s="3"/>
    </row>
    <row r="569" spans="4:6" ht="12.75" customHeight="1" x14ac:dyDescent="0.25">
      <c r="D569" s="3"/>
      <c r="E569" s="3"/>
      <c r="F569" s="3"/>
    </row>
    <row r="570" spans="4:6" ht="12.75" customHeight="1" x14ac:dyDescent="0.25">
      <c r="D570" s="3"/>
      <c r="E570" s="3"/>
      <c r="F570" s="3"/>
    </row>
    <row r="571" spans="4:6" ht="12.75" customHeight="1" x14ac:dyDescent="0.25">
      <c r="D571" s="3"/>
      <c r="E571" s="3"/>
      <c r="F571" s="3"/>
    </row>
    <row r="572" spans="4:6" ht="12.75" customHeight="1" x14ac:dyDescent="0.25">
      <c r="D572" s="3"/>
      <c r="E572" s="3"/>
      <c r="F572" s="3"/>
    </row>
    <row r="573" spans="4:6" ht="12.75" customHeight="1" x14ac:dyDescent="0.25">
      <c r="D573" s="3"/>
      <c r="E573" s="3"/>
      <c r="F573" s="3"/>
    </row>
    <row r="574" spans="4:6" ht="12.75" customHeight="1" x14ac:dyDescent="0.25">
      <c r="D574" s="3"/>
      <c r="E574" s="3"/>
      <c r="F574" s="3"/>
    </row>
    <row r="575" spans="4:6" ht="12.75" customHeight="1" x14ac:dyDescent="0.25">
      <c r="D575" s="3"/>
      <c r="E575" s="3"/>
      <c r="F575" s="3"/>
    </row>
    <row r="576" spans="4:6" ht="12.75" customHeight="1" x14ac:dyDescent="0.25">
      <c r="D576" s="3"/>
      <c r="E576" s="3"/>
      <c r="F576" s="3"/>
    </row>
    <row r="577" spans="4:6" ht="12.75" customHeight="1" x14ac:dyDescent="0.25">
      <c r="D577" s="3"/>
      <c r="E577" s="3"/>
      <c r="F577" s="3"/>
    </row>
    <row r="578" spans="4:6" ht="12.75" customHeight="1" x14ac:dyDescent="0.25">
      <c r="D578" s="3"/>
      <c r="E578" s="3"/>
      <c r="F578" s="3"/>
    </row>
    <row r="579" spans="4:6" ht="12.75" customHeight="1" x14ac:dyDescent="0.25">
      <c r="D579" s="3"/>
      <c r="E579" s="3"/>
      <c r="F579" s="3"/>
    </row>
    <row r="580" spans="4:6" ht="12.75" customHeight="1" x14ac:dyDescent="0.25">
      <c r="D580" s="3"/>
      <c r="E580" s="3"/>
      <c r="F580" s="3"/>
    </row>
    <row r="581" spans="4:6" ht="12.75" customHeight="1" x14ac:dyDescent="0.25">
      <c r="D581" s="3"/>
      <c r="E581" s="3"/>
      <c r="F581" s="3"/>
    </row>
    <row r="582" spans="4:6" ht="12.75" customHeight="1" x14ac:dyDescent="0.25">
      <c r="D582" s="3"/>
      <c r="E582" s="3"/>
      <c r="F582" s="3"/>
    </row>
    <row r="583" spans="4:6" ht="12.75" customHeight="1" x14ac:dyDescent="0.25">
      <c r="D583" s="3"/>
      <c r="E583" s="3"/>
      <c r="F583" s="3"/>
    </row>
    <row r="584" spans="4:6" ht="12.75" customHeight="1" x14ac:dyDescent="0.25">
      <c r="D584" s="3"/>
      <c r="E584" s="3"/>
      <c r="F584" s="3"/>
    </row>
    <row r="585" spans="4:6" ht="12.75" customHeight="1" x14ac:dyDescent="0.25">
      <c r="D585" s="3"/>
      <c r="E585" s="3"/>
      <c r="F585" s="3"/>
    </row>
    <row r="586" spans="4:6" ht="12.75" customHeight="1" x14ac:dyDescent="0.25">
      <c r="D586" s="3"/>
      <c r="E586" s="3"/>
      <c r="F586" s="3"/>
    </row>
    <row r="587" spans="4:6" ht="12.75" customHeight="1" x14ac:dyDescent="0.25">
      <c r="D587" s="3"/>
      <c r="E587" s="3"/>
      <c r="F587" s="3"/>
    </row>
    <row r="588" spans="4:6" ht="12.75" customHeight="1" x14ac:dyDescent="0.25">
      <c r="D588" s="3"/>
      <c r="E588" s="3"/>
      <c r="F588" s="3"/>
    </row>
    <row r="589" spans="4:6" ht="12.75" customHeight="1" x14ac:dyDescent="0.25">
      <c r="D589" s="3"/>
      <c r="E589" s="3"/>
      <c r="F589" s="3"/>
    </row>
    <row r="590" spans="4:6" ht="12.75" customHeight="1" x14ac:dyDescent="0.25">
      <c r="D590" s="3"/>
      <c r="E590" s="3"/>
      <c r="F590" s="3"/>
    </row>
    <row r="591" spans="4:6" ht="12.75" customHeight="1" x14ac:dyDescent="0.25">
      <c r="D591" s="3"/>
      <c r="E591" s="3"/>
      <c r="F591" s="3"/>
    </row>
    <row r="592" spans="4:6" ht="12.75" customHeight="1" x14ac:dyDescent="0.25">
      <c r="D592" s="3"/>
      <c r="E592" s="3"/>
      <c r="F592" s="3"/>
    </row>
    <row r="593" spans="4:6" ht="12.75" customHeight="1" x14ac:dyDescent="0.25">
      <c r="D593" s="3"/>
      <c r="E593" s="3"/>
      <c r="F593" s="3"/>
    </row>
    <row r="594" spans="4:6" ht="12.75" customHeight="1" x14ac:dyDescent="0.25">
      <c r="D594" s="3"/>
      <c r="E594" s="3"/>
      <c r="F594" s="3"/>
    </row>
    <row r="595" spans="4:6" ht="12.75" customHeight="1" x14ac:dyDescent="0.25">
      <c r="D595" s="3"/>
      <c r="E595" s="3"/>
      <c r="F595" s="3"/>
    </row>
    <row r="596" spans="4:6" ht="12.75" customHeight="1" x14ac:dyDescent="0.25">
      <c r="D596" s="3"/>
      <c r="E596" s="3"/>
      <c r="F596" s="3"/>
    </row>
    <row r="597" spans="4:6" ht="12.75" customHeight="1" x14ac:dyDescent="0.25">
      <c r="D597" s="3"/>
      <c r="E597" s="3"/>
      <c r="F597" s="3"/>
    </row>
    <row r="598" spans="4:6" ht="12.75" customHeight="1" x14ac:dyDescent="0.25">
      <c r="D598" s="3"/>
      <c r="E598" s="3"/>
      <c r="F598" s="3"/>
    </row>
    <row r="599" spans="4:6" ht="12.75" customHeight="1" x14ac:dyDescent="0.25">
      <c r="D599" s="3"/>
      <c r="E599" s="3"/>
      <c r="F599" s="3"/>
    </row>
    <row r="600" spans="4:6" ht="12.75" customHeight="1" x14ac:dyDescent="0.25">
      <c r="D600" s="3"/>
      <c r="E600" s="3"/>
      <c r="F600" s="3"/>
    </row>
    <row r="601" spans="4:6" ht="12.75" customHeight="1" x14ac:dyDescent="0.25">
      <c r="D601" s="3"/>
      <c r="E601" s="3"/>
      <c r="F601" s="3"/>
    </row>
    <row r="602" spans="4:6" ht="12.75" customHeight="1" x14ac:dyDescent="0.25">
      <c r="D602" s="3"/>
      <c r="E602" s="3"/>
      <c r="F602" s="3"/>
    </row>
    <row r="603" spans="4:6" ht="12.75" customHeight="1" x14ac:dyDescent="0.25">
      <c r="D603" s="3"/>
      <c r="E603" s="3"/>
      <c r="F603" s="3"/>
    </row>
    <row r="604" spans="4:6" ht="12.75" customHeight="1" x14ac:dyDescent="0.25">
      <c r="D604" s="3"/>
      <c r="E604" s="3"/>
      <c r="F604" s="3"/>
    </row>
    <row r="605" spans="4:6" ht="12.75" customHeight="1" x14ac:dyDescent="0.25">
      <c r="D605" s="3"/>
      <c r="E605" s="3"/>
      <c r="F605" s="3"/>
    </row>
    <row r="606" spans="4:6" ht="12.75" customHeight="1" x14ac:dyDescent="0.25">
      <c r="D606" s="3"/>
      <c r="E606" s="3"/>
      <c r="F606" s="3"/>
    </row>
    <row r="607" spans="4:6" ht="12.75" customHeight="1" x14ac:dyDescent="0.25">
      <c r="D607" s="3"/>
      <c r="E607" s="3"/>
      <c r="F607" s="3"/>
    </row>
    <row r="608" spans="4:6" ht="12.75" customHeight="1" x14ac:dyDescent="0.25">
      <c r="D608" s="3"/>
      <c r="E608" s="3"/>
      <c r="F608" s="3"/>
    </row>
    <row r="609" spans="4:6" ht="12.75" customHeight="1" x14ac:dyDescent="0.25">
      <c r="D609" s="3"/>
      <c r="E609" s="3"/>
      <c r="F609" s="3"/>
    </row>
    <row r="610" spans="4:6" ht="12.75" customHeight="1" x14ac:dyDescent="0.25">
      <c r="D610" s="3"/>
      <c r="E610" s="3"/>
      <c r="F610" s="3"/>
    </row>
    <row r="611" spans="4:6" ht="12.75" customHeight="1" x14ac:dyDescent="0.25">
      <c r="D611" s="3"/>
      <c r="E611" s="3"/>
      <c r="F611" s="3"/>
    </row>
    <row r="612" spans="4:6" ht="12.75" customHeight="1" x14ac:dyDescent="0.25">
      <c r="D612" s="3"/>
      <c r="E612" s="3"/>
      <c r="F612" s="3"/>
    </row>
    <row r="613" spans="4:6" ht="12.75" customHeight="1" x14ac:dyDescent="0.25">
      <c r="D613" s="3"/>
      <c r="E613" s="3"/>
      <c r="F613" s="3"/>
    </row>
    <row r="614" spans="4:6" ht="12.75" customHeight="1" x14ac:dyDescent="0.25">
      <c r="D614" s="3"/>
      <c r="E614" s="3"/>
      <c r="F614" s="3"/>
    </row>
    <row r="615" spans="4:6" ht="12.75" customHeight="1" x14ac:dyDescent="0.25">
      <c r="D615" s="3"/>
      <c r="E615" s="3"/>
      <c r="F615" s="3"/>
    </row>
    <row r="616" spans="4:6" ht="12.75" customHeight="1" x14ac:dyDescent="0.25">
      <c r="D616" s="3"/>
      <c r="E616" s="3"/>
      <c r="F616" s="3"/>
    </row>
    <row r="617" spans="4:6" ht="12.75" customHeight="1" x14ac:dyDescent="0.25">
      <c r="D617" s="3"/>
      <c r="E617" s="3"/>
      <c r="F617" s="3"/>
    </row>
    <row r="618" spans="4:6" ht="12.75" customHeight="1" x14ac:dyDescent="0.25">
      <c r="D618" s="3"/>
      <c r="E618" s="3"/>
      <c r="F618" s="3"/>
    </row>
    <row r="619" spans="4:6" ht="12.75" customHeight="1" x14ac:dyDescent="0.25">
      <c r="D619" s="3"/>
      <c r="E619" s="3"/>
      <c r="F619" s="3"/>
    </row>
    <row r="620" spans="4:6" ht="12.75" customHeight="1" x14ac:dyDescent="0.25">
      <c r="D620" s="3"/>
      <c r="E620" s="3"/>
      <c r="F620" s="3"/>
    </row>
    <row r="621" spans="4:6" ht="12.75" customHeight="1" x14ac:dyDescent="0.25">
      <c r="D621" s="3"/>
      <c r="E621" s="3"/>
      <c r="F621" s="3"/>
    </row>
    <row r="622" spans="4:6" ht="12.75" customHeight="1" x14ac:dyDescent="0.25">
      <c r="D622" s="3"/>
      <c r="E622" s="3"/>
      <c r="F622" s="3"/>
    </row>
    <row r="623" spans="4:6" ht="12.75" customHeight="1" x14ac:dyDescent="0.25">
      <c r="D623" s="3"/>
      <c r="E623" s="3"/>
      <c r="F623" s="3"/>
    </row>
    <row r="624" spans="4:6" ht="12.75" customHeight="1" x14ac:dyDescent="0.25">
      <c r="D624" s="3"/>
      <c r="E624" s="3"/>
      <c r="F624" s="3"/>
    </row>
    <row r="625" spans="4:6" ht="12.75" customHeight="1" x14ac:dyDescent="0.25">
      <c r="D625" s="3"/>
      <c r="E625" s="3"/>
      <c r="F625" s="3"/>
    </row>
    <row r="626" spans="4:6" ht="12.75" customHeight="1" x14ac:dyDescent="0.25">
      <c r="D626" s="3"/>
      <c r="E626" s="3"/>
      <c r="F626" s="3"/>
    </row>
    <row r="627" spans="4:6" ht="12.75" customHeight="1" x14ac:dyDescent="0.25">
      <c r="D627" s="3"/>
      <c r="E627" s="3"/>
      <c r="F627" s="3"/>
    </row>
    <row r="628" spans="4:6" ht="12.75" customHeight="1" x14ac:dyDescent="0.25">
      <c r="D628" s="3"/>
      <c r="E628" s="3"/>
      <c r="F628" s="3"/>
    </row>
    <row r="629" spans="4:6" ht="12.75" customHeight="1" x14ac:dyDescent="0.25">
      <c r="D629" s="3"/>
      <c r="E629" s="3"/>
      <c r="F629" s="3"/>
    </row>
    <row r="630" spans="4:6" ht="12.75" customHeight="1" x14ac:dyDescent="0.25">
      <c r="D630" s="3"/>
      <c r="E630" s="3"/>
      <c r="F630" s="3"/>
    </row>
    <row r="631" spans="4:6" ht="12.75" customHeight="1" x14ac:dyDescent="0.25">
      <c r="D631" s="3"/>
      <c r="E631" s="3"/>
      <c r="F631" s="3"/>
    </row>
    <row r="632" spans="4:6" ht="12.75" customHeight="1" x14ac:dyDescent="0.25">
      <c r="D632" s="3"/>
      <c r="E632" s="3"/>
      <c r="F632" s="3"/>
    </row>
    <row r="633" spans="4:6" ht="12.75" customHeight="1" x14ac:dyDescent="0.25">
      <c r="D633" s="3"/>
      <c r="E633" s="3"/>
      <c r="F633" s="3"/>
    </row>
    <row r="634" spans="4:6" ht="12.75" customHeight="1" x14ac:dyDescent="0.25">
      <c r="D634" s="3"/>
      <c r="E634" s="3"/>
      <c r="F634" s="3"/>
    </row>
    <row r="635" spans="4:6" ht="12.75" customHeight="1" x14ac:dyDescent="0.25">
      <c r="D635" s="3"/>
      <c r="E635" s="3"/>
      <c r="F635" s="3"/>
    </row>
    <row r="636" spans="4:6" ht="12.75" customHeight="1" x14ac:dyDescent="0.25">
      <c r="D636" s="3"/>
      <c r="E636" s="3"/>
      <c r="F636" s="3"/>
    </row>
    <row r="637" spans="4:6" ht="12.75" customHeight="1" x14ac:dyDescent="0.25">
      <c r="D637" s="3"/>
      <c r="E637" s="3"/>
      <c r="F637" s="3"/>
    </row>
    <row r="638" spans="4:6" ht="12.75" customHeight="1" x14ac:dyDescent="0.25">
      <c r="D638" s="3"/>
      <c r="E638" s="3"/>
      <c r="F638" s="3"/>
    </row>
    <row r="639" spans="4:6" ht="12.75" customHeight="1" x14ac:dyDescent="0.25">
      <c r="D639" s="3"/>
      <c r="E639" s="3"/>
      <c r="F639" s="3"/>
    </row>
    <row r="640" spans="4:6" ht="12.75" customHeight="1" x14ac:dyDescent="0.25">
      <c r="D640" s="3"/>
      <c r="E640" s="3"/>
      <c r="F640" s="3"/>
    </row>
    <row r="641" spans="4:6" ht="12.75" customHeight="1" x14ac:dyDescent="0.25">
      <c r="D641" s="3"/>
      <c r="E641" s="3"/>
      <c r="F641" s="3"/>
    </row>
    <row r="642" spans="4:6" ht="12.75" customHeight="1" x14ac:dyDescent="0.25">
      <c r="D642" s="3"/>
      <c r="E642" s="3"/>
      <c r="F642" s="3"/>
    </row>
    <row r="643" spans="4:6" ht="12.75" customHeight="1" x14ac:dyDescent="0.25">
      <c r="D643" s="3"/>
      <c r="E643" s="3"/>
      <c r="F643" s="3"/>
    </row>
    <row r="644" spans="4:6" ht="12.75" customHeight="1" x14ac:dyDescent="0.25">
      <c r="D644" s="3"/>
      <c r="E644" s="3"/>
      <c r="F644" s="3"/>
    </row>
    <row r="645" spans="4:6" ht="12.75" customHeight="1" x14ac:dyDescent="0.25">
      <c r="D645" s="3"/>
      <c r="E645" s="3"/>
      <c r="F645" s="3"/>
    </row>
    <row r="646" spans="4:6" ht="12.75" customHeight="1" x14ac:dyDescent="0.25">
      <c r="D646" s="3"/>
      <c r="E646" s="3"/>
      <c r="F646" s="3"/>
    </row>
    <row r="647" spans="4:6" ht="12.75" customHeight="1" x14ac:dyDescent="0.25">
      <c r="D647" s="3"/>
      <c r="E647" s="3"/>
      <c r="F647" s="3"/>
    </row>
    <row r="648" spans="4:6" ht="12.75" customHeight="1" x14ac:dyDescent="0.25">
      <c r="D648" s="3"/>
      <c r="E648" s="3"/>
      <c r="F648" s="3"/>
    </row>
    <row r="649" spans="4:6" ht="12.75" customHeight="1" x14ac:dyDescent="0.25">
      <c r="D649" s="3"/>
      <c r="E649" s="3"/>
      <c r="F649" s="3"/>
    </row>
    <row r="650" spans="4:6" ht="12.75" customHeight="1" x14ac:dyDescent="0.25">
      <c r="D650" s="3"/>
      <c r="E650" s="3"/>
      <c r="F650" s="3"/>
    </row>
    <row r="651" spans="4:6" ht="12.75" customHeight="1" x14ac:dyDescent="0.25">
      <c r="D651" s="3"/>
      <c r="E651" s="3"/>
      <c r="F651" s="3"/>
    </row>
    <row r="652" spans="4:6" ht="12.75" customHeight="1" x14ac:dyDescent="0.25">
      <c r="D652" s="3"/>
      <c r="E652" s="3"/>
      <c r="F652" s="3"/>
    </row>
    <row r="653" spans="4:6" ht="12.75" customHeight="1" x14ac:dyDescent="0.25">
      <c r="D653" s="3"/>
      <c r="E653" s="3"/>
      <c r="F653" s="3"/>
    </row>
    <row r="654" spans="4:6" ht="12.75" customHeight="1" x14ac:dyDescent="0.25">
      <c r="D654" s="3"/>
      <c r="E654" s="3"/>
      <c r="F654" s="3"/>
    </row>
    <row r="655" spans="4:6" ht="12.75" customHeight="1" x14ac:dyDescent="0.25">
      <c r="D655" s="3"/>
      <c r="E655" s="3"/>
      <c r="F655" s="3"/>
    </row>
    <row r="656" spans="4:6" ht="12.75" customHeight="1" x14ac:dyDescent="0.25">
      <c r="D656" s="3"/>
      <c r="E656" s="3"/>
      <c r="F656" s="3"/>
    </row>
    <row r="657" spans="4:6" ht="12.75" customHeight="1" x14ac:dyDescent="0.25">
      <c r="D657" s="3"/>
      <c r="E657" s="3"/>
      <c r="F657" s="3"/>
    </row>
    <row r="658" spans="4:6" ht="12.75" customHeight="1" x14ac:dyDescent="0.25">
      <c r="D658" s="3"/>
      <c r="E658" s="3"/>
      <c r="F658" s="3"/>
    </row>
    <row r="659" spans="4:6" ht="12.75" customHeight="1" x14ac:dyDescent="0.25">
      <c r="D659" s="3"/>
      <c r="E659" s="3"/>
      <c r="F659" s="3"/>
    </row>
    <row r="660" spans="4:6" ht="12.75" customHeight="1" x14ac:dyDescent="0.25">
      <c r="D660" s="3"/>
      <c r="E660" s="3"/>
      <c r="F660" s="3"/>
    </row>
    <row r="661" spans="4:6" ht="12.75" customHeight="1" x14ac:dyDescent="0.25">
      <c r="D661" s="3"/>
      <c r="E661" s="3"/>
      <c r="F661" s="3"/>
    </row>
    <row r="662" spans="4:6" ht="12.75" customHeight="1" x14ac:dyDescent="0.25">
      <c r="D662" s="3"/>
      <c r="E662" s="3"/>
      <c r="F662" s="3"/>
    </row>
    <row r="663" spans="4:6" ht="12.75" customHeight="1" x14ac:dyDescent="0.25">
      <c r="D663" s="3"/>
      <c r="E663" s="3"/>
      <c r="F663" s="3"/>
    </row>
    <row r="664" spans="4:6" ht="12.75" customHeight="1" x14ac:dyDescent="0.25">
      <c r="D664" s="3"/>
      <c r="E664" s="3"/>
      <c r="F664" s="3"/>
    </row>
    <row r="665" spans="4:6" ht="12.75" customHeight="1" x14ac:dyDescent="0.25">
      <c r="D665" s="3"/>
      <c r="E665" s="3"/>
      <c r="F665" s="3"/>
    </row>
    <row r="666" spans="4:6" ht="12.75" customHeight="1" x14ac:dyDescent="0.25">
      <c r="D666" s="3"/>
      <c r="E666" s="3"/>
      <c r="F666" s="3"/>
    </row>
    <row r="667" spans="4:6" ht="12.75" customHeight="1" x14ac:dyDescent="0.25">
      <c r="D667" s="3"/>
      <c r="E667" s="3"/>
      <c r="F667" s="3"/>
    </row>
    <row r="668" spans="4:6" ht="12.75" customHeight="1" x14ac:dyDescent="0.25">
      <c r="D668" s="3"/>
      <c r="E668" s="3"/>
      <c r="F668" s="3"/>
    </row>
    <row r="669" spans="4:6" ht="12.75" customHeight="1" x14ac:dyDescent="0.25">
      <c r="D669" s="3"/>
      <c r="E669" s="3"/>
      <c r="F669" s="3"/>
    </row>
    <row r="670" spans="4:6" ht="12.75" customHeight="1" x14ac:dyDescent="0.25">
      <c r="D670" s="3"/>
      <c r="E670" s="3"/>
      <c r="F670" s="3"/>
    </row>
    <row r="671" spans="4:6" ht="12.75" customHeight="1" x14ac:dyDescent="0.25">
      <c r="D671" s="3"/>
      <c r="E671" s="3"/>
      <c r="F671" s="3"/>
    </row>
    <row r="672" spans="4:6" ht="12.75" customHeight="1" x14ac:dyDescent="0.25">
      <c r="D672" s="3"/>
      <c r="E672" s="3"/>
      <c r="F672" s="3"/>
    </row>
    <row r="673" spans="4:6" ht="12.75" customHeight="1" x14ac:dyDescent="0.25">
      <c r="D673" s="3"/>
      <c r="E673" s="3"/>
      <c r="F673" s="3"/>
    </row>
    <row r="674" spans="4:6" ht="12.75" customHeight="1" x14ac:dyDescent="0.25">
      <c r="D674" s="3"/>
      <c r="E674" s="3"/>
      <c r="F674" s="3"/>
    </row>
    <row r="675" spans="4:6" ht="12.75" customHeight="1" x14ac:dyDescent="0.25">
      <c r="D675" s="3"/>
      <c r="E675" s="3"/>
      <c r="F675" s="3"/>
    </row>
    <row r="676" spans="4:6" ht="12.75" customHeight="1" x14ac:dyDescent="0.25">
      <c r="D676" s="3"/>
      <c r="E676" s="3"/>
      <c r="F676" s="3"/>
    </row>
    <row r="677" spans="4:6" ht="12.75" customHeight="1" x14ac:dyDescent="0.25">
      <c r="D677" s="3"/>
      <c r="E677" s="3"/>
      <c r="F677" s="3"/>
    </row>
    <row r="678" spans="4:6" ht="12.75" customHeight="1" x14ac:dyDescent="0.25">
      <c r="D678" s="3"/>
      <c r="E678" s="3"/>
      <c r="F678" s="3"/>
    </row>
    <row r="679" spans="4:6" ht="12.75" customHeight="1" x14ac:dyDescent="0.25">
      <c r="D679" s="3"/>
      <c r="E679" s="3"/>
      <c r="F679" s="3"/>
    </row>
    <row r="680" spans="4:6" ht="12.75" customHeight="1" x14ac:dyDescent="0.25">
      <c r="D680" s="3"/>
      <c r="E680" s="3"/>
      <c r="F680" s="3"/>
    </row>
    <row r="681" spans="4:6" ht="12.75" customHeight="1" x14ac:dyDescent="0.25">
      <c r="D681" s="3"/>
      <c r="E681" s="3"/>
      <c r="F681" s="3"/>
    </row>
    <row r="682" spans="4:6" ht="12.75" customHeight="1" x14ac:dyDescent="0.25">
      <c r="D682" s="3"/>
      <c r="E682" s="3"/>
      <c r="F682" s="3"/>
    </row>
    <row r="683" spans="4:6" ht="12.75" customHeight="1" x14ac:dyDescent="0.25">
      <c r="D683" s="3"/>
      <c r="E683" s="3"/>
      <c r="F683" s="3"/>
    </row>
    <row r="684" spans="4:6" ht="12.75" customHeight="1" x14ac:dyDescent="0.25">
      <c r="D684" s="3"/>
      <c r="E684" s="3"/>
      <c r="F684" s="3"/>
    </row>
    <row r="685" spans="4:6" ht="12.75" customHeight="1" x14ac:dyDescent="0.25">
      <c r="D685" s="3"/>
      <c r="E685" s="3"/>
      <c r="F685" s="3"/>
    </row>
    <row r="686" spans="4:6" ht="12.75" customHeight="1" x14ac:dyDescent="0.25">
      <c r="D686" s="3"/>
      <c r="E686" s="3"/>
      <c r="F686" s="3"/>
    </row>
    <row r="687" spans="4:6" ht="12.75" customHeight="1" x14ac:dyDescent="0.25">
      <c r="D687" s="3"/>
      <c r="E687" s="3"/>
      <c r="F687" s="3"/>
    </row>
    <row r="688" spans="4:6" ht="12.75" customHeight="1" x14ac:dyDescent="0.25">
      <c r="D688" s="3"/>
      <c r="E688" s="3"/>
      <c r="F688" s="3"/>
    </row>
    <row r="689" spans="4:6" ht="12.75" customHeight="1" x14ac:dyDescent="0.25">
      <c r="D689" s="3"/>
      <c r="E689" s="3"/>
      <c r="F689" s="3"/>
    </row>
    <row r="690" spans="4:6" ht="12.75" customHeight="1" x14ac:dyDescent="0.25">
      <c r="D690" s="3"/>
      <c r="E690" s="3"/>
      <c r="F690" s="3"/>
    </row>
    <row r="691" spans="4:6" ht="12.75" customHeight="1" x14ac:dyDescent="0.25">
      <c r="D691" s="3"/>
      <c r="E691" s="3"/>
      <c r="F691" s="3"/>
    </row>
    <row r="692" spans="4:6" ht="12.75" customHeight="1" x14ac:dyDescent="0.25">
      <c r="D692" s="3"/>
      <c r="E692" s="3"/>
      <c r="F692" s="3"/>
    </row>
    <row r="693" spans="4:6" ht="12.75" customHeight="1" x14ac:dyDescent="0.25">
      <c r="D693" s="3"/>
      <c r="E693" s="3"/>
      <c r="F693" s="3"/>
    </row>
    <row r="694" spans="4:6" ht="12.75" customHeight="1" x14ac:dyDescent="0.25">
      <c r="D694" s="3"/>
      <c r="E694" s="3"/>
      <c r="F694" s="3"/>
    </row>
    <row r="695" spans="4:6" ht="12.75" customHeight="1" x14ac:dyDescent="0.25">
      <c r="D695" s="3"/>
      <c r="E695" s="3"/>
      <c r="F695" s="3"/>
    </row>
    <row r="696" spans="4:6" ht="12.75" customHeight="1" x14ac:dyDescent="0.25">
      <c r="D696" s="3"/>
      <c r="E696" s="3"/>
      <c r="F696" s="3"/>
    </row>
    <row r="697" spans="4:6" ht="12.75" customHeight="1" x14ac:dyDescent="0.25">
      <c r="D697" s="3"/>
      <c r="E697" s="3"/>
      <c r="F697" s="3"/>
    </row>
    <row r="698" spans="4:6" ht="12.75" customHeight="1" x14ac:dyDescent="0.25">
      <c r="D698" s="3"/>
      <c r="E698" s="3"/>
      <c r="F698" s="3"/>
    </row>
    <row r="699" spans="4:6" ht="12.75" customHeight="1" x14ac:dyDescent="0.25">
      <c r="D699" s="3"/>
      <c r="E699" s="3"/>
      <c r="F699" s="3"/>
    </row>
    <row r="700" spans="4:6" ht="12.75" customHeight="1" x14ac:dyDescent="0.25">
      <c r="D700" s="3"/>
      <c r="E700" s="3"/>
      <c r="F700" s="3"/>
    </row>
    <row r="701" spans="4:6" ht="12.75" customHeight="1" x14ac:dyDescent="0.25">
      <c r="D701" s="3"/>
      <c r="E701" s="3"/>
      <c r="F701" s="3"/>
    </row>
    <row r="702" spans="4:6" ht="12.75" customHeight="1" x14ac:dyDescent="0.25">
      <c r="D702" s="3"/>
      <c r="E702" s="3"/>
      <c r="F702" s="3"/>
    </row>
    <row r="703" spans="4:6" ht="12.75" customHeight="1" x14ac:dyDescent="0.25">
      <c r="D703" s="3"/>
      <c r="E703" s="3"/>
      <c r="F703" s="3"/>
    </row>
    <row r="704" spans="4:6" ht="12.75" customHeight="1" x14ac:dyDescent="0.25">
      <c r="D704" s="3"/>
      <c r="E704" s="3"/>
      <c r="F704" s="3"/>
    </row>
    <row r="705" spans="4:6" ht="12.75" customHeight="1" x14ac:dyDescent="0.25">
      <c r="D705" s="3"/>
      <c r="E705" s="3"/>
      <c r="F705" s="3"/>
    </row>
    <row r="706" spans="4:6" ht="12.75" customHeight="1" x14ac:dyDescent="0.25">
      <c r="D706" s="3"/>
      <c r="E706" s="3"/>
      <c r="F706" s="3"/>
    </row>
    <row r="707" spans="4:6" ht="12.75" customHeight="1" x14ac:dyDescent="0.25">
      <c r="D707" s="3"/>
      <c r="E707" s="3"/>
      <c r="F707" s="3"/>
    </row>
    <row r="708" spans="4:6" ht="12.75" customHeight="1" x14ac:dyDescent="0.25">
      <c r="D708" s="3"/>
      <c r="E708" s="3"/>
      <c r="F708" s="3"/>
    </row>
    <row r="709" spans="4:6" ht="12.75" customHeight="1" x14ac:dyDescent="0.25">
      <c r="D709" s="3"/>
      <c r="E709" s="3"/>
      <c r="F709" s="3"/>
    </row>
    <row r="710" spans="4:6" ht="12.75" customHeight="1" x14ac:dyDescent="0.25">
      <c r="D710" s="3"/>
      <c r="E710" s="3"/>
      <c r="F710" s="3"/>
    </row>
    <row r="711" spans="4:6" ht="12.75" customHeight="1" x14ac:dyDescent="0.25">
      <c r="D711" s="3"/>
      <c r="E711" s="3"/>
      <c r="F711" s="3"/>
    </row>
    <row r="712" spans="4:6" ht="12.75" customHeight="1" x14ac:dyDescent="0.25">
      <c r="D712" s="3"/>
      <c r="E712" s="3"/>
      <c r="F712" s="3"/>
    </row>
    <row r="713" spans="4:6" ht="12.75" customHeight="1" x14ac:dyDescent="0.25">
      <c r="D713" s="3"/>
      <c r="E713" s="3"/>
      <c r="F713" s="3"/>
    </row>
    <row r="714" spans="4:6" ht="12.75" customHeight="1" x14ac:dyDescent="0.25">
      <c r="D714" s="3"/>
      <c r="E714" s="3"/>
      <c r="F714" s="3"/>
    </row>
    <row r="715" spans="4:6" ht="12.75" customHeight="1" x14ac:dyDescent="0.25">
      <c r="D715" s="3"/>
      <c r="E715" s="3"/>
      <c r="F715" s="3"/>
    </row>
    <row r="716" spans="4:6" ht="12.75" customHeight="1" x14ac:dyDescent="0.25">
      <c r="D716" s="3"/>
      <c r="E716" s="3"/>
      <c r="F716" s="3"/>
    </row>
    <row r="717" spans="4:6" ht="12.75" customHeight="1" x14ac:dyDescent="0.25">
      <c r="D717" s="3"/>
      <c r="E717" s="3"/>
      <c r="F717" s="3"/>
    </row>
    <row r="718" spans="4:6" ht="12.75" customHeight="1" x14ac:dyDescent="0.25">
      <c r="D718" s="3"/>
      <c r="E718" s="3"/>
      <c r="F718" s="3"/>
    </row>
    <row r="719" spans="4:6" ht="12.75" customHeight="1" x14ac:dyDescent="0.25">
      <c r="D719" s="3"/>
      <c r="E719" s="3"/>
      <c r="F719" s="3"/>
    </row>
    <row r="720" spans="4:6" ht="12.75" customHeight="1" x14ac:dyDescent="0.25">
      <c r="D720" s="3"/>
      <c r="E720" s="3"/>
      <c r="F720" s="3"/>
    </row>
    <row r="721" spans="4:6" ht="12.75" customHeight="1" x14ac:dyDescent="0.25">
      <c r="D721" s="3"/>
      <c r="E721" s="3"/>
      <c r="F721" s="3"/>
    </row>
    <row r="722" spans="4:6" ht="12.75" customHeight="1" x14ac:dyDescent="0.25">
      <c r="D722" s="3"/>
      <c r="E722" s="3"/>
      <c r="F722" s="3"/>
    </row>
    <row r="723" spans="4:6" ht="12.75" customHeight="1" x14ac:dyDescent="0.25">
      <c r="D723" s="3"/>
      <c r="E723" s="3"/>
      <c r="F723" s="3"/>
    </row>
    <row r="724" spans="4:6" ht="12.75" customHeight="1" x14ac:dyDescent="0.25">
      <c r="D724" s="3"/>
      <c r="E724" s="3"/>
      <c r="F724" s="3"/>
    </row>
    <row r="725" spans="4:6" ht="12.75" customHeight="1" x14ac:dyDescent="0.25">
      <c r="D725" s="3"/>
      <c r="E725" s="3"/>
      <c r="F725" s="3"/>
    </row>
    <row r="726" spans="4:6" ht="12.75" customHeight="1" x14ac:dyDescent="0.25">
      <c r="D726" s="3"/>
      <c r="E726" s="3"/>
      <c r="F726" s="3"/>
    </row>
    <row r="727" spans="4:6" ht="12.75" customHeight="1" x14ac:dyDescent="0.25">
      <c r="D727" s="3"/>
      <c r="E727" s="3"/>
      <c r="F727" s="3"/>
    </row>
    <row r="728" spans="4:6" ht="12.75" customHeight="1" x14ac:dyDescent="0.25">
      <c r="D728" s="3"/>
      <c r="E728" s="3"/>
      <c r="F728" s="3"/>
    </row>
    <row r="729" spans="4:6" ht="12.75" customHeight="1" x14ac:dyDescent="0.25">
      <c r="D729" s="3"/>
      <c r="E729" s="3"/>
      <c r="F729" s="3"/>
    </row>
    <row r="730" spans="4:6" ht="12.75" customHeight="1" x14ac:dyDescent="0.25">
      <c r="D730" s="3"/>
      <c r="E730" s="3"/>
      <c r="F730" s="3"/>
    </row>
    <row r="731" spans="4:6" ht="12.75" customHeight="1" x14ac:dyDescent="0.25">
      <c r="D731" s="3"/>
      <c r="E731" s="3"/>
      <c r="F731" s="3"/>
    </row>
    <row r="732" spans="4:6" ht="12.75" customHeight="1" x14ac:dyDescent="0.25">
      <c r="D732" s="3"/>
      <c r="E732" s="3"/>
      <c r="F732" s="3"/>
    </row>
    <row r="733" spans="4:6" ht="12.75" customHeight="1" x14ac:dyDescent="0.25">
      <c r="D733" s="3"/>
      <c r="E733" s="3"/>
      <c r="F733" s="3"/>
    </row>
    <row r="734" spans="4:6" ht="12.75" customHeight="1" x14ac:dyDescent="0.25">
      <c r="D734" s="3"/>
      <c r="E734" s="3"/>
      <c r="F734" s="3"/>
    </row>
    <row r="735" spans="4:6" ht="12.75" customHeight="1" x14ac:dyDescent="0.25">
      <c r="D735" s="3"/>
      <c r="E735" s="3"/>
      <c r="F735" s="3"/>
    </row>
    <row r="736" spans="4:6" ht="12.75" customHeight="1" x14ac:dyDescent="0.25">
      <c r="D736" s="3"/>
      <c r="E736" s="3"/>
      <c r="F736" s="3"/>
    </row>
    <row r="737" spans="4:6" ht="12.75" customHeight="1" x14ac:dyDescent="0.25">
      <c r="D737" s="3"/>
      <c r="E737" s="3"/>
      <c r="F737" s="3"/>
    </row>
    <row r="738" spans="4:6" ht="12.75" customHeight="1" x14ac:dyDescent="0.25">
      <c r="D738" s="3"/>
      <c r="E738" s="3"/>
      <c r="F738" s="3"/>
    </row>
    <row r="739" spans="4:6" ht="12.75" customHeight="1" x14ac:dyDescent="0.25">
      <c r="D739" s="3"/>
      <c r="E739" s="3"/>
      <c r="F739" s="3"/>
    </row>
    <row r="740" spans="4:6" ht="12.75" customHeight="1" x14ac:dyDescent="0.25">
      <c r="D740" s="3"/>
      <c r="E740" s="3"/>
      <c r="F740" s="3"/>
    </row>
    <row r="741" spans="4:6" ht="12.75" customHeight="1" x14ac:dyDescent="0.25">
      <c r="D741" s="3"/>
      <c r="E741" s="3"/>
      <c r="F741" s="3"/>
    </row>
    <row r="742" spans="4:6" ht="12.75" customHeight="1" x14ac:dyDescent="0.25">
      <c r="D742" s="3"/>
      <c r="E742" s="3"/>
      <c r="F742" s="3"/>
    </row>
    <row r="743" spans="4:6" ht="12.75" customHeight="1" x14ac:dyDescent="0.25">
      <c r="D743" s="3"/>
      <c r="E743" s="3"/>
      <c r="F743" s="3"/>
    </row>
    <row r="744" spans="4:6" ht="12.75" customHeight="1" x14ac:dyDescent="0.25">
      <c r="D744" s="3"/>
      <c r="E744" s="3"/>
      <c r="F744" s="3"/>
    </row>
    <row r="745" spans="4:6" ht="12.75" customHeight="1" x14ac:dyDescent="0.25">
      <c r="D745" s="3"/>
      <c r="E745" s="3"/>
      <c r="F745" s="3"/>
    </row>
    <row r="746" spans="4:6" ht="12.75" customHeight="1" x14ac:dyDescent="0.25">
      <c r="D746" s="3"/>
      <c r="E746" s="3"/>
      <c r="F746" s="3"/>
    </row>
    <row r="747" spans="4:6" ht="12.75" customHeight="1" x14ac:dyDescent="0.25">
      <c r="D747" s="3"/>
      <c r="E747" s="3"/>
      <c r="F747" s="3"/>
    </row>
    <row r="748" spans="4:6" ht="12.75" customHeight="1" x14ac:dyDescent="0.25">
      <c r="D748" s="3"/>
      <c r="E748" s="3"/>
      <c r="F748" s="3"/>
    </row>
    <row r="749" spans="4:6" ht="12.75" customHeight="1" x14ac:dyDescent="0.25">
      <c r="D749" s="3"/>
      <c r="E749" s="3"/>
      <c r="F749" s="3"/>
    </row>
    <row r="750" spans="4:6" ht="12.75" customHeight="1" x14ac:dyDescent="0.25">
      <c r="D750" s="3"/>
      <c r="E750" s="3"/>
      <c r="F750" s="3"/>
    </row>
    <row r="751" spans="4:6" ht="12.75" customHeight="1" x14ac:dyDescent="0.25">
      <c r="D751" s="3"/>
      <c r="E751" s="3"/>
      <c r="F751" s="3"/>
    </row>
    <row r="752" spans="4:6" ht="12.75" customHeight="1" x14ac:dyDescent="0.25">
      <c r="D752" s="3"/>
      <c r="E752" s="3"/>
      <c r="F752" s="3"/>
    </row>
    <row r="753" spans="4:6" ht="12.75" customHeight="1" x14ac:dyDescent="0.25">
      <c r="D753" s="3"/>
      <c r="E753" s="3"/>
      <c r="F753" s="3"/>
    </row>
    <row r="754" spans="4:6" ht="12.75" customHeight="1" x14ac:dyDescent="0.25">
      <c r="D754" s="3"/>
      <c r="E754" s="3"/>
      <c r="F754" s="3"/>
    </row>
    <row r="755" spans="4:6" ht="12.75" customHeight="1" x14ac:dyDescent="0.25">
      <c r="D755" s="3"/>
      <c r="E755" s="3"/>
      <c r="F755" s="3"/>
    </row>
    <row r="756" spans="4:6" ht="12.75" customHeight="1" x14ac:dyDescent="0.25">
      <c r="D756" s="3"/>
      <c r="E756" s="3"/>
      <c r="F756" s="3"/>
    </row>
    <row r="757" spans="4:6" ht="12.75" customHeight="1" x14ac:dyDescent="0.25">
      <c r="D757" s="3"/>
      <c r="E757" s="3"/>
      <c r="F757" s="3"/>
    </row>
    <row r="758" spans="4:6" ht="12.75" customHeight="1" x14ac:dyDescent="0.25">
      <c r="D758" s="3"/>
      <c r="E758" s="3"/>
      <c r="F758" s="3"/>
    </row>
    <row r="759" spans="4:6" ht="12.75" customHeight="1" x14ac:dyDescent="0.25">
      <c r="D759" s="3"/>
      <c r="E759" s="3"/>
      <c r="F759" s="3"/>
    </row>
    <row r="760" spans="4:6" ht="12.75" customHeight="1" x14ac:dyDescent="0.25">
      <c r="D760" s="3"/>
      <c r="E760" s="3"/>
      <c r="F760" s="3"/>
    </row>
    <row r="761" spans="4:6" ht="12.75" customHeight="1" x14ac:dyDescent="0.25">
      <c r="D761" s="3"/>
      <c r="E761" s="3"/>
      <c r="F761" s="3"/>
    </row>
    <row r="762" spans="4:6" ht="12.75" customHeight="1" x14ac:dyDescent="0.25">
      <c r="D762" s="3"/>
      <c r="E762" s="3"/>
      <c r="F762" s="3"/>
    </row>
    <row r="763" spans="4:6" ht="12.75" customHeight="1" x14ac:dyDescent="0.25">
      <c r="D763" s="3"/>
      <c r="E763" s="3"/>
      <c r="F763" s="3"/>
    </row>
    <row r="764" spans="4:6" ht="12.75" customHeight="1" x14ac:dyDescent="0.25">
      <c r="D764" s="3"/>
      <c r="E764" s="3"/>
      <c r="F764" s="3"/>
    </row>
    <row r="765" spans="4:6" ht="12.75" customHeight="1" x14ac:dyDescent="0.25">
      <c r="D765" s="3"/>
      <c r="E765" s="3"/>
      <c r="F765" s="3"/>
    </row>
    <row r="766" spans="4:6" ht="12.75" customHeight="1" x14ac:dyDescent="0.25">
      <c r="D766" s="3"/>
      <c r="E766" s="3"/>
      <c r="F766" s="3"/>
    </row>
    <row r="767" spans="4:6" ht="12.75" customHeight="1" x14ac:dyDescent="0.25">
      <c r="D767" s="3"/>
      <c r="E767" s="3"/>
      <c r="F767" s="3"/>
    </row>
    <row r="768" spans="4:6" ht="12.75" customHeight="1" x14ac:dyDescent="0.25">
      <c r="D768" s="3"/>
      <c r="E768" s="3"/>
      <c r="F768" s="3"/>
    </row>
    <row r="769" spans="4:6" ht="12.75" customHeight="1" x14ac:dyDescent="0.25">
      <c r="D769" s="3"/>
      <c r="E769" s="3"/>
      <c r="F769" s="3"/>
    </row>
    <row r="770" spans="4:6" ht="12.75" customHeight="1" x14ac:dyDescent="0.25">
      <c r="D770" s="3"/>
      <c r="E770" s="3"/>
      <c r="F770" s="3"/>
    </row>
    <row r="771" spans="4:6" ht="12.75" customHeight="1" x14ac:dyDescent="0.25">
      <c r="D771" s="3"/>
      <c r="E771" s="3"/>
      <c r="F771" s="3"/>
    </row>
    <row r="772" spans="4:6" ht="12.75" customHeight="1" x14ac:dyDescent="0.25">
      <c r="D772" s="3"/>
      <c r="E772" s="3"/>
      <c r="F772" s="3"/>
    </row>
    <row r="773" spans="4:6" ht="12.75" customHeight="1" x14ac:dyDescent="0.25">
      <c r="D773" s="3"/>
      <c r="E773" s="3"/>
      <c r="F773" s="3"/>
    </row>
    <row r="774" spans="4:6" ht="12.75" customHeight="1" x14ac:dyDescent="0.25">
      <c r="D774" s="3"/>
      <c r="E774" s="3"/>
      <c r="F774" s="3"/>
    </row>
    <row r="775" spans="4:6" ht="12.75" customHeight="1" x14ac:dyDescent="0.25">
      <c r="D775" s="3"/>
      <c r="E775" s="3"/>
      <c r="F775" s="3"/>
    </row>
    <row r="776" spans="4:6" ht="12.75" customHeight="1" x14ac:dyDescent="0.25">
      <c r="D776" s="3"/>
      <c r="E776" s="3"/>
      <c r="F776" s="3"/>
    </row>
    <row r="777" spans="4:6" ht="12.75" customHeight="1" x14ac:dyDescent="0.25">
      <c r="D777" s="3"/>
      <c r="E777" s="3"/>
      <c r="F777" s="3"/>
    </row>
    <row r="778" spans="4:6" ht="12.75" customHeight="1" x14ac:dyDescent="0.25">
      <c r="D778" s="3"/>
      <c r="E778" s="3"/>
      <c r="F778" s="3"/>
    </row>
    <row r="779" spans="4:6" ht="12.75" customHeight="1" x14ac:dyDescent="0.25">
      <c r="D779" s="3"/>
      <c r="E779" s="3"/>
      <c r="F779" s="3"/>
    </row>
    <row r="780" spans="4:6" ht="12.75" customHeight="1" x14ac:dyDescent="0.25">
      <c r="D780" s="3"/>
      <c r="E780" s="3"/>
      <c r="F780" s="3"/>
    </row>
    <row r="781" spans="4:6" ht="12.75" customHeight="1" x14ac:dyDescent="0.25">
      <c r="D781" s="3"/>
      <c r="E781" s="3"/>
      <c r="F781" s="3"/>
    </row>
    <row r="782" spans="4:6" ht="12.75" customHeight="1" x14ac:dyDescent="0.25">
      <c r="D782" s="3"/>
      <c r="E782" s="3"/>
      <c r="F782" s="3"/>
    </row>
    <row r="783" spans="4:6" ht="12.75" customHeight="1" x14ac:dyDescent="0.25">
      <c r="D783" s="3"/>
      <c r="E783" s="3"/>
      <c r="F783" s="3"/>
    </row>
    <row r="784" spans="4:6" ht="12.75" customHeight="1" x14ac:dyDescent="0.25">
      <c r="D784" s="3"/>
      <c r="E784" s="3"/>
      <c r="F784" s="3"/>
    </row>
    <row r="785" spans="4:6" ht="12.75" customHeight="1" x14ac:dyDescent="0.25">
      <c r="D785" s="3"/>
      <c r="E785" s="3"/>
      <c r="F785" s="3"/>
    </row>
    <row r="786" spans="4:6" ht="12.75" customHeight="1" x14ac:dyDescent="0.25">
      <c r="D786" s="3"/>
      <c r="E786" s="3"/>
      <c r="F786" s="3"/>
    </row>
    <row r="787" spans="4:6" ht="12.75" customHeight="1" x14ac:dyDescent="0.25">
      <c r="D787" s="3"/>
      <c r="E787" s="3"/>
      <c r="F787" s="3"/>
    </row>
    <row r="788" spans="4:6" ht="12.75" customHeight="1" x14ac:dyDescent="0.25">
      <c r="D788" s="3"/>
      <c r="E788" s="3"/>
      <c r="F788" s="3"/>
    </row>
    <row r="789" spans="4:6" ht="12.75" customHeight="1" x14ac:dyDescent="0.25">
      <c r="D789" s="3"/>
      <c r="E789" s="3"/>
      <c r="F789" s="3"/>
    </row>
    <row r="790" spans="4:6" ht="12.75" customHeight="1" x14ac:dyDescent="0.25">
      <c r="D790" s="3"/>
      <c r="E790" s="3"/>
      <c r="F790" s="3"/>
    </row>
    <row r="791" spans="4:6" ht="12.75" customHeight="1" x14ac:dyDescent="0.25">
      <c r="D791" s="3"/>
      <c r="E791" s="3"/>
      <c r="F791" s="3"/>
    </row>
    <row r="792" spans="4:6" ht="12.75" customHeight="1" x14ac:dyDescent="0.25">
      <c r="D792" s="3"/>
      <c r="E792" s="3"/>
      <c r="F792" s="3"/>
    </row>
    <row r="793" spans="4:6" ht="12.75" customHeight="1" x14ac:dyDescent="0.25">
      <c r="D793" s="3"/>
      <c r="E793" s="3"/>
      <c r="F793" s="3"/>
    </row>
    <row r="794" spans="4:6" ht="12.75" customHeight="1" x14ac:dyDescent="0.25">
      <c r="D794" s="3"/>
      <c r="E794" s="3"/>
      <c r="F794" s="3"/>
    </row>
    <row r="795" spans="4:6" ht="12.75" customHeight="1" x14ac:dyDescent="0.25">
      <c r="D795" s="3"/>
      <c r="E795" s="3"/>
      <c r="F795" s="3"/>
    </row>
    <row r="796" spans="4:6" ht="12.75" customHeight="1" x14ac:dyDescent="0.25">
      <c r="D796" s="3"/>
      <c r="E796" s="3"/>
      <c r="F796" s="3"/>
    </row>
    <row r="797" spans="4:6" ht="12.75" customHeight="1" x14ac:dyDescent="0.25">
      <c r="D797" s="3"/>
      <c r="E797" s="3"/>
      <c r="F797" s="3"/>
    </row>
    <row r="798" spans="4:6" ht="12.75" customHeight="1" x14ac:dyDescent="0.25">
      <c r="D798" s="3"/>
      <c r="E798" s="3"/>
      <c r="F798" s="3"/>
    </row>
    <row r="799" spans="4:6" ht="12.75" customHeight="1" x14ac:dyDescent="0.25">
      <c r="D799" s="3"/>
      <c r="E799" s="3"/>
      <c r="F799" s="3"/>
    </row>
    <row r="800" spans="4:6" ht="12.75" customHeight="1" x14ac:dyDescent="0.25">
      <c r="D800" s="3"/>
      <c r="E800" s="3"/>
      <c r="F800" s="3"/>
    </row>
    <row r="801" spans="4:6" ht="12.75" customHeight="1" x14ac:dyDescent="0.25">
      <c r="D801" s="3"/>
      <c r="E801" s="3"/>
      <c r="F801" s="3"/>
    </row>
    <row r="802" spans="4:6" ht="12.75" customHeight="1" x14ac:dyDescent="0.25">
      <c r="D802" s="3"/>
      <c r="E802" s="3"/>
      <c r="F802" s="3"/>
    </row>
    <row r="803" spans="4:6" ht="12.75" customHeight="1" x14ac:dyDescent="0.25">
      <c r="D803" s="3"/>
      <c r="E803" s="3"/>
      <c r="F803" s="3"/>
    </row>
    <row r="804" spans="4:6" ht="12.75" customHeight="1" x14ac:dyDescent="0.25">
      <c r="D804" s="3"/>
      <c r="E804" s="3"/>
      <c r="F804" s="3"/>
    </row>
    <row r="805" spans="4:6" ht="12.75" customHeight="1" x14ac:dyDescent="0.25">
      <c r="D805" s="3"/>
      <c r="E805" s="3"/>
      <c r="F805" s="3"/>
    </row>
    <row r="806" spans="4:6" ht="12.75" customHeight="1" x14ac:dyDescent="0.25">
      <c r="D806" s="3"/>
      <c r="E806" s="3"/>
      <c r="F806" s="3"/>
    </row>
    <row r="807" spans="4:6" ht="12.75" customHeight="1" x14ac:dyDescent="0.25">
      <c r="D807" s="3"/>
      <c r="E807" s="3"/>
      <c r="F807" s="3"/>
    </row>
    <row r="808" spans="4:6" ht="12.75" customHeight="1" x14ac:dyDescent="0.25">
      <c r="D808" s="3"/>
      <c r="E808" s="3"/>
      <c r="F808" s="3"/>
    </row>
    <row r="809" spans="4:6" ht="12.75" customHeight="1" x14ac:dyDescent="0.25">
      <c r="D809" s="3"/>
      <c r="E809" s="3"/>
      <c r="F809" s="3"/>
    </row>
    <row r="810" spans="4:6" ht="12.75" customHeight="1" x14ac:dyDescent="0.25">
      <c r="D810" s="3"/>
      <c r="E810" s="3"/>
      <c r="F810" s="3"/>
    </row>
    <row r="811" spans="4:6" ht="12.75" customHeight="1" x14ac:dyDescent="0.25">
      <c r="D811" s="3"/>
      <c r="E811" s="3"/>
      <c r="F811" s="3"/>
    </row>
    <row r="812" spans="4:6" ht="12.75" customHeight="1" x14ac:dyDescent="0.25">
      <c r="D812" s="3"/>
      <c r="E812" s="3"/>
      <c r="F812" s="3"/>
    </row>
    <row r="813" spans="4:6" ht="12.75" customHeight="1" x14ac:dyDescent="0.25">
      <c r="D813" s="3"/>
      <c r="E813" s="3"/>
      <c r="F813" s="3"/>
    </row>
    <row r="814" spans="4:6" ht="12.75" customHeight="1" x14ac:dyDescent="0.25">
      <c r="D814" s="3"/>
      <c r="E814" s="3"/>
      <c r="F814" s="3"/>
    </row>
    <row r="815" spans="4:6" ht="12.75" customHeight="1" x14ac:dyDescent="0.25">
      <c r="D815" s="3"/>
      <c r="E815" s="3"/>
      <c r="F815" s="3"/>
    </row>
    <row r="816" spans="4:6" ht="12.75" customHeight="1" x14ac:dyDescent="0.25">
      <c r="D816" s="3"/>
      <c r="E816" s="3"/>
      <c r="F816" s="3"/>
    </row>
    <row r="817" spans="4:6" ht="12.75" customHeight="1" x14ac:dyDescent="0.25">
      <c r="D817" s="3"/>
      <c r="E817" s="3"/>
      <c r="F817" s="3"/>
    </row>
    <row r="818" spans="4:6" ht="12.75" customHeight="1" x14ac:dyDescent="0.25">
      <c r="D818" s="3"/>
      <c r="E818" s="3"/>
      <c r="F818" s="3"/>
    </row>
    <row r="819" spans="4:6" ht="12.75" customHeight="1" x14ac:dyDescent="0.25">
      <c r="D819" s="3"/>
      <c r="E819" s="3"/>
      <c r="F819" s="3"/>
    </row>
    <row r="820" spans="4:6" ht="12.75" customHeight="1" x14ac:dyDescent="0.25">
      <c r="D820" s="3"/>
      <c r="E820" s="3"/>
      <c r="F820" s="3"/>
    </row>
    <row r="821" spans="4:6" ht="12.75" customHeight="1" x14ac:dyDescent="0.25">
      <c r="D821" s="3"/>
      <c r="E821" s="3"/>
      <c r="F821" s="3"/>
    </row>
    <row r="822" spans="4:6" ht="12.75" customHeight="1" x14ac:dyDescent="0.25">
      <c r="D822" s="3"/>
      <c r="E822" s="3"/>
      <c r="F822" s="3"/>
    </row>
    <row r="823" spans="4:6" ht="12.75" customHeight="1" x14ac:dyDescent="0.25">
      <c r="D823" s="3"/>
      <c r="E823" s="3"/>
      <c r="F823" s="3"/>
    </row>
    <row r="824" spans="4:6" ht="12.75" customHeight="1" x14ac:dyDescent="0.25">
      <c r="D824" s="3"/>
      <c r="E824" s="3"/>
      <c r="F824" s="3"/>
    </row>
    <row r="825" spans="4:6" ht="12.75" customHeight="1" x14ac:dyDescent="0.25">
      <c r="D825" s="3"/>
      <c r="E825" s="3"/>
      <c r="F825" s="3"/>
    </row>
    <row r="826" spans="4:6" ht="12.75" customHeight="1" x14ac:dyDescent="0.25">
      <c r="D826" s="3"/>
      <c r="E826" s="3"/>
      <c r="F826" s="3"/>
    </row>
    <row r="827" spans="4:6" ht="12.75" customHeight="1" x14ac:dyDescent="0.25">
      <c r="D827" s="3"/>
      <c r="E827" s="3"/>
      <c r="F827" s="3"/>
    </row>
    <row r="828" spans="4:6" ht="12.75" customHeight="1" x14ac:dyDescent="0.25">
      <c r="D828" s="3"/>
      <c r="E828" s="3"/>
      <c r="F828" s="3"/>
    </row>
    <row r="829" spans="4:6" ht="12.75" customHeight="1" x14ac:dyDescent="0.25">
      <c r="D829" s="3"/>
      <c r="E829" s="3"/>
      <c r="F829" s="3"/>
    </row>
    <row r="830" spans="4:6" ht="12.75" customHeight="1" x14ac:dyDescent="0.25">
      <c r="D830" s="3"/>
      <c r="E830" s="3"/>
      <c r="F830" s="3"/>
    </row>
    <row r="831" spans="4:6" ht="12.75" customHeight="1" x14ac:dyDescent="0.25">
      <c r="D831" s="3"/>
      <c r="E831" s="3"/>
      <c r="F831" s="3"/>
    </row>
    <row r="832" spans="4:6" ht="12.75" customHeight="1" x14ac:dyDescent="0.25">
      <c r="D832" s="3"/>
      <c r="E832" s="3"/>
      <c r="F832" s="3"/>
    </row>
    <row r="833" spans="4:6" ht="12.75" customHeight="1" x14ac:dyDescent="0.25">
      <c r="D833" s="3"/>
      <c r="E833" s="3"/>
      <c r="F833" s="3"/>
    </row>
    <row r="834" spans="4:6" ht="12.75" customHeight="1" x14ac:dyDescent="0.25">
      <c r="D834" s="3"/>
      <c r="E834" s="3"/>
      <c r="F834" s="3"/>
    </row>
    <row r="835" spans="4:6" ht="12.75" customHeight="1" x14ac:dyDescent="0.25">
      <c r="D835" s="3"/>
      <c r="E835" s="3"/>
      <c r="F835" s="3"/>
    </row>
    <row r="836" spans="4:6" ht="12.75" customHeight="1" x14ac:dyDescent="0.25">
      <c r="D836" s="3"/>
      <c r="E836" s="3"/>
      <c r="F836" s="3"/>
    </row>
    <row r="837" spans="4:6" ht="12.75" customHeight="1" x14ac:dyDescent="0.25">
      <c r="D837" s="3"/>
      <c r="E837" s="3"/>
      <c r="F837" s="3"/>
    </row>
    <row r="838" spans="4:6" ht="12.75" customHeight="1" x14ac:dyDescent="0.25">
      <c r="D838" s="3"/>
      <c r="E838" s="3"/>
      <c r="F838" s="3"/>
    </row>
    <row r="839" spans="4:6" ht="12.75" customHeight="1" x14ac:dyDescent="0.25">
      <c r="D839" s="3"/>
      <c r="E839" s="3"/>
      <c r="F839" s="3"/>
    </row>
    <row r="840" spans="4:6" ht="12.75" customHeight="1" x14ac:dyDescent="0.25">
      <c r="D840" s="3"/>
      <c r="E840" s="3"/>
      <c r="F840" s="3"/>
    </row>
    <row r="841" spans="4:6" ht="12.75" customHeight="1" x14ac:dyDescent="0.25">
      <c r="D841" s="3"/>
      <c r="E841" s="3"/>
      <c r="F841" s="3"/>
    </row>
    <row r="842" spans="4:6" ht="12.75" customHeight="1" x14ac:dyDescent="0.25">
      <c r="D842" s="3"/>
      <c r="E842" s="3"/>
      <c r="F842" s="3"/>
    </row>
    <row r="843" spans="4:6" ht="12.75" customHeight="1" x14ac:dyDescent="0.25">
      <c r="D843" s="3"/>
      <c r="E843" s="3"/>
      <c r="F843" s="3"/>
    </row>
    <row r="844" spans="4:6" ht="12.75" customHeight="1" x14ac:dyDescent="0.25">
      <c r="D844" s="3"/>
      <c r="E844" s="3"/>
      <c r="F844" s="3"/>
    </row>
    <row r="845" spans="4:6" ht="12.75" customHeight="1" x14ac:dyDescent="0.25">
      <c r="D845" s="3"/>
      <c r="E845" s="3"/>
      <c r="F845" s="3"/>
    </row>
    <row r="846" spans="4:6" ht="12.75" customHeight="1" x14ac:dyDescent="0.25">
      <c r="D846" s="3"/>
      <c r="E846" s="3"/>
      <c r="F846" s="3"/>
    </row>
    <row r="847" spans="4:6" ht="12.75" customHeight="1" x14ac:dyDescent="0.25">
      <c r="D847" s="3"/>
      <c r="E847" s="3"/>
      <c r="F847" s="3"/>
    </row>
    <row r="848" spans="4:6" ht="12.75" customHeight="1" x14ac:dyDescent="0.25">
      <c r="D848" s="3"/>
      <c r="E848" s="3"/>
      <c r="F848" s="3"/>
    </row>
    <row r="849" spans="4:6" ht="12.75" customHeight="1" x14ac:dyDescent="0.25">
      <c r="D849" s="3"/>
      <c r="E849" s="3"/>
      <c r="F849" s="3"/>
    </row>
    <row r="850" spans="4:6" ht="12.75" customHeight="1" x14ac:dyDescent="0.25">
      <c r="D850" s="3"/>
      <c r="E850" s="3"/>
      <c r="F850" s="3"/>
    </row>
    <row r="851" spans="4:6" ht="12.75" customHeight="1" x14ac:dyDescent="0.25">
      <c r="D851" s="3"/>
      <c r="E851" s="3"/>
      <c r="F851" s="3"/>
    </row>
    <row r="852" spans="4:6" ht="12.75" customHeight="1" x14ac:dyDescent="0.25">
      <c r="D852" s="3"/>
      <c r="E852" s="3"/>
      <c r="F852" s="3"/>
    </row>
    <row r="853" spans="4:6" ht="12.75" customHeight="1" x14ac:dyDescent="0.25">
      <c r="D853" s="3"/>
      <c r="E853" s="3"/>
      <c r="F853" s="3"/>
    </row>
    <row r="854" spans="4:6" ht="12.75" customHeight="1" x14ac:dyDescent="0.25">
      <c r="D854" s="3"/>
      <c r="E854" s="3"/>
      <c r="F854" s="3"/>
    </row>
    <row r="855" spans="4:6" ht="12.75" customHeight="1" x14ac:dyDescent="0.25">
      <c r="D855" s="3"/>
      <c r="E855" s="3"/>
      <c r="F855" s="3"/>
    </row>
    <row r="856" spans="4:6" ht="12.75" customHeight="1" x14ac:dyDescent="0.25">
      <c r="D856" s="3"/>
      <c r="E856" s="3"/>
      <c r="F856" s="3"/>
    </row>
    <row r="857" spans="4:6" ht="12.75" customHeight="1" x14ac:dyDescent="0.25">
      <c r="D857" s="3"/>
      <c r="E857" s="3"/>
      <c r="F857" s="3"/>
    </row>
    <row r="858" spans="4:6" ht="12.75" customHeight="1" x14ac:dyDescent="0.25">
      <c r="D858" s="3"/>
      <c r="E858" s="3"/>
      <c r="F858" s="3"/>
    </row>
    <row r="859" spans="4:6" ht="12.75" customHeight="1" x14ac:dyDescent="0.25">
      <c r="D859" s="3"/>
      <c r="E859" s="3"/>
      <c r="F859" s="3"/>
    </row>
    <row r="860" spans="4:6" ht="12.75" customHeight="1" x14ac:dyDescent="0.25">
      <c r="D860" s="3"/>
      <c r="E860" s="3"/>
      <c r="F860" s="3"/>
    </row>
    <row r="861" spans="4:6" ht="12.75" customHeight="1" x14ac:dyDescent="0.25">
      <c r="D861" s="3"/>
      <c r="E861" s="3"/>
      <c r="F861" s="3"/>
    </row>
    <row r="862" spans="4:6" ht="12.75" customHeight="1" x14ac:dyDescent="0.25">
      <c r="D862" s="3"/>
      <c r="E862" s="3"/>
      <c r="F862" s="3"/>
    </row>
    <row r="863" spans="4:6" ht="12.75" customHeight="1" x14ac:dyDescent="0.25">
      <c r="D863" s="3"/>
      <c r="E863" s="3"/>
      <c r="F863" s="3"/>
    </row>
    <row r="864" spans="4:6" ht="12.75" customHeight="1" x14ac:dyDescent="0.25">
      <c r="D864" s="3"/>
      <c r="E864" s="3"/>
      <c r="F864" s="3"/>
    </row>
    <row r="865" spans="4:6" ht="12.75" customHeight="1" x14ac:dyDescent="0.25">
      <c r="D865" s="3"/>
      <c r="E865" s="3"/>
      <c r="F865" s="3"/>
    </row>
    <row r="866" spans="4:6" ht="12.75" customHeight="1" x14ac:dyDescent="0.25">
      <c r="D866" s="3"/>
      <c r="E866" s="3"/>
      <c r="F866" s="3"/>
    </row>
    <row r="867" spans="4:6" ht="12.75" customHeight="1" x14ac:dyDescent="0.25">
      <c r="D867" s="3"/>
      <c r="E867" s="3"/>
      <c r="F867" s="3"/>
    </row>
    <row r="868" spans="4:6" ht="12.75" customHeight="1" x14ac:dyDescent="0.25">
      <c r="D868" s="3"/>
      <c r="E868" s="3"/>
      <c r="F868" s="3"/>
    </row>
    <row r="869" spans="4:6" ht="12.75" customHeight="1" x14ac:dyDescent="0.25">
      <c r="D869" s="3"/>
      <c r="E869" s="3"/>
      <c r="F869" s="3"/>
    </row>
    <row r="870" spans="4:6" ht="12.75" customHeight="1" x14ac:dyDescent="0.25">
      <c r="D870" s="3"/>
      <c r="E870" s="3"/>
      <c r="F870" s="3"/>
    </row>
    <row r="871" spans="4:6" ht="12.75" customHeight="1" x14ac:dyDescent="0.25">
      <c r="D871" s="3"/>
      <c r="E871" s="3"/>
      <c r="F871" s="3"/>
    </row>
    <row r="872" spans="4:6" ht="12.75" customHeight="1" x14ac:dyDescent="0.25">
      <c r="D872" s="3"/>
      <c r="E872" s="3"/>
      <c r="F872" s="3"/>
    </row>
    <row r="873" spans="4:6" ht="12.75" customHeight="1" x14ac:dyDescent="0.25">
      <c r="D873" s="3"/>
      <c r="E873" s="3"/>
      <c r="F873" s="3"/>
    </row>
    <row r="874" spans="4:6" ht="12.75" customHeight="1" x14ac:dyDescent="0.25">
      <c r="D874" s="3"/>
      <c r="E874" s="3"/>
      <c r="F874" s="3"/>
    </row>
    <row r="875" spans="4:6" ht="12.75" customHeight="1" x14ac:dyDescent="0.25">
      <c r="D875" s="3"/>
      <c r="E875" s="3"/>
      <c r="F875" s="3"/>
    </row>
    <row r="876" spans="4:6" ht="12.75" customHeight="1" x14ac:dyDescent="0.25">
      <c r="D876" s="3"/>
      <c r="E876" s="3"/>
      <c r="F876" s="3"/>
    </row>
    <row r="877" spans="4:6" ht="12.75" customHeight="1" x14ac:dyDescent="0.25">
      <c r="D877" s="3"/>
      <c r="E877" s="3"/>
      <c r="F877" s="3"/>
    </row>
    <row r="878" spans="4:6" ht="12.75" customHeight="1" x14ac:dyDescent="0.25">
      <c r="D878" s="3"/>
      <c r="E878" s="3"/>
      <c r="F878" s="3"/>
    </row>
    <row r="879" spans="4:6" ht="12.75" customHeight="1" x14ac:dyDescent="0.25">
      <c r="D879" s="3"/>
      <c r="E879" s="3"/>
      <c r="F879" s="3"/>
    </row>
    <row r="880" spans="4:6" ht="12.75" customHeight="1" x14ac:dyDescent="0.25">
      <c r="D880" s="3"/>
      <c r="E880" s="3"/>
      <c r="F880" s="3"/>
    </row>
    <row r="881" spans="4:6" ht="12.75" customHeight="1" x14ac:dyDescent="0.25">
      <c r="D881" s="3"/>
      <c r="E881" s="3"/>
      <c r="F881" s="3"/>
    </row>
    <row r="882" spans="4:6" ht="12.75" customHeight="1" x14ac:dyDescent="0.25">
      <c r="D882" s="3"/>
      <c r="E882" s="3"/>
      <c r="F882" s="3"/>
    </row>
    <row r="883" spans="4:6" ht="12.75" customHeight="1" x14ac:dyDescent="0.25">
      <c r="D883" s="3"/>
      <c r="E883" s="3"/>
      <c r="F883" s="3"/>
    </row>
    <row r="884" spans="4:6" ht="12.75" customHeight="1" x14ac:dyDescent="0.25">
      <c r="D884" s="3"/>
      <c r="E884" s="3"/>
      <c r="F884" s="3"/>
    </row>
    <row r="885" spans="4:6" ht="12.75" customHeight="1" x14ac:dyDescent="0.25">
      <c r="D885" s="3"/>
      <c r="E885" s="3"/>
      <c r="F885" s="3"/>
    </row>
    <row r="886" spans="4:6" ht="12.75" customHeight="1" x14ac:dyDescent="0.25">
      <c r="D886" s="3"/>
      <c r="E886" s="3"/>
      <c r="F886" s="3"/>
    </row>
    <row r="887" spans="4:6" ht="12.75" customHeight="1" x14ac:dyDescent="0.25">
      <c r="D887" s="3"/>
      <c r="E887" s="3"/>
      <c r="F887" s="3"/>
    </row>
    <row r="888" spans="4:6" ht="12.75" customHeight="1" x14ac:dyDescent="0.25">
      <c r="D888" s="3"/>
      <c r="E888" s="3"/>
      <c r="F888" s="3"/>
    </row>
    <row r="889" spans="4:6" ht="12.75" customHeight="1" x14ac:dyDescent="0.25">
      <c r="D889" s="3"/>
      <c r="E889" s="3"/>
      <c r="F889" s="3"/>
    </row>
    <row r="890" spans="4:6" ht="12.75" customHeight="1" x14ac:dyDescent="0.25">
      <c r="D890" s="3"/>
      <c r="E890" s="3"/>
      <c r="F890" s="3"/>
    </row>
    <row r="891" spans="4:6" ht="12.75" customHeight="1" x14ac:dyDescent="0.25">
      <c r="D891" s="3"/>
      <c r="E891" s="3"/>
      <c r="F891" s="3"/>
    </row>
    <row r="892" spans="4:6" ht="12.75" customHeight="1" x14ac:dyDescent="0.25">
      <c r="D892" s="3"/>
      <c r="E892" s="3"/>
      <c r="F892" s="3"/>
    </row>
    <row r="893" spans="4:6" ht="12.75" customHeight="1" x14ac:dyDescent="0.25">
      <c r="D893" s="3"/>
      <c r="E893" s="3"/>
      <c r="F893" s="3"/>
    </row>
    <row r="894" spans="4:6" ht="12.75" customHeight="1" x14ac:dyDescent="0.25">
      <c r="D894" s="3"/>
      <c r="E894" s="3"/>
      <c r="F894" s="3"/>
    </row>
    <row r="895" spans="4:6" ht="12.75" customHeight="1" x14ac:dyDescent="0.25">
      <c r="D895" s="3"/>
      <c r="E895" s="3"/>
      <c r="F895" s="3"/>
    </row>
    <row r="896" spans="4:6" ht="12.75" customHeight="1" x14ac:dyDescent="0.25">
      <c r="D896" s="3"/>
      <c r="E896" s="3"/>
      <c r="F896" s="3"/>
    </row>
    <row r="897" spans="4:6" ht="12.75" customHeight="1" x14ac:dyDescent="0.25">
      <c r="D897" s="3"/>
      <c r="E897" s="3"/>
      <c r="F897" s="3"/>
    </row>
    <row r="898" spans="4:6" ht="12.75" customHeight="1" x14ac:dyDescent="0.25">
      <c r="D898" s="3"/>
      <c r="E898" s="3"/>
      <c r="F898" s="3"/>
    </row>
    <row r="899" spans="4:6" ht="12.75" customHeight="1" x14ac:dyDescent="0.25">
      <c r="D899" s="3"/>
      <c r="E899" s="3"/>
      <c r="F899" s="3"/>
    </row>
    <row r="900" spans="4:6" ht="12.75" customHeight="1" x14ac:dyDescent="0.25">
      <c r="D900" s="3"/>
      <c r="E900" s="3"/>
      <c r="F900" s="3"/>
    </row>
    <row r="901" spans="4:6" ht="12.75" customHeight="1" x14ac:dyDescent="0.25">
      <c r="D901" s="3"/>
      <c r="E901" s="3"/>
      <c r="F901" s="3"/>
    </row>
    <row r="902" spans="4:6" ht="12.75" customHeight="1" x14ac:dyDescent="0.25">
      <c r="D902" s="3"/>
      <c r="E902" s="3"/>
      <c r="F902" s="3"/>
    </row>
    <row r="903" spans="4:6" ht="12.75" customHeight="1" x14ac:dyDescent="0.25">
      <c r="D903" s="3"/>
      <c r="E903" s="3"/>
      <c r="F903" s="3"/>
    </row>
    <row r="904" spans="4:6" ht="12.75" customHeight="1" x14ac:dyDescent="0.25">
      <c r="D904" s="3"/>
      <c r="E904" s="3"/>
      <c r="F904" s="3"/>
    </row>
    <row r="905" spans="4:6" ht="12.75" customHeight="1" x14ac:dyDescent="0.25">
      <c r="D905" s="3"/>
      <c r="E905" s="3"/>
      <c r="F905" s="3"/>
    </row>
    <row r="906" spans="4:6" ht="12.75" customHeight="1" x14ac:dyDescent="0.25">
      <c r="D906" s="3"/>
      <c r="E906" s="3"/>
      <c r="F906" s="3"/>
    </row>
    <row r="907" spans="4:6" ht="12.75" customHeight="1" x14ac:dyDescent="0.25">
      <c r="D907" s="3"/>
      <c r="E907" s="3"/>
      <c r="F907" s="3"/>
    </row>
    <row r="908" spans="4:6" ht="12.75" customHeight="1" x14ac:dyDescent="0.25">
      <c r="D908" s="3"/>
      <c r="E908" s="3"/>
      <c r="F908" s="3"/>
    </row>
    <row r="909" spans="4:6" ht="12.75" customHeight="1" x14ac:dyDescent="0.25">
      <c r="D909" s="3"/>
      <c r="E909" s="3"/>
      <c r="F909" s="3"/>
    </row>
    <row r="910" spans="4:6" ht="12.75" customHeight="1" x14ac:dyDescent="0.25">
      <c r="D910" s="3"/>
      <c r="E910" s="3"/>
      <c r="F910" s="3"/>
    </row>
    <row r="911" spans="4:6" ht="12.75" customHeight="1" x14ac:dyDescent="0.25">
      <c r="D911" s="3"/>
      <c r="E911" s="3"/>
      <c r="F911" s="3"/>
    </row>
    <row r="912" spans="4:6" ht="12.75" customHeight="1" x14ac:dyDescent="0.25">
      <c r="D912" s="3"/>
      <c r="E912" s="3"/>
      <c r="F912" s="3"/>
    </row>
    <row r="913" spans="4:6" ht="12.75" customHeight="1" x14ac:dyDescent="0.25">
      <c r="D913" s="3"/>
      <c r="E913" s="3"/>
      <c r="F913" s="3"/>
    </row>
    <row r="914" spans="4:6" ht="12.75" customHeight="1" x14ac:dyDescent="0.25">
      <c r="D914" s="3"/>
      <c r="E914" s="3"/>
      <c r="F914" s="3"/>
    </row>
    <row r="915" spans="4:6" ht="12.75" customHeight="1" x14ac:dyDescent="0.25">
      <c r="D915" s="3"/>
      <c r="E915" s="3"/>
      <c r="F915" s="3"/>
    </row>
    <row r="916" spans="4:6" ht="12.75" customHeight="1" x14ac:dyDescent="0.25">
      <c r="D916" s="3"/>
      <c r="E916" s="3"/>
      <c r="F916" s="3"/>
    </row>
    <row r="917" spans="4:6" ht="12.75" customHeight="1" x14ac:dyDescent="0.25">
      <c r="D917" s="3"/>
      <c r="E917" s="3"/>
      <c r="F917" s="3"/>
    </row>
    <row r="918" spans="4:6" ht="12.75" customHeight="1" x14ac:dyDescent="0.25">
      <c r="D918" s="3"/>
      <c r="E918" s="3"/>
      <c r="F918" s="3"/>
    </row>
    <row r="919" spans="4:6" ht="12.75" customHeight="1" x14ac:dyDescent="0.25">
      <c r="D919" s="3"/>
      <c r="E919" s="3"/>
      <c r="F919" s="3"/>
    </row>
    <row r="920" spans="4:6" ht="12.75" customHeight="1" x14ac:dyDescent="0.25">
      <c r="D920" s="3"/>
      <c r="E920" s="3"/>
      <c r="F920" s="3"/>
    </row>
    <row r="921" spans="4:6" ht="12.75" customHeight="1" x14ac:dyDescent="0.25">
      <c r="D921" s="3"/>
      <c r="E921" s="3"/>
      <c r="F921" s="3"/>
    </row>
    <row r="922" spans="4:6" ht="12.75" customHeight="1" x14ac:dyDescent="0.25">
      <c r="D922" s="3"/>
      <c r="E922" s="3"/>
      <c r="F922" s="3"/>
    </row>
    <row r="923" spans="4:6" ht="12.75" customHeight="1" x14ac:dyDescent="0.25">
      <c r="D923" s="3"/>
      <c r="E923" s="3"/>
      <c r="F923" s="3"/>
    </row>
    <row r="924" spans="4:6" ht="12.75" customHeight="1" x14ac:dyDescent="0.25">
      <c r="D924" s="3"/>
      <c r="E924" s="3"/>
      <c r="F924" s="3"/>
    </row>
    <row r="925" spans="4:6" ht="12.75" customHeight="1" x14ac:dyDescent="0.25">
      <c r="D925" s="3"/>
      <c r="E925" s="3"/>
      <c r="F925" s="3"/>
    </row>
    <row r="926" spans="4:6" ht="12.75" customHeight="1" x14ac:dyDescent="0.25">
      <c r="D926" s="3"/>
      <c r="E926" s="3"/>
      <c r="F926" s="3"/>
    </row>
    <row r="927" spans="4:6" ht="12.75" customHeight="1" x14ac:dyDescent="0.25">
      <c r="D927" s="3"/>
      <c r="E927" s="3"/>
      <c r="F927" s="3"/>
    </row>
    <row r="928" spans="4:6" ht="12.75" customHeight="1" x14ac:dyDescent="0.25">
      <c r="D928" s="3"/>
      <c r="E928" s="3"/>
      <c r="F928" s="3"/>
    </row>
    <row r="929" spans="4:6" ht="12.75" customHeight="1" x14ac:dyDescent="0.25">
      <c r="D929" s="3"/>
      <c r="E929" s="3"/>
      <c r="F929" s="3"/>
    </row>
    <row r="930" spans="4:6" ht="12.75" customHeight="1" x14ac:dyDescent="0.25">
      <c r="D930" s="3"/>
      <c r="E930" s="3"/>
      <c r="F930" s="3"/>
    </row>
    <row r="931" spans="4:6" ht="12.75" customHeight="1" x14ac:dyDescent="0.25">
      <c r="D931" s="3"/>
      <c r="E931" s="3"/>
      <c r="F931" s="3"/>
    </row>
    <row r="932" spans="4:6" ht="12.75" customHeight="1" x14ac:dyDescent="0.25">
      <c r="D932" s="3"/>
      <c r="E932" s="3"/>
      <c r="F932" s="3"/>
    </row>
    <row r="933" spans="4:6" ht="12.75" customHeight="1" x14ac:dyDescent="0.25">
      <c r="D933" s="3"/>
      <c r="E933" s="3"/>
      <c r="F933" s="3"/>
    </row>
    <row r="934" spans="4:6" ht="12.75" customHeight="1" x14ac:dyDescent="0.25">
      <c r="D934" s="3"/>
      <c r="E934" s="3"/>
      <c r="F934" s="3"/>
    </row>
    <row r="935" spans="4:6" ht="12.75" customHeight="1" x14ac:dyDescent="0.25">
      <c r="D935" s="3"/>
      <c r="E935" s="3"/>
      <c r="F935" s="3"/>
    </row>
    <row r="936" spans="4:6" ht="12.75" customHeight="1" x14ac:dyDescent="0.25">
      <c r="D936" s="3"/>
      <c r="E936" s="3"/>
      <c r="F936" s="3"/>
    </row>
    <row r="937" spans="4:6" ht="12.75" customHeight="1" x14ac:dyDescent="0.25">
      <c r="D937" s="3"/>
      <c r="E937" s="3"/>
      <c r="F937" s="3"/>
    </row>
    <row r="938" spans="4:6" ht="12.75" customHeight="1" x14ac:dyDescent="0.25">
      <c r="D938" s="3"/>
      <c r="E938" s="3"/>
      <c r="F938" s="3"/>
    </row>
    <row r="939" spans="4:6" ht="12.75" customHeight="1" x14ac:dyDescent="0.25">
      <c r="D939" s="3"/>
      <c r="E939" s="3"/>
      <c r="F939" s="3"/>
    </row>
    <row r="940" spans="4:6" ht="12.75" customHeight="1" x14ac:dyDescent="0.25">
      <c r="D940" s="3"/>
      <c r="E940" s="3"/>
      <c r="F940" s="3"/>
    </row>
    <row r="941" spans="4:6" ht="12.75" customHeight="1" x14ac:dyDescent="0.25">
      <c r="D941" s="3"/>
      <c r="E941" s="3"/>
      <c r="F941" s="3"/>
    </row>
    <row r="942" spans="4:6" ht="12.75" customHeight="1" x14ac:dyDescent="0.25">
      <c r="D942" s="3"/>
      <c r="E942" s="3"/>
      <c r="F942" s="3"/>
    </row>
    <row r="943" spans="4:6" ht="12.75" customHeight="1" x14ac:dyDescent="0.25">
      <c r="D943" s="3"/>
      <c r="E943" s="3"/>
      <c r="F943" s="3"/>
    </row>
    <row r="944" spans="4:6" ht="12.75" customHeight="1" x14ac:dyDescent="0.25">
      <c r="D944" s="3"/>
      <c r="E944" s="3"/>
      <c r="F944" s="3"/>
    </row>
    <row r="945" spans="4:6" ht="12.75" customHeight="1" x14ac:dyDescent="0.25">
      <c r="D945" s="3"/>
      <c r="E945" s="3"/>
      <c r="F945" s="3"/>
    </row>
    <row r="946" spans="4:6" ht="12.75" customHeight="1" x14ac:dyDescent="0.25">
      <c r="D946" s="3"/>
      <c r="E946" s="3"/>
      <c r="F946" s="3"/>
    </row>
    <row r="947" spans="4:6" ht="12.75" customHeight="1" x14ac:dyDescent="0.25">
      <c r="D947" s="3"/>
      <c r="E947" s="3"/>
      <c r="F947" s="3"/>
    </row>
    <row r="948" spans="4:6" ht="12.75" customHeight="1" x14ac:dyDescent="0.25">
      <c r="D948" s="3"/>
      <c r="E948" s="3"/>
      <c r="F948" s="3"/>
    </row>
    <row r="949" spans="4:6" ht="12.75" customHeight="1" x14ac:dyDescent="0.25">
      <c r="D949" s="3"/>
      <c r="E949" s="3"/>
      <c r="F949" s="3"/>
    </row>
    <row r="950" spans="4:6" ht="12.75" customHeight="1" x14ac:dyDescent="0.25">
      <c r="D950" s="3"/>
      <c r="E950" s="3"/>
      <c r="F950" s="3"/>
    </row>
    <row r="951" spans="4:6" ht="12.75" customHeight="1" x14ac:dyDescent="0.25">
      <c r="D951" s="3"/>
      <c r="E951" s="3"/>
      <c r="F951" s="3"/>
    </row>
    <row r="952" spans="4:6" ht="12.75" customHeight="1" x14ac:dyDescent="0.25">
      <c r="D952" s="3"/>
      <c r="E952" s="3"/>
      <c r="F952" s="3"/>
    </row>
    <row r="953" spans="4:6" ht="12.75" customHeight="1" x14ac:dyDescent="0.25">
      <c r="D953" s="3"/>
      <c r="E953" s="3"/>
      <c r="F953" s="3"/>
    </row>
    <row r="954" spans="4:6" ht="12.75" customHeight="1" x14ac:dyDescent="0.25">
      <c r="D954" s="3"/>
      <c r="E954" s="3"/>
      <c r="F954" s="3"/>
    </row>
    <row r="955" spans="4:6" ht="12.75" customHeight="1" x14ac:dyDescent="0.25">
      <c r="D955" s="3"/>
      <c r="E955" s="3"/>
      <c r="F955" s="3"/>
    </row>
    <row r="956" spans="4:6" ht="12.75" customHeight="1" x14ac:dyDescent="0.25">
      <c r="D956" s="3"/>
      <c r="E956" s="3"/>
      <c r="F956" s="3"/>
    </row>
    <row r="957" spans="4:6" ht="12.75" customHeight="1" x14ac:dyDescent="0.25">
      <c r="D957" s="3"/>
      <c r="E957" s="3"/>
      <c r="F957" s="3"/>
    </row>
    <row r="958" spans="4:6" ht="12.75" customHeight="1" x14ac:dyDescent="0.25">
      <c r="D958" s="3"/>
      <c r="E958" s="3"/>
      <c r="F958" s="3"/>
    </row>
    <row r="959" spans="4:6" ht="12.75" customHeight="1" x14ac:dyDescent="0.25">
      <c r="D959" s="3"/>
      <c r="E959" s="3"/>
      <c r="F959" s="3"/>
    </row>
    <row r="960" spans="4:6" ht="12.75" customHeight="1" x14ac:dyDescent="0.25">
      <c r="D960" s="3"/>
      <c r="E960" s="3"/>
      <c r="F960" s="3"/>
    </row>
    <row r="961" spans="4:6" ht="12.75" customHeight="1" x14ac:dyDescent="0.25">
      <c r="D961" s="3"/>
      <c r="E961" s="3"/>
      <c r="F961" s="3"/>
    </row>
    <row r="962" spans="4:6" ht="12.75" customHeight="1" x14ac:dyDescent="0.25">
      <c r="D962" s="3"/>
      <c r="E962" s="3"/>
      <c r="F962" s="3"/>
    </row>
    <row r="963" spans="4:6" ht="12.75" customHeight="1" x14ac:dyDescent="0.25">
      <c r="D963" s="3"/>
      <c r="E963" s="3"/>
      <c r="F963" s="3"/>
    </row>
    <row r="964" spans="4:6" ht="12.75" customHeight="1" x14ac:dyDescent="0.25">
      <c r="D964" s="3"/>
      <c r="E964" s="3"/>
      <c r="F964" s="3"/>
    </row>
    <row r="965" spans="4:6" ht="12.75" customHeight="1" x14ac:dyDescent="0.25">
      <c r="D965" s="3"/>
      <c r="E965" s="3"/>
      <c r="F965" s="3"/>
    </row>
    <row r="966" spans="4:6" ht="12.75" customHeight="1" x14ac:dyDescent="0.25">
      <c r="D966" s="3"/>
      <c r="E966" s="3"/>
      <c r="F966" s="3"/>
    </row>
    <row r="967" spans="4:6" ht="12.75" customHeight="1" x14ac:dyDescent="0.25">
      <c r="D967" s="3"/>
      <c r="E967" s="3"/>
      <c r="F967" s="3"/>
    </row>
    <row r="968" spans="4:6" ht="12.75" customHeight="1" x14ac:dyDescent="0.25">
      <c r="D968" s="3"/>
      <c r="E968" s="3"/>
      <c r="F968" s="3"/>
    </row>
    <row r="969" spans="4:6" ht="12.75" customHeight="1" x14ac:dyDescent="0.25">
      <c r="D969" s="3"/>
      <c r="E969" s="3"/>
      <c r="F969" s="3"/>
    </row>
    <row r="970" spans="4:6" ht="12.75" customHeight="1" x14ac:dyDescent="0.25">
      <c r="D970" s="3"/>
      <c r="E970" s="3"/>
      <c r="F970" s="3"/>
    </row>
    <row r="971" spans="4:6" ht="12.75" customHeight="1" x14ac:dyDescent="0.25">
      <c r="D971" s="3"/>
      <c r="E971" s="3"/>
      <c r="F971" s="3"/>
    </row>
    <row r="972" spans="4:6" ht="12.75" customHeight="1" x14ac:dyDescent="0.25">
      <c r="D972" s="3"/>
      <c r="E972" s="3"/>
      <c r="F972" s="3"/>
    </row>
    <row r="973" spans="4:6" ht="12.75" customHeight="1" x14ac:dyDescent="0.25">
      <c r="D973" s="3"/>
      <c r="E973" s="3"/>
      <c r="F973" s="3"/>
    </row>
    <row r="974" spans="4:6" ht="12.75" customHeight="1" x14ac:dyDescent="0.25">
      <c r="D974" s="3"/>
      <c r="E974" s="3"/>
      <c r="F974" s="3"/>
    </row>
    <row r="975" spans="4:6" ht="12.75" customHeight="1" x14ac:dyDescent="0.25">
      <c r="D975" s="3"/>
      <c r="E975" s="3"/>
      <c r="F975" s="3"/>
    </row>
    <row r="976" spans="4:6" ht="12.75" customHeight="1" x14ac:dyDescent="0.25">
      <c r="D976" s="3"/>
      <c r="E976" s="3"/>
      <c r="F976" s="3"/>
    </row>
    <row r="977" spans="4:6" ht="12.75" customHeight="1" x14ac:dyDescent="0.25">
      <c r="D977" s="3"/>
      <c r="E977" s="3"/>
      <c r="F977" s="3"/>
    </row>
    <row r="978" spans="4:6" ht="12.75" customHeight="1" x14ac:dyDescent="0.25">
      <c r="D978" s="3"/>
      <c r="E978" s="3"/>
      <c r="F978" s="3"/>
    </row>
    <row r="979" spans="4:6" ht="12.75" customHeight="1" x14ac:dyDescent="0.25">
      <c r="D979" s="3"/>
      <c r="E979" s="3"/>
      <c r="F979" s="3"/>
    </row>
    <row r="980" spans="4:6" ht="12.75" customHeight="1" x14ac:dyDescent="0.25">
      <c r="D980" s="3"/>
      <c r="E980" s="3"/>
      <c r="F980" s="3"/>
    </row>
    <row r="981" spans="4:6" ht="12.75" customHeight="1" x14ac:dyDescent="0.25">
      <c r="D981" s="3"/>
      <c r="E981" s="3"/>
      <c r="F981" s="3"/>
    </row>
    <row r="982" spans="4:6" ht="12.75" customHeight="1" x14ac:dyDescent="0.25">
      <c r="D982" s="3"/>
      <c r="E982" s="3"/>
      <c r="F982" s="3"/>
    </row>
    <row r="983" spans="4:6" ht="12.75" customHeight="1" x14ac:dyDescent="0.25">
      <c r="D983" s="3"/>
      <c r="E983" s="3"/>
      <c r="F983" s="3"/>
    </row>
    <row r="984" spans="4:6" ht="12.75" customHeight="1" x14ac:dyDescent="0.25">
      <c r="D984" s="3"/>
      <c r="E984" s="3"/>
      <c r="F984" s="3"/>
    </row>
    <row r="985" spans="4:6" ht="12.75" customHeight="1" x14ac:dyDescent="0.25">
      <c r="D985" s="3"/>
      <c r="E985" s="3"/>
      <c r="F985" s="3"/>
    </row>
    <row r="986" spans="4:6" ht="12.75" customHeight="1" x14ac:dyDescent="0.25">
      <c r="D986" s="3"/>
      <c r="E986" s="3"/>
      <c r="F986" s="3"/>
    </row>
    <row r="987" spans="4:6" ht="12.75" customHeight="1" x14ac:dyDescent="0.25">
      <c r="D987" s="3"/>
      <c r="E987" s="3"/>
      <c r="F987" s="3"/>
    </row>
    <row r="988" spans="4:6" ht="12.75" customHeight="1" x14ac:dyDescent="0.25">
      <c r="D988" s="3"/>
      <c r="E988" s="3"/>
      <c r="F988" s="3"/>
    </row>
    <row r="989" spans="4:6" ht="12.75" customHeight="1" x14ac:dyDescent="0.25">
      <c r="D989" s="3"/>
      <c r="E989" s="3"/>
      <c r="F989" s="3"/>
    </row>
    <row r="990" spans="4:6" ht="12.75" customHeight="1" x14ac:dyDescent="0.25">
      <c r="D990" s="3"/>
      <c r="E990" s="3"/>
      <c r="F990" s="3"/>
    </row>
    <row r="991" spans="4:6" ht="12.75" customHeight="1" x14ac:dyDescent="0.25">
      <c r="D991" s="3"/>
      <c r="E991" s="3"/>
      <c r="F991" s="3"/>
    </row>
    <row r="992" spans="4:6" ht="12.75" customHeight="1" x14ac:dyDescent="0.25">
      <c r="D992" s="3"/>
      <c r="E992" s="3"/>
      <c r="F992" s="3"/>
    </row>
    <row r="993" spans="4:6" ht="12.75" customHeight="1" x14ac:dyDescent="0.25">
      <c r="D993" s="3"/>
      <c r="E993" s="3"/>
      <c r="F993" s="3"/>
    </row>
    <row r="994" spans="4:6" ht="12.75" customHeight="1" x14ac:dyDescent="0.25">
      <c r="D994" s="3"/>
      <c r="E994" s="3"/>
      <c r="F994" s="3"/>
    </row>
    <row r="995" spans="4:6" ht="12.75" customHeight="1" x14ac:dyDescent="0.25">
      <c r="D995" s="3"/>
      <c r="E995" s="3"/>
      <c r="F995" s="3"/>
    </row>
    <row r="996" spans="4:6" ht="12.75" customHeight="1" x14ac:dyDescent="0.25">
      <c r="D996" s="3"/>
      <c r="E996" s="3"/>
      <c r="F996" s="3"/>
    </row>
    <row r="997" spans="4:6" ht="12.75" customHeight="1" x14ac:dyDescent="0.25">
      <c r="D997" s="3"/>
      <c r="E997" s="3"/>
      <c r="F997" s="3"/>
    </row>
    <row r="998" spans="4:6" ht="12.75" customHeight="1" x14ac:dyDescent="0.25">
      <c r="D998" s="3"/>
      <c r="E998" s="3"/>
      <c r="F998" s="3"/>
    </row>
    <row r="999" spans="4:6" ht="12.75" customHeight="1" x14ac:dyDescent="0.25">
      <c r="D999" s="3"/>
      <c r="E999" s="3"/>
      <c r="F999" s="3"/>
    </row>
    <row r="1000" spans="4:6" ht="12.75" customHeight="1" x14ac:dyDescent="0.25">
      <c r="D1000" s="3"/>
      <c r="E1000" s="3"/>
      <c r="F1000" s="3"/>
    </row>
  </sheetData>
  <mergeCells count="4">
    <mergeCell ref="I3:M5"/>
    <mergeCell ref="I6:M8"/>
    <mergeCell ref="I10:M12"/>
    <mergeCell ref="I13:M15"/>
  </mergeCells>
  <conditionalFormatting sqref="G3:G15 G17:G1000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G3:G15 G17:G1000">
    <cfRule type="cellIs" dxfId="3" priority="2" stopIfTrue="1" operator="equal">
      <formula>"error"</formula>
    </cfRule>
  </conditionalFormatting>
  <conditionalFormatting sqref="G3:G15 G17:G1000">
    <cfRule type="cellIs" dxfId="2" priority="3" stopIfTrue="1" operator="equal">
      <formula>"OK"</formula>
    </cfRule>
  </conditionalFormatting>
  <conditionalFormatting sqref="I13">
    <cfRule type="colorScale" priority="4">
      <colorScale>
        <cfvo type="formula" val="0.19"/>
        <cfvo type="formula" val="0.2"/>
        <cfvo type="formula" val="0.5"/>
        <color rgb="FF92D050"/>
        <color rgb="FFFFEB84"/>
        <color rgb="FFD99594"/>
      </colorScale>
    </cfRule>
  </conditionalFormatting>
  <conditionalFormatting sqref="I6:M8">
    <cfRule type="colorScale" priority="5">
      <colorScale>
        <cfvo type="formula" val="0.19"/>
        <cfvo type="formula" val="0.2"/>
        <cfvo type="formula" val="0.5"/>
        <color rgb="FF92D050"/>
        <color rgb="FFFFEB84"/>
        <color rgb="FFD99594"/>
      </colorScale>
    </cfRule>
  </conditionalFormatting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00"/>
  <sheetViews>
    <sheetView workbookViewId="0"/>
  </sheetViews>
  <sheetFormatPr baseColWidth="10" defaultColWidth="12.6328125" defaultRowHeight="15" customHeight="1" x14ac:dyDescent="0.25"/>
  <cols>
    <col min="1" max="1" width="10.6328125" customWidth="1"/>
    <col min="2" max="3" width="12.26953125" customWidth="1"/>
    <col min="4" max="4" width="18" customWidth="1"/>
    <col min="5" max="5" width="3.7265625" hidden="1" customWidth="1"/>
    <col min="6" max="6" width="3.90625" hidden="1" customWidth="1"/>
    <col min="7" max="7" width="20.08984375" customWidth="1"/>
    <col min="8" max="8" width="4" customWidth="1"/>
    <col min="9" max="26" width="10.6328125" customWidth="1"/>
  </cols>
  <sheetData>
    <row r="1" spans="2:13" ht="12.75" customHeight="1" x14ac:dyDescent="0.25">
      <c r="D1" s="3"/>
      <c r="E1" s="3"/>
      <c r="F1" s="3"/>
    </row>
    <row r="2" spans="2:13" ht="12.75" customHeight="1" x14ac:dyDescent="0.25">
      <c r="D2" s="3"/>
      <c r="E2" s="3"/>
      <c r="F2" s="3"/>
    </row>
    <row r="3" spans="2:13" ht="24" customHeight="1" x14ac:dyDescent="0.4">
      <c r="B3" s="30" t="s">
        <v>33</v>
      </c>
      <c r="C3" s="21" t="s">
        <v>23</v>
      </c>
      <c r="D3" s="21" t="s">
        <v>24</v>
      </c>
      <c r="E3" s="21"/>
      <c r="F3" s="21"/>
      <c r="G3" s="21"/>
      <c r="H3" s="3"/>
      <c r="I3" s="48" t="s">
        <v>25</v>
      </c>
      <c r="J3" s="49"/>
      <c r="K3" s="49"/>
      <c r="L3" s="49"/>
      <c r="M3" s="50"/>
    </row>
    <row r="4" spans="2:13" ht="24" customHeight="1" x14ac:dyDescent="0.4">
      <c r="B4" s="21">
        <v>1</v>
      </c>
      <c r="C4" s="21">
        <v>10</v>
      </c>
      <c r="D4" s="21">
        <v>9</v>
      </c>
      <c r="E4" s="21">
        <f>C4-TOTAL!G4</f>
        <v>0</v>
      </c>
      <c r="F4" s="21">
        <f>D4-TOTAL!H4</f>
        <v>0</v>
      </c>
      <c r="G4" s="21" t="str">
        <f t="shared" ref="G4:G14" si="0">IF(AND(E4=0,F4=0),IF(B4="T","OKPELEA","OK"),IF(B4="T","ERRORPELEA","ERROR"))</f>
        <v>OK</v>
      </c>
      <c r="H4" s="3"/>
      <c r="I4" s="51"/>
      <c r="J4" s="52"/>
      <c r="K4" s="52"/>
      <c r="L4" s="52"/>
      <c r="M4" s="53"/>
    </row>
    <row r="5" spans="2:13" ht="24" customHeight="1" x14ac:dyDescent="0.4">
      <c r="B5" s="21">
        <v>2</v>
      </c>
      <c r="C5" s="21">
        <v>10</v>
      </c>
      <c r="D5" s="21">
        <v>9</v>
      </c>
      <c r="E5" s="21">
        <f>C5-TOTAL!G5</f>
        <v>0</v>
      </c>
      <c r="F5" s="21">
        <f>D5-TOTAL!H5</f>
        <v>0</v>
      </c>
      <c r="G5" s="21" t="str">
        <f t="shared" si="0"/>
        <v>OK</v>
      </c>
      <c r="H5" s="3"/>
      <c r="I5" s="54"/>
      <c r="J5" s="55"/>
      <c r="K5" s="55"/>
      <c r="L5" s="55"/>
      <c r="M5" s="56"/>
    </row>
    <row r="6" spans="2:13" ht="24" customHeight="1" x14ac:dyDescent="0.4">
      <c r="B6" s="21">
        <v>3</v>
      </c>
      <c r="C6" s="21">
        <v>10</v>
      </c>
      <c r="D6" s="21">
        <v>9</v>
      </c>
      <c r="E6" s="21">
        <f>C6-TOTAL!G6</f>
        <v>0</v>
      </c>
      <c r="F6" s="21">
        <f>D6-TOTAL!H6</f>
        <v>0</v>
      </c>
      <c r="G6" s="21" t="str">
        <f t="shared" si="0"/>
        <v>OK</v>
      </c>
      <c r="H6" s="3"/>
      <c r="I6" s="57">
        <f>COUNTIF(G4:G13,"ERROR")*1/10</f>
        <v>0</v>
      </c>
      <c r="J6" s="49"/>
      <c r="K6" s="49"/>
      <c r="L6" s="49"/>
      <c r="M6" s="50"/>
    </row>
    <row r="7" spans="2:13" ht="24" customHeight="1" x14ac:dyDescent="0.4">
      <c r="B7" s="21">
        <v>4</v>
      </c>
      <c r="C7" s="21">
        <v>9</v>
      </c>
      <c r="D7" s="21">
        <v>10</v>
      </c>
      <c r="E7" s="21">
        <f>C7-TOTAL!G7</f>
        <v>0</v>
      </c>
      <c r="F7" s="21">
        <f>D7-TOTAL!H7</f>
        <v>0</v>
      </c>
      <c r="G7" s="21" t="str">
        <f t="shared" si="0"/>
        <v>OK</v>
      </c>
      <c r="H7" s="3"/>
      <c r="I7" s="51"/>
      <c r="J7" s="52"/>
      <c r="K7" s="52"/>
      <c r="L7" s="52"/>
      <c r="M7" s="53"/>
    </row>
    <row r="8" spans="2:13" ht="24" customHeight="1" x14ac:dyDescent="0.4">
      <c r="B8" s="21">
        <v>5</v>
      </c>
      <c r="C8" s="21">
        <v>9</v>
      </c>
      <c r="D8" s="21">
        <v>10</v>
      </c>
      <c r="E8" s="21">
        <f>C8-TOTAL!G8</f>
        <v>0</v>
      </c>
      <c r="F8" s="21">
        <f>D8-TOTAL!H8</f>
        <v>0</v>
      </c>
      <c r="G8" s="21" t="str">
        <f t="shared" si="0"/>
        <v>OK</v>
      </c>
      <c r="H8" s="3"/>
      <c r="I8" s="54"/>
      <c r="J8" s="55"/>
      <c r="K8" s="55"/>
      <c r="L8" s="55"/>
      <c r="M8" s="56"/>
    </row>
    <row r="9" spans="2:13" ht="24" customHeight="1" x14ac:dyDescent="0.4">
      <c r="B9" s="21">
        <v>6</v>
      </c>
      <c r="C9" s="23">
        <v>10</v>
      </c>
      <c r="D9" s="23">
        <v>9</v>
      </c>
      <c r="E9" s="21">
        <f>C9-TOTAL!G9</f>
        <v>0</v>
      </c>
      <c r="F9" s="21">
        <f>D9-TOTAL!H9</f>
        <v>0</v>
      </c>
      <c r="G9" s="21" t="str">
        <f t="shared" si="0"/>
        <v>OK</v>
      </c>
      <c r="H9" s="3"/>
    </row>
    <row r="10" spans="2:13" ht="24" customHeight="1" x14ac:dyDescent="0.4">
      <c r="B10" s="21">
        <v>7</v>
      </c>
      <c r="C10" s="21">
        <v>10</v>
      </c>
      <c r="D10" s="21">
        <v>9</v>
      </c>
      <c r="E10" s="21">
        <f>C10-TOTAL!G10</f>
        <v>0</v>
      </c>
      <c r="F10" s="21">
        <f>D10-TOTAL!H10</f>
        <v>0</v>
      </c>
      <c r="G10" s="21" t="str">
        <f t="shared" si="0"/>
        <v>OK</v>
      </c>
      <c r="H10" s="3"/>
      <c r="I10" s="48" t="s">
        <v>31</v>
      </c>
      <c r="J10" s="49"/>
      <c r="K10" s="49"/>
      <c r="L10" s="49"/>
      <c r="M10" s="50"/>
    </row>
    <row r="11" spans="2:13" ht="24" customHeight="1" x14ac:dyDescent="0.4">
      <c r="B11" s="21">
        <v>8</v>
      </c>
      <c r="C11" s="21">
        <v>10</v>
      </c>
      <c r="D11" s="21">
        <v>9</v>
      </c>
      <c r="E11" s="21">
        <f>C11-TOTAL!G11</f>
        <v>0</v>
      </c>
      <c r="F11" s="21">
        <f>D11-TOTAL!H11</f>
        <v>0</v>
      </c>
      <c r="G11" s="21" t="str">
        <f t="shared" si="0"/>
        <v>OK</v>
      </c>
      <c r="H11" s="3"/>
      <c r="I11" s="51"/>
      <c r="J11" s="52"/>
      <c r="K11" s="52"/>
      <c r="L11" s="52"/>
      <c r="M11" s="53"/>
    </row>
    <row r="12" spans="2:13" ht="24" customHeight="1" x14ac:dyDescent="0.4">
      <c r="B12" s="21">
        <v>9</v>
      </c>
      <c r="C12" s="31">
        <v>10</v>
      </c>
      <c r="D12" s="31">
        <v>9</v>
      </c>
      <c r="E12" s="21">
        <f>C12-TOTAL!G12</f>
        <v>0</v>
      </c>
      <c r="F12" s="21">
        <f>D12-TOTAL!H12</f>
        <v>0</v>
      </c>
      <c r="G12" s="21" t="str">
        <f t="shared" si="0"/>
        <v>OK</v>
      </c>
      <c r="H12" s="3"/>
      <c r="I12" s="54"/>
      <c r="J12" s="55"/>
      <c r="K12" s="55"/>
      <c r="L12" s="55"/>
      <c r="M12" s="56"/>
    </row>
    <row r="13" spans="2:13" ht="24" customHeight="1" x14ac:dyDescent="0.4">
      <c r="B13" s="21">
        <v>10</v>
      </c>
      <c r="C13" s="31">
        <v>10</v>
      </c>
      <c r="D13" s="31">
        <v>9</v>
      </c>
      <c r="E13" s="21">
        <f>C13-TOTAL!G13</f>
        <v>0</v>
      </c>
      <c r="F13" s="21">
        <f>D13-TOTAL!H13</f>
        <v>0</v>
      </c>
      <c r="G13" s="21" t="str">
        <f t="shared" si="0"/>
        <v>OK</v>
      </c>
      <c r="H13" s="3"/>
      <c r="I13" s="58">
        <v>0.2</v>
      </c>
      <c r="J13" s="49"/>
      <c r="K13" s="49"/>
      <c r="L13" s="49"/>
      <c r="M13" s="50"/>
    </row>
    <row r="14" spans="2:13" ht="24" customHeight="1" x14ac:dyDescent="0.4">
      <c r="B14" s="21" t="s">
        <v>3</v>
      </c>
      <c r="C14" s="21">
        <f t="shared" ref="C14:D14" si="1">SUM(C4:C13)</f>
        <v>98</v>
      </c>
      <c r="D14" s="21">
        <f t="shared" si="1"/>
        <v>92</v>
      </c>
      <c r="E14" s="21">
        <f>C14-TOTAL!G14</f>
        <v>0</v>
      </c>
      <c r="F14" s="21">
        <f>D14-TOTAL!H14</f>
        <v>0</v>
      </c>
      <c r="G14" s="21" t="str">
        <f t="shared" si="0"/>
        <v>OKPELEA</v>
      </c>
      <c r="H14" s="3"/>
      <c r="I14" s="51"/>
      <c r="J14" s="52"/>
      <c r="K14" s="52"/>
      <c r="L14" s="52"/>
      <c r="M14" s="53"/>
    </row>
    <row r="15" spans="2:13" ht="24" customHeight="1" x14ac:dyDescent="0.4">
      <c r="B15" s="29"/>
      <c r="C15" s="29"/>
      <c r="D15" s="21" t="s">
        <v>27</v>
      </c>
      <c r="E15" s="21"/>
      <c r="F15" s="21"/>
      <c r="G15" s="21">
        <f>COUNTIF(G4:G13,"error")</f>
        <v>0</v>
      </c>
      <c r="I15" s="54"/>
      <c r="J15" s="55"/>
      <c r="K15" s="55"/>
      <c r="L15" s="55"/>
      <c r="M15" s="56"/>
    </row>
    <row r="16" spans="2:13" ht="12.75" customHeight="1" x14ac:dyDescent="0.25">
      <c r="D16" s="3"/>
      <c r="E16" s="3"/>
      <c r="F16" s="3"/>
    </row>
    <row r="17" spans="4:6" ht="12.75" customHeight="1" x14ac:dyDescent="0.25">
      <c r="D17" s="3"/>
      <c r="E17" s="3"/>
      <c r="F17" s="3"/>
    </row>
    <row r="18" spans="4:6" ht="12.75" customHeight="1" x14ac:dyDescent="0.25">
      <c r="D18" s="3"/>
      <c r="E18" s="3"/>
      <c r="F18" s="3"/>
    </row>
    <row r="19" spans="4:6" ht="12.75" customHeight="1" x14ac:dyDescent="0.25">
      <c r="D19" s="3"/>
      <c r="E19" s="3"/>
      <c r="F19" s="3"/>
    </row>
    <row r="20" spans="4:6" ht="12.75" customHeight="1" x14ac:dyDescent="0.25">
      <c r="D20" s="3"/>
      <c r="E20" s="3"/>
      <c r="F20" s="3"/>
    </row>
    <row r="21" spans="4:6" ht="12.75" customHeight="1" x14ac:dyDescent="0.25">
      <c r="D21" s="3"/>
      <c r="E21" s="3"/>
      <c r="F21" s="3"/>
    </row>
    <row r="22" spans="4:6" ht="12.75" customHeight="1" x14ac:dyDescent="0.25">
      <c r="D22" s="3"/>
      <c r="E22" s="3"/>
      <c r="F22" s="3"/>
    </row>
    <row r="23" spans="4:6" ht="12.75" customHeight="1" x14ac:dyDescent="0.25">
      <c r="D23" s="3"/>
      <c r="E23" s="3"/>
      <c r="F23" s="3"/>
    </row>
    <row r="24" spans="4:6" ht="12.75" customHeight="1" x14ac:dyDescent="0.25">
      <c r="D24" s="3"/>
      <c r="E24" s="3"/>
      <c r="F24" s="3"/>
    </row>
    <row r="25" spans="4:6" ht="12.75" customHeight="1" x14ac:dyDescent="0.25">
      <c r="D25" s="3"/>
      <c r="E25" s="3"/>
      <c r="F25" s="3"/>
    </row>
    <row r="26" spans="4:6" ht="12.75" customHeight="1" x14ac:dyDescent="0.25">
      <c r="D26" s="3"/>
      <c r="E26" s="3"/>
      <c r="F26" s="3"/>
    </row>
    <row r="27" spans="4:6" ht="12.75" customHeight="1" x14ac:dyDescent="0.25">
      <c r="D27" s="3"/>
      <c r="E27" s="3"/>
      <c r="F27" s="3"/>
    </row>
    <row r="28" spans="4:6" ht="12.75" customHeight="1" x14ac:dyDescent="0.25">
      <c r="D28" s="3"/>
      <c r="E28" s="3"/>
      <c r="F28" s="3"/>
    </row>
    <row r="29" spans="4:6" ht="12.75" customHeight="1" x14ac:dyDescent="0.25">
      <c r="D29" s="3"/>
      <c r="E29" s="3"/>
      <c r="F29" s="3"/>
    </row>
    <row r="30" spans="4:6" ht="12.75" customHeight="1" x14ac:dyDescent="0.25">
      <c r="D30" s="3"/>
      <c r="E30" s="3"/>
      <c r="F30" s="3"/>
    </row>
    <row r="31" spans="4:6" ht="12.75" customHeight="1" x14ac:dyDescent="0.25">
      <c r="D31" s="3"/>
      <c r="E31" s="3"/>
      <c r="F31" s="3"/>
    </row>
    <row r="32" spans="4:6" ht="12.75" customHeight="1" x14ac:dyDescent="0.25">
      <c r="D32" s="3"/>
      <c r="E32" s="3"/>
      <c r="F32" s="3"/>
    </row>
    <row r="33" spans="4:6" ht="12.75" customHeight="1" x14ac:dyDescent="0.25">
      <c r="D33" s="3"/>
      <c r="E33" s="3"/>
      <c r="F33" s="3"/>
    </row>
    <row r="34" spans="4:6" ht="12.75" customHeight="1" x14ac:dyDescent="0.25">
      <c r="D34" s="3"/>
      <c r="E34" s="3"/>
      <c r="F34" s="3"/>
    </row>
    <row r="35" spans="4:6" ht="12.75" customHeight="1" x14ac:dyDescent="0.25">
      <c r="D35" s="3"/>
      <c r="E35" s="3"/>
      <c r="F35" s="3"/>
    </row>
    <row r="36" spans="4:6" ht="12.75" customHeight="1" x14ac:dyDescent="0.25">
      <c r="D36" s="3"/>
      <c r="E36" s="3"/>
      <c r="F36" s="3"/>
    </row>
    <row r="37" spans="4:6" ht="12.75" customHeight="1" x14ac:dyDescent="0.25">
      <c r="D37" s="3"/>
      <c r="E37" s="3"/>
      <c r="F37" s="3"/>
    </row>
    <row r="38" spans="4:6" ht="12.75" customHeight="1" x14ac:dyDescent="0.25">
      <c r="D38" s="3"/>
      <c r="E38" s="3"/>
      <c r="F38" s="3"/>
    </row>
    <row r="39" spans="4:6" ht="12.75" customHeight="1" x14ac:dyDescent="0.25">
      <c r="D39" s="3"/>
      <c r="E39" s="3"/>
      <c r="F39" s="3"/>
    </row>
    <row r="40" spans="4:6" ht="12.75" customHeight="1" x14ac:dyDescent="0.25">
      <c r="D40" s="3"/>
      <c r="E40" s="3"/>
      <c r="F40" s="3"/>
    </row>
    <row r="41" spans="4:6" ht="12.75" customHeight="1" x14ac:dyDescent="0.25">
      <c r="D41" s="3"/>
      <c r="E41" s="3"/>
      <c r="F41" s="3"/>
    </row>
    <row r="42" spans="4:6" ht="12.75" customHeight="1" x14ac:dyDescent="0.25">
      <c r="D42" s="3"/>
      <c r="E42" s="3"/>
      <c r="F42" s="3"/>
    </row>
    <row r="43" spans="4:6" ht="12.75" customHeight="1" x14ac:dyDescent="0.25">
      <c r="D43" s="3"/>
      <c r="E43" s="3"/>
      <c r="F43" s="3"/>
    </row>
    <row r="44" spans="4:6" ht="12.75" customHeight="1" x14ac:dyDescent="0.25">
      <c r="D44" s="3"/>
      <c r="E44" s="3"/>
      <c r="F44" s="3"/>
    </row>
    <row r="45" spans="4:6" ht="12.75" customHeight="1" x14ac:dyDescent="0.25">
      <c r="D45" s="3"/>
      <c r="E45" s="3"/>
      <c r="F45" s="3"/>
    </row>
    <row r="46" spans="4:6" ht="12.75" customHeight="1" x14ac:dyDescent="0.25">
      <c r="D46" s="3"/>
      <c r="E46" s="3"/>
      <c r="F46" s="3"/>
    </row>
    <row r="47" spans="4:6" ht="12.75" customHeight="1" x14ac:dyDescent="0.25">
      <c r="D47" s="3"/>
      <c r="E47" s="3"/>
      <c r="F47" s="3"/>
    </row>
    <row r="48" spans="4:6" ht="12.75" customHeight="1" x14ac:dyDescent="0.25">
      <c r="D48" s="3"/>
      <c r="E48" s="3"/>
      <c r="F48" s="3"/>
    </row>
    <row r="49" spans="4:6" ht="12.75" customHeight="1" x14ac:dyDescent="0.25">
      <c r="D49" s="3"/>
      <c r="E49" s="3"/>
      <c r="F49" s="3"/>
    </row>
    <row r="50" spans="4:6" ht="12.75" customHeight="1" x14ac:dyDescent="0.25">
      <c r="D50" s="3"/>
      <c r="E50" s="3"/>
      <c r="F50" s="3"/>
    </row>
    <row r="51" spans="4:6" ht="12.75" customHeight="1" x14ac:dyDescent="0.25">
      <c r="D51" s="3"/>
      <c r="E51" s="3"/>
      <c r="F51" s="3"/>
    </row>
    <row r="52" spans="4:6" ht="12.75" customHeight="1" x14ac:dyDescent="0.25">
      <c r="D52" s="3"/>
      <c r="E52" s="3"/>
      <c r="F52" s="3"/>
    </row>
    <row r="53" spans="4:6" ht="12.75" customHeight="1" x14ac:dyDescent="0.25">
      <c r="D53" s="3"/>
      <c r="E53" s="3"/>
      <c r="F53" s="3"/>
    </row>
    <row r="54" spans="4:6" ht="12.75" customHeight="1" x14ac:dyDescent="0.25">
      <c r="D54" s="3"/>
      <c r="E54" s="3"/>
      <c r="F54" s="3"/>
    </row>
    <row r="55" spans="4:6" ht="12.75" customHeight="1" x14ac:dyDescent="0.25">
      <c r="D55" s="3"/>
      <c r="E55" s="3"/>
      <c r="F55" s="3"/>
    </row>
    <row r="56" spans="4:6" ht="12.75" customHeight="1" x14ac:dyDescent="0.25">
      <c r="D56" s="3"/>
      <c r="E56" s="3"/>
      <c r="F56" s="3"/>
    </row>
    <row r="57" spans="4:6" ht="12.75" customHeight="1" x14ac:dyDescent="0.25">
      <c r="D57" s="3"/>
      <c r="E57" s="3"/>
      <c r="F57" s="3"/>
    </row>
    <row r="58" spans="4:6" ht="12.75" customHeight="1" x14ac:dyDescent="0.25">
      <c r="D58" s="3"/>
      <c r="E58" s="3"/>
      <c r="F58" s="3"/>
    </row>
    <row r="59" spans="4:6" ht="12.75" customHeight="1" x14ac:dyDescent="0.25">
      <c r="D59" s="3"/>
      <c r="E59" s="3"/>
      <c r="F59" s="3"/>
    </row>
    <row r="60" spans="4:6" ht="12.75" customHeight="1" x14ac:dyDescent="0.25">
      <c r="D60" s="3"/>
      <c r="E60" s="3"/>
      <c r="F60" s="3"/>
    </row>
    <row r="61" spans="4:6" ht="12.75" customHeight="1" x14ac:dyDescent="0.25">
      <c r="D61" s="3"/>
      <c r="E61" s="3"/>
      <c r="F61" s="3"/>
    </row>
    <row r="62" spans="4:6" ht="12.75" customHeight="1" x14ac:dyDescent="0.25">
      <c r="D62" s="3"/>
      <c r="E62" s="3"/>
      <c r="F62" s="3"/>
    </row>
    <row r="63" spans="4:6" ht="12.75" customHeight="1" x14ac:dyDescent="0.25">
      <c r="D63" s="3"/>
      <c r="E63" s="3"/>
      <c r="F63" s="3"/>
    </row>
    <row r="64" spans="4:6" ht="12.75" customHeight="1" x14ac:dyDescent="0.25">
      <c r="D64" s="3"/>
      <c r="E64" s="3"/>
      <c r="F64" s="3"/>
    </row>
    <row r="65" spans="4:6" ht="12.75" customHeight="1" x14ac:dyDescent="0.25">
      <c r="D65" s="3"/>
      <c r="E65" s="3"/>
      <c r="F65" s="3"/>
    </row>
    <row r="66" spans="4:6" ht="12.75" customHeight="1" x14ac:dyDescent="0.25">
      <c r="D66" s="3"/>
      <c r="E66" s="3"/>
      <c r="F66" s="3"/>
    </row>
    <row r="67" spans="4:6" ht="12.75" customHeight="1" x14ac:dyDescent="0.25">
      <c r="D67" s="3"/>
      <c r="E67" s="3"/>
      <c r="F67" s="3"/>
    </row>
    <row r="68" spans="4:6" ht="12.75" customHeight="1" x14ac:dyDescent="0.25">
      <c r="D68" s="3"/>
      <c r="E68" s="3"/>
      <c r="F68" s="3"/>
    </row>
    <row r="69" spans="4:6" ht="12.75" customHeight="1" x14ac:dyDescent="0.25">
      <c r="D69" s="3"/>
      <c r="E69" s="3"/>
      <c r="F69" s="3"/>
    </row>
    <row r="70" spans="4:6" ht="12.75" customHeight="1" x14ac:dyDescent="0.25">
      <c r="D70" s="3"/>
      <c r="E70" s="3"/>
      <c r="F70" s="3"/>
    </row>
    <row r="71" spans="4:6" ht="12.75" customHeight="1" x14ac:dyDescent="0.25">
      <c r="D71" s="3"/>
      <c r="E71" s="3"/>
      <c r="F71" s="3"/>
    </row>
    <row r="72" spans="4:6" ht="12.75" customHeight="1" x14ac:dyDescent="0.25">
      <c r="D72" s="3"/>
      <c r="E72" s="3"/>
      <c r="F72" s="3"/>
    </row>
    <row r="73" spans="4:6" ht="12.75" customHeight="1" x14ac:dyDescent="0.25">
      <c r="D73" s="3"/>
      <c r="E73" s="3"/>
      <c r="F73" s="3"/>
    </row>
    <row r="74" spans="4:6" ht="12.75" customHeight="1" x14ac:dyDescent="0.25">
      <c r="D74" s="3"/>
      <c r="E74" s="3"/>
      <c r="F74" s="3"/>
    </row>
    <row r="75" spans="4:6" ht="12.75" customHeight="1" x14ac:dyDescent="0.25">
      <c r="D75" s="3"/>
      <c r="E75" s="3"/>
      <c r="F75" s="3"/>
    </row>
    <row r="76" spans="4:6" ht="12.75" customHeight="1" x14ac:dyDescent="0.25">
      <c r="D76" s="3"/>
      <c r="E76" s="3"/>
      <c r="F76" s="3"/>
    </row>
    <row r="77" spans="4:6" ht="12.75" customHeight="1" x14ac:dyDescent="0.25">
      <c r="D77" s="3"/>
      <c r="E77" s="3"/>
      <c r="F77" s="3"/>
    </row>
    <row r="78" spans="4:6" ht="12.75" customHeight="1" x14ac:dyDescent="0.25">
      <c r="D78" s="3"/>
      <c r="E78" s="3"/>
      <c r="F78" s="3"/>
    </row>
    <row r="79" spans="4:6" ht="12.75" customHeight="1" x14ac:dyDescent="0.25">
      <c r="D79" s="3"/>
      <c r="E79" s="3"/>
      <c r="F79" s="3"/>
    </row>
    <row r="80" spans="4:6" ht="12.75" customHeight="1" x14ac:dyDescent="0.25">
      <c r="D80" s="3"/>
      <c r="E80" s="3"/>
      <c r="F80" s="3"/>
    </row>
    <row r="81" spans="4:6" ht="12.75" customHeight="1" x14ac:dyDescent="0.25">
      <c r="D81" s="3"/>
      <c r="E81" s="3"/>
      <c r="F81" s="3"/>
    </row>
    <row r="82" spans="4:6" ht="12.75" customHeight="1" x14ac:dyDescent="0.25">
      <c r="D82" s="3"/>
      <c r="E82" s="3"/>
      <c r="F82" s="3"/>
    </row>
    <row r="83" spans="4:6" ht="12.75" customHeight="1" x14ac:dyDescent="0.25">
      <c r="D83" s="3"/>
      <c r="E83" s="3"/>
      <c r="F83" s="3"/>
    </row>
    <row r="84" spans="4:6" ht="12.75" customHeight="1" x14ac:dyDescent="0.25">
      <c r="D84" s="3"/>
      <c r="E84" s="3"/>
      <c r="F84" s="3"/>
    </row>
    <row r="85" spans="4:6" ht="12.75" customHeight="1" x14ac:dyDescent="0.25">
      <c r="D85" s="3"/>
      <c r="E85" s="3"/>
      <c r="F85" s="3"/>
    </row>
    <row r="86" spans="4:6" ht="12.75" customHeight="1" x14ac:dyDescent="0.25">
      <c r="D86" s="3"/>
      <c r="E86" s="3"/>
      <c r="F86" s="3"/>
    </row>
    <row r="87" spans="4:6" ht="12.75" customHeight="1" x14ac:dyDescent="0.25">
      <c r="D87" s="3"/>
      <c r="E87" s="3"/>
      <c r="F87" s="3"/>
    </row>
    <row r="88" spans="4:6" ht="12.75" customHeight="1" x14ac:dyDescent="0.25">
      <c r="D88" s="3"/>
      <c r="E88" s="3"/>
      <c r="F88" s="3"/>
    </row>
    <row r="89" spans="4:6" ht="12.75" customHeight="1" x14ac:dyDescent="0.25">
      <c r="D89" s="3"/>
      <c r="E89" s="3"/>
      <c r="F89" s="3"/>
    </row>
    <row r="90" spans="4:6" ht="12.75" customHeight="1" x14ac:dyDescent="0.25">
      <c r="D90" s="3"/>
      <c r="E90" s="3"/>
      <c r="F90" s="3"/>
    </row>
    <row r="91" spans="4:6" ht="12.75" customHeight="1" x14ac:dyDescent="0.25">
      <c r="D91" s="3"/>
      <c r="E91" s="3"/>
      <c r="F91" s="3"/>
    </row>
    <row r="92" spans="4:6" ht="12.75" customHeight="1" x14ac:dyDescent="0.25">
      <c r="D92" s="3"/>
      <c r="E92" s="3"/>
      <c r="F92" s="3"/>
    </row>
    <row r="93" spans="4:6" ht="12.75" customHeight="1" x14ac:dyDescent="0.25">
      <c r="D93" s="3"/>
      <c r="E93" s="3"/>
      <c r="F93" s="3"/>
    </row>
    <row r="94" spans="4:6" ht="12.75" customHeight="1" x14ac:dyDescent="0.25">
      <c r="D94" s="3"/>
      <c r="E94" s="3"/>
      <c r="F94" s="3"/>
    </row>
    <row r="95" spans="4:6" ht="12.75" customHeight="1" x14ac:dyDescent="0.25">
      <c r="D95" s="3"/>
      <c r="E95" s="3"/>
      <c r="F95" s="3"/>
    </row>
    <row r="96" spans="4:6" ht="12.75" customHeight="1" x14ac:dyDescent="0.25">
      <c r="D96" s="3"/>
      <c r="E96" s="3"/>
      <c r="F96" s="3"/>
    </row>
    <row r="97" spans="4:6" ht="12.75" customHeight="1" x14ac:dyDescent="0.25">
      <c r="D97" s="3"/>
      <c r="E97" s="3"/>
      <c r="F97" s="3"/>
    </row>
    <row r="98" spans="4:6" ht="12.75" customHeight="1" x14ac:dyDescent="0.25">
      <c r="D98" s="3"/>
      <c r="E98" s="3"/>
      <c r="F98" s="3"/>
    </row>
    <row r="99" spans="4:6" ht="12.75" customHeight="1" x14ac:dyDescent="0.25">
      <c r="D99" s="3"/>
      <c r="E99" s="3"/>
      <c r="F99" s="3"/>
    </row>
    <row r="100" spans="4:6" ht="12.75" customHeight="1" x14ac:dyDescent="0.25">
      <c r="D100" s="3"/>
      <c r="E100" s="3"/>
      <c r="F100" s="3"/>
    </row>
    <row r="101" spans="4:6" ht="12.75" customHeight="1" x14ac:dyDescent="0.25">
      <c r="D101" s="3"/>
      <c r="E101" s="3"/>
      <c r="F101" s="3"/>
    </row>
    <row r="102" spans="4:6" ht="12.75" customHeight="1" x14ac:dyDescent="0.25">
      <c r="D102" s="3"/>
      <c r="E102" s="3"/>
      <c r="F102" s="3"/>
    </row>
    <row r="103" spans="4:6" ht="12.75" customHeight="1" x14ac:dyDescent="0.25">
      <c r="D103" s="3"/>
      <c r="E103" s="3"/>
      <c r="F103" s="3"/>
    </row>
    <row r="104" spans="4:6" ht="12.75" customHeight="1" x14ac:dyDescent="0.25">
      <c r="D104" s="3"/>
      <c r="E104" s="3"/>
      <c r="F104" s="3"/>
    </row>
    <row r="105" spans="4:6" ht="12.75" customHeight="1" x14ac:dyDescent="0.25">
      <c r="D105" s="3"/>
      <c r="E105" s="3"/>
      <c r="F105" s="3"/>
    </row>
    <row r="106" spans="4:6" ht="12.75" customHeight="1" x14ac:dyDescent="0.25">
      <c r="D106" s="3"/>
      <c r="E106" s="3"/>
      <c r="F106" s="3"/>
    </row>
    <row r="107" spans="4:6" ht="12.75" customHeight="1" x14ac:dyDescent="0.25">
      <c r="D107" s="3"/>
      <c r="E107" s="3"/>
      <c r="F107" s="3"/>
    </row>
    <row r="108" spans="4:6" ht="12.75" customHeight="1" x14ac:dyDescent="0.25">
      <c r="D108" s="3"/>
      <c r="E108" s="3"/>
      <c r="F108" s="3"/>
    </row>
    <row r="109" spans="4:6" ht="12.75" customHeight="1" x14ac:dyDescent="0.25">
      <c r="D109" s="3"/>
      <c r="E109" s="3"/>
      <c r="F109" s="3"/>
    </row>
    <row r="110" spans="4:6" ht="12.75" customHeight="1" x14ac:dyDescent="0.25">
      <c r="D110" s="3"/>
      <c r="E110" s="3"/>
      <c r="F110" s="3"/>
    </row>
    <row r="111" spans="4:6" ht="12.75" customHeight="1" x14ac:dyDescent="0.25">
      <c r="D111" s="3"/>
      <c r="E111" s="3"/>
      <c r="F111" s="3"/>
    </row>
    <row r="112" spans="4:6" ht="12.75" customHeight="1" x14ac:dyDescent="0.25">
      <c r="D112" s="3"/>
      <c r="E112" s="3"/>
      <c r="F112" s="3"/>
    </row>
    <row r="113" spans="4:6" ht="12.75" customHeight="1" x14ac:dyDescent="0.25">
      <c r="D113" s="3"/>
      <c r="E113" s="3"/>
      <c r="F113" s="3"/>
    </row>
    <row r="114" spans="4:6" ht="12.75" customHeight="1" x14ac:dyDescent="0.25">
      <c r="D114" s="3"/>
      <c r="E114" s="3"/>
      <c r="F114" s="3"/>
    </row>
    <row r="115" spans="4:6" ht="12.75" customHeight="1" x14ac:dyDescent="0.25">
      <c r="D115" s="3"/>
      <c r="E115" s="3"/>
      <c r="F115" s="3"/>
    </row>
    <row r="116" spans="4:6" ht="12.75" customHeight="1" x14ac:dyDescent="0.25">
      <c r="D116" s="3"/>
      <c r="E116" s="3"/>
      <c r="F116" s="3"/>
    </row>
    <row r="117" spans="4:6" ht="12.75" customHeight="1" x14ac:dyDescent="0.25">
      <c r="D117" s="3"/>
      <c r="E117" s="3"/>
      <c r="F117" s="3"/>
    </row>
    <row r="118" spans="4:6" ht="12.75" customHeight="1" x14ac:dyDescent="0.25">
      <c r="D118" s="3"/>
      <c r="E118" s="3"/>
      <c r="F118" s="3"/>
    </row>
    <row r="119" spans="4:6" ht="12.75" customHeight="1" x14ac:dyDescent="0.25">
      <c r="D119" s="3"/>
      <c r="E119" s="3"/>
      <c r="F119" s="3"/>
    </row>
    <row r="120" spans="4:6" ht="12.75" customHeight="1" x14ac:dyDescent="0.25">
      <c r="D120" s="3"/>
      <c r="E120" s="3"/>
      <c r="F120" s="3"/>
    </row>
    <row r="121" spans="4:6" ht="12.75" customHeight="1" x14ac:dyDescent="0.25">
      <c r="D121" s="3"/>
      <c r="E121" s="3"/>
      <c r="F121" s="3"/>
    </row>
    <row r="122" spans="4:6" ht="12.75" customHeight="1" x14ac:dyDescent="0.25">
      <c r="D122" s="3"/>
      <c r="E122" s="3"/>
      <c r="F122" s="3"/>
    </row>
    <row r="123" spans="4:6" ht="12.75" customHeight="1" x14ac:dyDescent="0.25">
      <c r="D123" s="3"/>
      <c r="E123" s="3"/>
      <c r="F123" s="3"/>
    </row>
    <row r="124" spans="4:6" ht="12.75" customHeight="1" x14ac:dyDescent="0.25">
      <c r="D124" s="3"/>
      <c r="E124" s="3"/>
      <c r="F124" s="3"/>
    </row>
    <row r="125" spans="4:6" ht="12.75" customHeight="1" x14ac:dyDescent="0.25">
      <c r="D125" s="3"/>
      <c r="E125" s="3"/>
      <c r="F125" s="3"/>
    </row>
    <row r="126" spans="4:6" ht="12.75" customHeight="1" x14ac:dyDescent="0.25">
      <c r="D126" s="3"/>
      <c r="E126" s="3"/>
      <c r="F126" s="3"/>
    </row>
    <row r="127" spans="4:6" ht="12.75" customHeight="1" x14ac:dyDescent="0.25">
      <c r="D127" s="3"/>
      <c r="E127" s="3"/>
      <c r="F127" s="3"/>
    </row>
    <row r="128" spans="4:6" ht="12.75" customHeight="1" x14ac:dyDescent="0.25">
      <c r="D128" s="3"/>
      <c r="E128" s="3"/>
      <c r="F128" s="3"/>
    </row>
    <row r="129" spans="4:6" ht="12.75" customHeight="1" x14ac:dyDescent="0.25">
      <c r="D129" s="3"/>
      <c r="E129" s="3"/>
      <c r="F129" s="3"/>
    </row>
    <row r="130" spans="4:6" ht="12.75" customHeight="1" x14ac:dyDescent="0.25">
      <c r="D130" s="3"/>
      <c r="E130" s="3"/>
      <c r="F130" s="3"/>
    </row>
    <row r="131" spans="4:6" ht="12.75" customHeight="1" x14ac:dyDescent="0.25">
      <c r="D131" s="3"/>
      <c r="E131" s="3"/>
      <c r="F131" s="3"/>
    </row>
    <row r="132" spans="4:6" ht="12.75" customHeight="1" x14ac:dyDescent="0.25">
      <c r="D132" s="3"/>
      <c r="E132" s="3"/>
      <c r="F132" s="3"/>
    </row>
    <row r="133" spans="4:6" ht="12.75" customHeight="1" x14ac:dyDescent="0.25">
      <c r="D133" s="3"/>
      <c r="E133" s="3"/>
      <c r="F133" s="3"/>
    </row>
    <row r="134" spans="4:6" ht="12.75" customHeight="1" x14ac:dyDescent="0.25">
      <c r="D134" s="3"/>
      <c r="E134" s="3"/>
      <c r="F134" s="3"/>
    </row>
    <row r="135" spans="4:6" ht="12.75" customHeight="1" x14ac:dyDescent="0.25">
      <c r="D135" s="3"/>
      <c r="E135" s="3"/>
      <c r="F135" s="3"/>
    </row>
    <row r="136" spans="4:6" ht="12.75" customHeight="1" x14ac:dyDescent="0.25">
      <c r="D136" s="3"/>
      <c r="E136" s="3"/>
      <c r="F136" s="3"/>
    </row>
    <row r="137" spans="4:6" ht="12.75" customHeight="1" x14ac:dyDescent="0.25">
      <c r="D137" s="3"/>
      <c r="E137" s="3"/>
      <c r="F137" s="3"/>
    </row>
    <row r="138" spans="4:6" ht="12.75" customHeight="1" x14ac:dyDescent="0.25">
      <c r="D138" s="3"/>
      <c r="E138" s="3"/>
      <c r="F138" s="3"/>
    </row>
    <row r="139" spans="4:6" ht="12.75" customHeight="1" x14ac:dyDescent="0.25">
      <c r="D139" s="3"/>
      <c r="E139" s="3"/>
      <c r="F139" s="3"/>
    </row>
    <row r="140" spans="4:6" ht="12.75" customHeight="1" x14ac:dyDescent="0.25">
      <c r="D140" s="3"/>
      <c r="E140" s="3"/>
      <c r="F140" s="3"/>
    </row>
    <row r="141" spans="4:6" ht="12.75" customHeight="1" x14ac:dyDescent="0.25">
      <c r="D141" s="3"/>
      <c r="E141" s="3"/>
      <c r="F141" s="3"/>
    </row>
    <row r="142" spans="4:6" ht="12.75" customHeight="1" x14ac:dyDescent="0.25">
      <c r="D142" s="3"/>
      <c r="E142" s="3"/>
      <c r="F142" s="3"/>
    </row>
    <row r="143" spans="4:6" ht="12.75" customHeight="1" x14ac:dyDescent="0.25">
      <c r="D143" s="3"/>
      <c r="E143" s="3"/>
      <c r="F143" s="3"/>
    </row>
    <row r="144" spans="4:6" ht="12.75" customHeight="1" x14ac:dyDescent="0.25">
      <c r="D144" s="3"/>
      <c r="E144" s="3"/>
      <c r="F144" s="3"/>
    </row>
    <row r="145" spans="4:6" ht="12.75" customHeight="1" x14ac:dyDescent="0.25">
      <c r="D145" s="3"/>
      <c r="E145" s="3"/>
      <c r="F145" s="3"/>
    </row>
    <row r="146" spans="4:6" ht="12.75" customHeight="1" x14ac:dyDescent="0.25">
      <c r="D146" s="3"/>
      <c r="E146" s="3"/>
      <c r="F146" s="3"/>
    </row>
    <row r="147" spans="4:6" ht="12.75" customHeight="1" x14ac:dyDescent="0.25">
      <c r="D147" s="3"/>
      <c r="E147" s="3"/>
      <c r="F147" s="3"/>
    </row>
    <row r="148" spans="4:6" ht="12.75" customHeight="1" x14ac:dyDescent="0.25">
      <c r="D148" s="3"/>
      <c r="E148" s="3"/>
      <c r="F148" s="3"/>
    </row>
    <row r="149" spans="4:6" ht="12.75" customHeight="1" x14ac:dyDescent="0.25">
      <c r="D149" s="3"/>
      <c r="E149" s="3"/>
      <c r="F149" s="3"/>
    </row>
    <row r="150" spans="4:6" ht="12.75" customHeight="1" x14ac:dyDescent="0.25">
      <c r="D150" s="3"/>
      <c r="E150" s="3"/>
      <c r="F150" s="3"/>
    </row>
    <row r="151" spans="4:6" ht="12.75" customHeight="1" x14ac:dyDescent="0.25">
      <c r="D151" s="3"/>
      <c r="E151" s="3"/>
      <c r="F151" s="3"/>
    </row>
    <row r="152" spans="4:6" ht="12.75" customHeight="1" x14ac:dyDescent="0.25">
      <c r="D152" s="3"/>
      <c r="E152" s="3"/>
      <c r="F152" s="3"/>
    </row>
    <row r="153" spans="4:6" ht="12.75" customHeight="1" x14ac:dyDescent="0.25">
      <c r="D153" s="3"/>
      <c r="E153" s="3"/>
      <c r="F153" s="3"/>
    </row>
    <row r="154" spans="4:6" ht="12.75" customHeight="1" x14ac:dyDescent="0.25">
      <c r="D154" s="3"/>
      <c r="E154" s="3"/>
      <c r="F154" s="3"/>
    </row>
    <row r="155" spans="4:6" ht="12.75" customHeight="1" x14ac:dyDescent="0.25">
      <c r="D155" s="3"/>
      <c r="E155" s="3"/>
      <c r="F155" s="3"/>
    </row>
    <row r="156" spans="4:6" ht="12.75" customHeight="1" x14ac:dyDescent="0.25">
      <c r="D156" s="3"/>
      <c r="E156" s="3"/>
      <c r="F156" s="3"/>
    </row>
    <row r="157" spans="4:6" ht="12.75" customHeight="1" x14ac:dyDescent="0.25">
      <c r="D157" s="3"/>
      <c r="E157" s="3"/>
      <c r="F157" s="3"/>
    </row>
    <row r="158" spans="4:6" ht="12.75" customHeight="1" x14ac:dyDescent="0.25">
      <c r="D158" s="3"/>
      <c r="E158" s="3"/>
      <c r="F158" s="3"/>
    </row>
    <row r="159" spans="4:6" ht="12.75" customHeight="1" x14ac:dyDescent="0.25">
      <c r="D159" s="3"/>
      <c r="E159" s="3"/>
      <c r="F159" s="3"/>
    </row>
    <row r="160" spans="4:6" ht="12.75" customHeight="1" x14ac:dyDescent="0.25">
      <c r="D160" s="3"/>
      <c r="E160" s="3"/>
      <c r="F160" s="3"/>
    </row>
    <row r="161" spans="4:6" ht="12.75" customHeight="1" x14ac:dyDescent="0.25">
      <c r="D161" s="3"/>
      <c r="E161" s="3"/>
      <c r="F161" s="3"/>
    </row>
    <row r="162" spans="4:6" ht="12.75" customHeight="1" x14ac:dyDescent="0.25">
      <c r="D162" s="3"/>
      <c r="E162" s="3"/>
      <c r="F162" s="3"/>
    </row>
    <row r="163" spans="4:6" ht="12.75" customHeight="1" x14ac:dyDescent="0.25">
      <c r="D163" s="3"/>
      <c r="E163" s="3"/>
      <c r="F163" s="3"/>
    </row>
    <row r="164" spans="4:6" ht="12.75" customHeight="1" x14ac:dyDescent="0.25">
      <c r="D164" s="3"/>
      <c r="E164" s="3"/>
      <c r="F164" s="3"/>
    </row>
    <row r="165" spans="4:6" ht="12.75" customHeight="1" x14ac:dyDescent="0.25">
      <c r="D165" s="3"/>
      <c r="E165" s="3"/>
      <c r="F165" s="3"/>
    </row>
    <row r="166" spans="4:6" ht="12.75" customHeight="1" x14ac:dyDescent="0.25">
      <c r="D166" s="3"/>
      <c r="E166" s="3"/>
      <c r="F166" s="3"/>
    </row>
    <row r="167" spans="4:6" ht="12.75" customHeight="1" x14ac:dyDescent="0.25">
      <c r="D167" s="3"/>
      <c r="E167" s="3"/>
      <c r="F167" s="3"/>
    </row>
    <row r="168" spans="4:6" ht="12.75" customHeight="1" x14ac:dyDescent="0.25">
      <c r="D168" s="3"/>
      <c r="E168" s="3"/>
      <c r="F168" s="3"/>
    </row>
    <row r="169" spans="4:6" ht="12.75" customHeight="1" x14ac:dyDescent="0.25">
      <c r="D169" s="3"/>
      <c r="E169" s="3"/>
      <c r="F169" s="3"/>
    </row>
    <row r="170" spans="4:6" ht="12.75" customHeight="1" x14ac:dyDescent="0.25">
      <c r="D170" s="3"/>
      <c r="E170" s="3"/>
      <c r="F170" s="3"/>
    </row>
    <row r="171" spans="4:6" ht="12.75" customHeight="1" x14ac:dyDescent="0.25">
      <c r="D171" s="3"/>
      <c r="E171" s="3"/>
      <c r="F171" s="3"/>
    </row>
    <row r="172" spans="4:6" ht="12.75" customHeight="1" x14ac:dyDescent="0.25">
      <c r="D172" s="3"/>
      <c r="E172" s="3"/>
      <c r="F172" s="3"/>
    </row>
    <row r="173" spans="4:6" ht="12.75" customHeight="1" x14ac:dyDescent="0.25">
      <c r="D173" s="3"/>
      <c r="E173" s="3"/>
      <c r="F173" s="3"/>
    </row>
    <row r="174" spans="4:6" ht="12.75" customHeight="1" x14ac:dyDescent="0.25">
      <c r="D174" s="3"/>
      <c r="E174" s="3"/>
      <c r="F174" s="3"/>
    </row>
    <row r="175" spans="4:6" ht="12.75" customHeight="1" x14ac:dyDescent="0.25">
      <c r="D175" s="3"/>
      <c r="E175" s="3"/>
      <c r="F175" s="3"/>
    </row>
    <row r="176" spans="4:6" ht="12.75" customHeight="1" x14ac:dyDescent="0.25">
      <c r="D176" s="3"/>
      <c r="E176" s="3"/>
      <c r="F176" s="3"/>
    </row>
    <row r="177" spans="4:6" ht="12.75" customHeight="1" x14ac:dyDescent="0.25">
      <c r="D177" s="3"/>
      <c r="E177" s="3"/>
      <c r="F177" s="3"/>
    </row>
    <row r="178" spans="4:6" ht="12.75" customHeight="1" x14ac:dyDescent="0.25">
      <c r="D178" s="3"/>
      <c r="E178" s="3"/>
      <c r="F178" s="3"/>
    </row>
    <row r="179" spans="4:6" ht="12.75" customHeight="1" x14ac:dyDescent="0.25">
      <c r="D179" s="3"/>
      <c r="E179" s="3"/>
      <c r="F179" s="3"/>
    </row>
    <row r="180" spans="4:6" ht="12.75" customHeight="1" x14ac:dyDescent="0.25">
      <c r="D180" s="3"/>
      <c r="E180" s="3"/>
      <c r="F180" s="3"/>
    </row>
    <row r="181" spans="4:6" ht="12.75" customHeight="1" x14ac:dyDescent="0.25">
      <c r="D181" s="3"/>
      <c r="E181" s="3"/>
      <c r="F181" s="3"/>
    </row>
    <row r="182" spans="4:6" ht="12.75" customHeight="1" x14ac:dyDescent="0.25">
      <c r="D182" s="3"/>
      <c r="E182" s="3"/>
      <c r="F182" s="3"/>
    </row>
    <row r="183" spans="4:6" ht="12.75" customHeight="1" x14ac:dyDescent="0.25">
      <c r="D183" s="3"/>
      <c r="E183" s="3"/>
      <c r="F183" s="3"/>
    </row>
    <row r="184" spans="4:6" ht="12.75" customHeight="1" x14ac:dyDescent="0.25">
      <c r="D184" s="3"/>
      <c r="E184" s="3"/>
      <c r="F184" s="3"/>
    </row>
    <row r="185" spans="4:6" ht="12.75" customHeight="1" x14ac:dyDescent="0.25">
      <c r="D185" s="3"/>
      <c r="E185" s="3"/>
      <c r="F185" s="3"/>
    </row>
    <row r="186" spans="4:6" ht="12.75" customHeight="1" x14ac:dyDescent="0.25">
      <c r="D186" s="3"/>
      <c r="E186" s="3"/>
      <c r="F186" s="3"/>
    </row>
    <row r="187" spans="4:6" ht="12.75" customHeight="1" x14ac:dyDescent="0.25">
      <c r="D187" s="3"/>
      <c r="E187" s="3"/>
      <c r="F187" s="3"/>
    </row>
    <row r="188" spans="4:6" ht="12.75" customHeight="1" x14ac:dyDescent="0.25">
      <c r="D188" s="3"/>
      <c r="E188" s="3"/>
      <c r="F188" s="3"/>
    </row>
    <row r="189" spans="4:6" ht="12.75" customHeight="1" x14ac:dyDescent="0.25">
      <c r="D189" s="3"/>
      <c r="E189" s="3"/>
      <c r="F189" s="3"/>
    </row>
    <row r="190" spans="4:6" ht="12.75" customHeight="1" x14ac:dyDescent="0.25">
      <c r="D190" s="3"/>
      <c r="E190" s="3"/>
      <c r="F190" s="3"/>
    </row>
    <row r="191" spans="4:6" ht="12.75" customHeight="1" x14ac:dyDescent="0.25">
      <c r="D191" s="3"/>
      <c r="E191" s="3"/>
      <c r="F191" s="3"/>
    </row>
    <row r="192" spans="4:6" ht="12.75" customHeight="1" x14ac:dyDescent="0.25">
      <c r="D192" s="3"/>
      <c r="E192" s="3"/>
      <c r="F192" s="3"/>
    </row>
    <row r="193" spans="4:6" ht="12.75" customHeight="1" x14ac:dyDescent="0.25">
      <c r="D193" s="3"/>
      <c r="E193" s="3"/>
      <c r="F193" s="3"/>
    </row>
    <row r="194" spans="4:6" ht="12.75" customHeight="1" x14ac:dyDescent="0.25">
      <c r="D194" s="3"/>
      <c r="E194" s="3"/>
      <c r="F194" s="3"/>
    </row>
    <row r="195" spans="4:6" ht="12.75" customHeight="1" x14ac:dyDescent="0.25">
      <c r="D195" s="3"/>
      <c r="E195" s="3"/>
      <c r="F195" s="3"/>
    </row>
    <row r="196" spans="4:6" ht="12.75" customHeight="1" x14ac:dyDescent="0.25">
      <c r="D196" s="3"/>
      <c r="E196" s="3"/>
      <c r="F196" s="3"/>
    </row>
    <row r="197" spans="4:6" ht="12.75" customHeight="1" x14ac:dyDescent="0.25">
      <c r="D197" s="3"/>
      <c r="E197" s="3"/>
      <c r="F197" s="3"/>
    </row>
    <row r="198" spans="4:6" ht="12.75" customHeight="1" x14ac:dyDescent="0.25">
      <c r="D198" s="3"/>
      <c r="E198" s="3"/>
      <c r="F198" s="3"/>
    </row>
    <row r="199" spans="4:6" ht="12.75" customHeight="1" x14ac:dyDescent="0.25">
      <c r="D199" s="3"/>
      <c r="E199" s="3"/>
      <c r="F199" s="3"/>
    </row>
    <row r="200" spans="4:6" ht="12.75" customHeight="1" x14ac:dyDescent="0.25">
      <c r="D200" s="3"/>
      <c r="E200" s="3"/>
      <c r="F200" s="3"/>
    </row>
    <row r="201" spans="4:6" ht="12.75" customHeight="1" x14ac:dyDescent="0.25">
      <c r="D201" s="3"/>
      <c r="E201" s="3"/>
      <c r="F201" s="3"/>
    </row>
    <row r="202" spans="4:6" ht="12.75" customHeight="1" x14ac:dyDescent="0.25">
      <c r="D202" s="3"/>
      <c r="E202" s="3"/>
      <c r="F202" s="3"/>
    </row>
    <row r="203" spans="4:6" ht="12.75" customHeight="1" x14ac:dyDescent="0.25">
      <c r="D203" s="3"/>
      <c r="E203" s="3"/>
      <c r="F203" s="3"/>
    </row>
    <row r="204" spans="4:6" ht="12.75" customHeight="1" x14ac:dyDescent="0.25">
      <c r="D204" s="3"/>
      <c r="E204" s="3"/>
      <c r="F204" s="3"/>
    </row>
    <row r="205" spans="4:6" ht="12.75" customHeight="1" x14ac:dyDescent="0.25">
      <c r="D205" s="3"/>
      <c r="E205" s="3"/>
      <c r="F205" s="3"/>
    </row>
    <row r="206" spans="4:6" ht="12.75" customHeight="1" x14ac:dyDescent="0.25">
      <c r="D206" s="3"/>
      <c r="E206" s="3"/>
      <c r="F206" s="3"/>
    </row>
    <row r="207" spans="4:6" ht="12.75" customHeight="1" x14ac:dyDescent="0.25">
      <c r="D207" s="3"/>
      <c r="E207" s="3"/>
      <c r="F207" s="3"/>
    </row>
    <row r="208" spans="4:6" ht="12.75" customHeight="1" x14ac:dyDescent="0.25">
      <c r="D208" s="3"/>
      <c r="E208" s="3"/>
      <c r="F208" s="3"/>
    </row>
    <row r="209" spans="4:6" ht="12.75" customHeight="1" x14ac:dyDescent="0.25">
      <c r="D209" s="3"/>
      <c r="E209" s="3"/>
      <c r="F209" s="3"/>
    </row>
    <row r="210" spans="4:6" ht="12.75" customHeight="1" x14ac:dyDescent="0.25">
      <c r="D210" s="3"/>
      <c r="E210" s="3"/>
      <c r="F210" s="3"/>
    </row>
    <row r="211" spans="4:6" ht="12.75" customHeight="1" x14ac:dyDescent="0.25">
      <c r="D211" s="3"/>
      <c r="E211" s="3"/>
      <c r="F211" s="3"/>
    </row>
    <row r="212" spans="4:6" ht="12.75" customHeight="1" x14ac:dyDescent="0.25">
      <c r="D212" s="3"/>
      <c r="E212" s="3"/>
      <c r="F212" s="3"/>
    </row>
    <row r="213" spans="4:6" ht="12.75" customHeight="1" x14ac:dyDescent="0.25">
      <c r="D213" s="3"/>
      <c r="E213" s="3"/>
      <c r="F213" s="3"/>
    </row>
    <row r="214" spans="4:6" ht="12.75" customHeight="1" x14ac:dyDescent="0.25">
      <c r="D214" s="3"/>
      <c r="E214" s="3"/>
      <c r="F214" s="3"/>
    </row>
    <row r="215" spans="4:6" ht="12.75" customHeight="1" x14ac:dyDescent="0.25">
      <c r="D215" s="3"/>
      <c r="E215" s="3"/>
      <c r="F215" s="3"/>
    </row>
    <row r="216" spans="4:6" ht="12.75" customHeight="1" x14ac:dyDescent="0.25">
      <c r="D216" s="3"/>
      <c r="E216" s="3"/>
      <c r="F216" s="3"/>
    </row>
    <row r="217" spans="4:6" ht="12.75" customHeight="1" x14ac:dyDescent="0.25">
      <c r="D217" s="3"/>
      <c r="E217" s="3"/>
      <c r="F217" s="3"/>
    </row>
    <row r="218" spans="4:6" ht="12.75" customHeight="1" x14ac:dyDescent="0.25">
      <c r="D218" s="3"/>
      <c r="E218" s="3"/>
      <c r="F218" s="3"/>
    </row>
    <row r="219" spans="4:6" ht="12.75" customHeight="1" x14ac:dyDescent="0.25">
      <c r="D219" s="3"/>
      <c r="E219" s="3"/>
      <c r="F219" s="3"/>
    </row>
    <row r="220" spans="4:6" ht="12.75" customHeight="1" x14ac:dyDescent="0.25">
      <c r="D220" s="3"/>
      <c r="E220" s="3"/>
      <c r="F220" s="3"/>
    </row>
    <row r="221" spans="4:6" ht="12.75" customHeight="1" x14ac:dyDescent="0.25">
      <c r="D221" s="3"/>
      <c r="E221" s="3"/>
      <c r="F221" s="3"/>
    </row>
    <row r="222" spans="4:6" ht="12.75" customHeight="1" x14ac:dyDescent="0.25">
      <c r="D222" s="3"/>
      <c r="E222" s="3"/>
      <c r="F222" s="3"/>
    </row>
    <row r="223" spans="4:6" ht="12.75" customHeight="1" x14ac:dyDescent="0.25">
      <c r="D223" s="3"/>
      <c r="E223" s="3"/>
      <c r="F223" s="3"/>
    </row>
    <row r="224" spans="4:6" ht="12.75" customHeight="1" x14ac:dyDescent="0.25">
      <c r="D224" s="3"/>
      <c r="E224" s="3"/>
      <c r="F224" s="3"/>
    </row>
    <row r="225" spans="4:6" ht="12.75" customHeight="1" x14ac:dyDescent="0.25">
      <c r="D225" s="3"/>
      <c r="E225" s="3"/>
      <c r="F225" s="3"/>
    </row>
    <row r="226" spans="4:6" ht="12.75" customHeight="1" x14ac:dyDescent="0.25">
      <c r="D226" s="3"/>
      <c r="E226" s="3"/>
      <c r="F226" s="3"/>
    </row>
    <row r="227" spans="4:6" ht="12.75" customHeight="1" x14ac:dyDescent="0.25">
      <c r="D227" s="3"/>
      <c r="E227" s="3"/>
      <c r="F227" s="3"/>
    </row>
    <row r="228" spans="4:6" ht="12.75" customHeight="1" x14ac:dyDescent="0.25">
      <c r="D228" s="3"/>
      <c r="E228" s="3"/>
      <c r="F228" s="3"/>
    </row>
    <row r="229" spans="4:6" ht="12.75" customHeight="1" x14ac:dyDescent="0.25">
      <c r="D229" s="3"/>
      <c r="E229" s="3"/>
      <c r="F229" s="3"/>
    </row>
    <row r="230" spans="4:6" ht="12.75" customHeight="1" x14ac:dyDescent="0.25">
      <c r="D230" s="3"/>
      <c r="E230" s="3"/>
      <c r="F230" s="3"/>
    </row>
    <row r="231" spans="4:6" ht="12.75" customHeight="1" x14ac:dyDescent="0.25">
      <c r="D231" s="3"/>
      <c r="E231" s="3"/>
      <c r="F231" s="3"/>
    </row>
    <row r="232" spans="4:6" ht="12.75" customHeight="1" x14ac:dyDescent="0.25">
      <c r="D232" s="3"/>
      <c r="E232" s="3"/>
      <c r="F232" s="3"/>
    </row>
    <row r="233" spans="4:6" ht="12.75" customHeight="1" x14ac:dyDescent="0.25">
      <c r="D233" s="3"/>
      <c r="E233" s="3"/>
      <c r="F233" s="3"/>
    </row>
    <row r="234" spans="4:6" ht="12.75" customHeight="1" x14ac:dyDescent="0.25">
      <c r="D234" s="3"/>
      <c r="E234" s="3"/>
      <c r="F234" s="3"/>
    </row>
    <row r="235" spans="4:6" ht="12.75" customHeight="1" x14ac:dyDescent="0.25">
      <c r="D235" s="3"/>
      <c r="E235" s="3"/>
      <c r="F235" s="3"/>
    </row>
    <row r="236" spans="4:6" ht="12.75" customHeight="1" x14ac:dyDescent="0.25">
      <c r="D236" s="3"/>
      <c r="E236" s="3"/>
      <c r="F236" s="3"/>
    </row>
    <row r="237" spans="4:6" ht="12.75" customHeight="1" x14ac:dyDescent="0.25">
      <c r="D237" s="3"/>
      <c r="E237" s="3"/>
      <c r="F237" s="3"/>
    </row>
    <row r="238" spans="4:6" ht="12.75" customHeight="1" x14ac:dyDescent="0.25">
      <c r="D238" s="3"/>
      <c r="E238" s="3"/>
      <c r="F238" s="3"/>
    </row>
    <row r="239" spans="4:6" ht="12.75" customHeight="1" x14ac:dyDescent="0.25">
      <c r="D239" s="3"/>
      <c r="E239" s="3"/>
      <c r="F239" s="3"/>
    </row>
    <row r="240" spans="4:6" ht="12.75" customHeight="1" x14ac:dyDescent="0.25">
      <c r="D240" s="3"/>
      <c r="E240" s="3"/>
      <c r="F240" s="3"/>
    </row>
    <row r="241" spans="4:6" ht="12.75" customHeight="1" x14ac:dyDescent="0.25">
      <c r="D241" s="3"/>
      <c r="E241" s="3"/>
      <c r="F241" s="3"/>
    </row>
    <row r="242" spans="4:6" ht="12.75" customHeight="1" x14ac:dyDescent="0.25">
      <c r="D242" s="3"/>
      <c r="E242" s="3"/>
      <c r="F242" s="3"/>
    </row>
    <row r="243" spans="4:6" ht="12.75" customHeight="1" x14ac:dyDescent="0.25">
      <c r="D243" s="3"/>
      <c r="E243" s="3"/>
      <c r="F243" s="3"/>
    </row>
    <row r="244" spans="4:6" ht="12.75" customHeight="1" x14ac:dyDescent="0.25">
      <c r="D244" s="3"/>
      <c r="E244" s="3"/>
      <c r="F244" s="3"/>
    </row>
    <row r="245" spans="4:6" ht="12.75" customHeight="1" x14ac:dyDescent="0.25">
      <c r="D245" s="3"/>
      <c r="E245" s="3"/>
      <c r="F245" s="3"/>
    </row>
    <row r="246" spans="4:6" ht="12.75" customHeight="1" x14ac:dyDescent="0.25">
      <c r="D246" s="3"/>
      <c r="E246" s="3"/>
      <c r="F246" s="3"/>
    </row>
    <row r="247" spans="4:6" ht="12.75" customHeight="1" x14ac:dyDescent="0.25">
      <c r="D247" s="3"/>
      <c r="E247" s="3"/>
      <c r="F247" s="3"/>
    </row>
    <row r="248" spans="4:6" ht="12.75" customHeight="1" x14ac:dyDescent="0.25">
      <c r="D248" s="3"/>
      <c r="E248" s="3"/>
      <c r="F248" s="3"/>
    </row>
    <row r="249" spans="4:6" ht="12.75" customHeight="1" x14ac:dyDescent="0.25">
      <c r="D249" s="3"/>
      <c r="E249" s="3"/>
      <c r="F249" s="3"/>
    </row>
    <row r="250" spans="4:6" ht="12.75" customHeight="1" x14ac:dyDescent="0.25">
      <c r="D250" s="3"/>
      <c r="E250" s="3"/>
      <c r="F250" s="3"/>
    </row>
    <row r="251" spans="4:6" ht="12.75" customHeight="1" x14ac:dyDescent="0.25">
      <c r="D251" s="3"/>
      <c r="E251" s="3"/>
      <c r="F251" s="3"/>
    </row>
    <row r="252" spans="4:6" ht="12.75" customHeight="1" x14ac:dyDescent="0.25">
      <c r="D252" s="3"/>
      <c r="E252" s="3"/>
      <c r="F252" s="3"/>
    </row>
    <row r="253" spans="4:6" ht="12.75" customHeight="1" x14ac:dyDescent="0.25">
      <c r="D253" s="3"/>
      <c r="E253" s="3"/>
      <c r="F253" s="3"/>
    </row>
    <row r="254" spans="4:6" ht="12.75" customHeight="1" x14ac:dyDescent="0.25">
      <c r="D254" s="3"/>
      <c r="E254" s="3"/>
      <c r="F254" s="3"/>
    </row>
    <row r="255" spans="4:6" ht="12.75" customHeight="1" x14ac:dyDescent="0.25">
      <c r="D255" s="3"/>
      <c r="E255" s="3"/>
      <c r="F255" s="3"/>
    </row>
    <row r="256" spans="4:6" ht="12.75" customHeight="1" x14ac:dyDescent="0.25">
      <c r="D256" s="3"/>
      <c r="E256" s="3"/>
      <c r="F256" s="3"/>
    </row>
    <row r="257" spans="4:6" ht="12.75" customHeight="1" x14ac:dyDescent="0.25">
      <c r="D257" s="3"/>
      <c r="E257" s="3"/>
      <c r="F257" s="3"/>
    </row>
    <row r="258" spans="4:6" ht="12.75" customHeight="1" x14ac:dyDescent="0.25">
      <c r="D258" s="3"/>
      <c r="E258" s="3"/>
      <c r="F258" s="3"/>
    </row>
    <row r="259" spans="4:6" ht="12.75" customHeight="1" x14ac:dyDescent="0.25">
      <c r="D259" s="3"/>
      <c r="E259" s="3"/>
      <c r="F259" s="3"/>
    </row>
    <row r="260" spans="4:6" ht="12.75" customHeight="1" x14ac:dyDescent="0.25">
      <c r="D260" s="3"/>
      <c r="E260" s="3"/>
      <c r="F260" s="3"/>
    </row>
    <row r="261" spans="4:6" ht="12.75" customHeight="1" x14ac:dyDescent="0.25">
      <c r="D261" s="3"/>
      <c r="E261" s="3"/>
      <c r="F261" s="3"/>
    </row>
    <row r="262" spans="4:6" ht="12.75" customHeight="1" x14ac:dyDescent="0.25">
      <c r="D262" s="3"/>
      <c r="E262" s="3"/>
      <c r="F262" s="3"/>
    </row>
    <row r="263" spans="4:6" ht="12.75" customHeight="1" x14ac:dyDescent="0.25">
      <c r="D263" s="3"/>
      <c r="E263" s="3"/>
      <c r="F263" s="3"/>
    </row>
    <row r="264" spans="4:6" ht="12.75" customHeight="1" x14ac:dyDescent="0.25">
      <c r="D264" s="3"/>
      <c r="E264" s="3"/>
      <c r="F264" s="3"/>
    </row>
    <row r="265" spans="4:6" ht="12.75" customHeight="1" x14ac:dyDescent="0.25">
      <c r="D265" s="3"/>
      <c r="E265" s="3"/>
      <c r="F265" s="3"/>
    </row>
    <row r="266" spans="4:6" ht="12.75" customHeight="1" x14ac:dyDescent="0.25">
      <c r="D266" s="3"/>
      <c r="E266" s="3"/>
      <c r="F266" s="3"/>
    </row>
    <row r="267" spans="4:6" ht="12.75" customHeight="1" x14ac:dyDescent="0.25">
      <c r="D267" s="3"/>
      <c r="E267" s="3"/>
      <c r="F267" s="3"/>
    </row>
    <row r="268" spans="4:6" ht="12.75" customHeight="1" x14ac:dyDescent="0.25">
      <c r="D268" s="3"/>
      <c r="E268" s="3"/>
      <c r="F268" s="3"/>
    </row>
    <row r="269" spans="4:6" ht="12.75" customHeight="1" x14ac:dyDescent="0.25">
      <c r="D269" s="3"/>
      <c r="E269" s="3"/>
      <c r="F269" s="3"/>
    </row>
    <row r="270" spans="4:6" ht="12.75" customHeight="1" x14ac:dyDescent="0.25">
      <c r="D270" s="3"/>
      <c r="E270" s="3"/>
      <c r="F270" s="3"/>
    </row>
    <row r="271" spans="4:6" ht="12.75" customHeight="1" x14ac:dyDescent="0.25">
      <c r="D271" s="3"/>
      <c r="E271" s="3"/>
      <c r="F271" s="3"/>
    </row>
    <row r="272" spans="4:6" ht="12.75" customHeight="1" x14ac:dyDescent="0.25">
      <c r="D272" s="3"/>
      <c r="E272" s="3"/>
      <c r="F272" s="3"/>
    </row>
    <row r="273" spans="4:6" ht="12.75" customHeight="1" x14ac:dyDescent="0.25">
      <c r="D273" s="3"/>
      <c r="E273" s="3"/>
      <c r="F273" s="3"/>
    </row>
    <row r="274" spans="4:6" ht="12.75" customHeight="1" x14ac:dyDescent="0.25">
      <c r="D274" s="3"/>
      <c r="E274" s="3"/>
      <c r="F274" s="3"/>
    </row>
    <row r="275" spans="4:6" ht="12.75" customHeight="1" x14ac:dyDescent="0.25">
      <c r="D275" s="3"/>
      <c r="E275" s="3"/>
      <c r="F275" s="3"/>
    </row>
    <row r="276" spans="4:6" ht="12.75" customHeight="1" x14ac:dyDescent="0.25">
      <c r="D276" s="3"/>
      <c r="E276" s="3"/>
      <c r="F276" s="3"/>
    </row>
    <row r="277" spans="4:6" ht="12.75" customHeight="1" x14ac:dyDescent="0.25">
      <c r="D277" s="3"/>
      <c r="E277" s="3"/>
      <c r="F277" s="3"/>
    </row>
    <row r="278" spans="4:6" ht="12.75" customHeight="1" x14ac:dyDescent="0.25">
      <c r="D278" s="3"/>
      <c r="E278" s="3"/>
      <c r="F278" s="3"/>
    </row>
    <row r="279" spans="4:6" ht="12.75" customHeight="1" x14ac:dyDescent="0.25">
      <c r="D279" s="3"/>
      <c r="E279" s="3"/>
      <c r="F279" s="3"/>
    </row>
    <row r="280" spans="4:6" ht="12.75" customHeight="1" x14ac:dyDescent="0.25">
      <c r="D280" s="3"/>
      <c r="E280" s="3"/>
      <c r="F280" s="3"/>
    </row>
    <row r="281" spans="4:6" ht="12.75" customHeight="1" x14ac:dyDescent="0.25">
      <c r="D281" s="3"/>
      <c r="E281" s="3"/>
      <c r="F281" s="3"/>
    </row>
    <row r="282" spans="4:6" ht="12.75" customHeight="1" x14ac:dyDescent="0.25">
      <c r="D282" s="3"/>
      <c r="E282" s="3"/>
      <c r="F282" s="3"/>
    </row>
    <row r="283" spans="4:6" ht="12.75" customHeight="1" x14ac:dyDescent="0.25">
      <c r="D283" s="3"/>
      <c r="E283" s="3"/>
      <c r="F283" s="3"/>
    </row>
    <row r="284" spans="4:6" ht="12.75" customHeight="1" x14ac:dyDescent="0.25">
      <c r="D284" s="3"/>
      <c r="E284" s="3"/>
      <c r="F284" s="3"/>
    </row>
    <row r="285" spans="4:6" ht="12.75" customHeight="1" x14ac:dyDescent="0.25">
      <c r="D285" s="3"/>
      <c r="E285" s="3"/>
      <c r="F285" s="3"/>
    </row>
    <row r="286" spans="4:6" ht="12.75" customHeight="1" x14ac:dyDescent="0.25">
      <c r="D286" s="3"/>
      <c r="E286" s="3"/>
      <c r="F286" s="3"/>
    </row>
    <row r="287" spans="4:6" ht="12.75" customHeight="1" x14ac:dyDescent="0.25">
      <c r="D287" s="3"/>
      <c r="E287" s="3"/>
      <c r="F287" s="3"/>
    </row>
    <row r="288" spans="4:6" ht="12.75" customHeight="1" x14ac:dyDescent="0.25">
      <c r="D288" s="3"/>
      <c r="E288" s="3"/>
      <c r="F288" s="3"/>
    </row>
    <row r="289" spans="4:6" ht="12.75" customHeight="1" x14ac:dyDescent="0.25">
      <c r="D289" s="3"/>
      <c r="E289" s="3"/>
      <c r="F289" s="3"/>
    </row>
    <row r="290" spans="4:6" ht="12.75" customHeight="1" x14ac:dyDescent="0.25">
      <c r="D290" s="3"/>
      <c r="E290" s="3"/>
      <c r="F290" s="3"/>
    </row>
    <row r="291" spans="4:6" ht="12.75" customHeight="1" x14ac:dyDescent="0.25">
      <c r="D291" s="3"/>
      <c r="E291" s="3"/>
      <c r="F291" s="3"/>
    </row>
    <row r="292" spans="4:6" ht="12.75" customHeight="1" x14ac:dyDescent="0.25">
      <c r="D292" s="3"/>
      <c r="E292" s="3"/>
      <c r="F292" s="3"/>
    </row>
    <row r="293" spans="4:6" ht="12.75" customHeight="1" x14ac:dyDescent="0.25">
      <c r="D293" s="3"/>
      <c r="E293" s="3"/>
      <c r="F293" s="3"/>
    </row>
    <row r="294" spans="4:6" ht="12.75" customHeight="1" x14ac:dyDescent="0.25">
      <c r="D294" s="3"/>
      <c r="E294" s="3"/>
      <c r="F294" s="3"/>
    </row>
    <row r="295" spans="4:6" ht="12.75" customHeight="1" x14ac:dyDescent="0.25">
      <c r="D295" s="3"/>
      <c r="E295" s="3"/>
      <c r="F295" s="3"/>
    </row>
    <row r="296" spans="4:6" ht="12.75" customHeight="1" x14ac:dyDescent="0.25">
      <c r="D296" s="3"/>
      <c r="E296" s="3"/>
      <c r="F296" s="3"/>
    </row>
    <row r="297" spans="4:6" ht="12.75" customHeight="1" x14ac:dyDescent="0.25">
      <c r="D297" s="3"/>
      <c r="E297" s="3"/>
      <c r="F297" s="3"/>
    </row>
    <row r="298" spans="4:6" ht="12.75" customHeight="1" x14ac:dyDescent="0.25">
      <c r="D298" s="3"/>
      <c r="E298" s="3"/>
      <c r="F298" s="3"/>
    </row>
    <row r="299" spans="4:6" ht="12.75" customHeight="1" x14ac:dyDescent="0.25">
      <c r="D299" s="3"/>
      <c r="E299" s="3"/>
      <c r="F299" s="3"/>
    </row>
    <row r="300" spans="4:6" ht="12.75" customHeight="1" x14ac:dyDescent="0.25">
      <c r="D300" s="3"/>
      <c r="E300" s="3"/>
      <c r="F300" s="3"/>
    </row>
    <row r="301" spans="4:6" ht="12.75" customHeight="1" x14ac:dyDescent="0.25">
      <c r="D301" s="3"/>
      <c r="E301" s="3"/>
      <c r="F301" s="3"/>
    </row>
    <row r="302" spans="4:6" ht="12.75" customHeight="1" x14ac:dyDescent="0.25">
      <c r="D302" s="3"/>
      <c r="E302" s="3"/>
      <c r="F302" s="3"/>
    </row>
    <row r="303" spans="4:6" ht="12.75" customHeight="1" x14ac:dyDescent="0.25">
      <c r="D303" s="3"/>
      <c r="E303" s="3"/>
      <c r="F303" s="3"/>
    </row>
    <row r="304" spans="4:6" ht="12.75" customHeight="1" x14ac:dyDescent="0.25">
      <c r="D304" s="3"/>
      <c r="E304" s="3"/>
      <c r="F304" s="3"/>
    </row>
    <row r="305" spans="4:6" ht="12.75" customHeight="1" x14ac:dyDescent="0.25">
      <c r="D305" s="3"/>
      <c r="E305" s="3"/>
      <c r="F305" s="3"/>
    </row>
    <row r="306" spans="4:6" ht="12.75" customHeight="1" x14ac:dyDescent="0.25">
      <c r="D306" s="3"/>
      <c r="E306" s="3"/>
      <c r="F306" s="3"/>
    </row>
    <row r="307" spans="4:6" ht="12.75" customHeight="1" x14ac:dyDescent="0.25">
      <c r="D307" s="3"/>
      <c r="E307" s="3"/>
      <c r="F307" s="3"/>
    </row>
    <row r="308" spans="4:6" ht="12.75" customHeight="1" x14ac:dyDescent="0.25">
      <c r="D308" s="3"/>
      <c r="E308" s="3"/>
      <c r="F308" s="3"/>
    </row>
    <row r="309" spans="4:6" ht="12.75" customHeight="1" x14ac:dyDescent="0.25">
      <c r="D309" s="3"/>
      <c r="E309" s="3"/>
      <c r="F309" s="3"/>
    </row>
    <row r="310" spans="4:6" ht="12.75" customHeight="1" x14ac:dyDescent="0.25">
      <c r="D310" s="3"/>
      <c r="E310" s="3"/>
      <c r="F310" s="3"/>
    </row>
    <row r="311" spans="4:6" ht="12.75" customHeight="1" x14ac:dyDescent="0.25">
      <c r="D311" s="3"/>
      <c r="E311" s="3"/>
      <c r="F311" s="3"/>
    </row>
    <row r="312" spans="4:6" ht="12.75" customHeight="1" x14ac:dyDescent="0.25">
      <c r="D312" s="3"/>
      <c r="E312" s="3"/>
      <c r="F312" s="3"/>
    </row>
    <row r="313" spans="4:6" ht="12.75" customHeight="1" x14ac:dyDescent="0.25">
      <c r="D313" s="3"/>
      <c r="E313" s="3"/>
      <c r="F313" s="3"/>
    </row>
    <row r="314" spans="4:6" ht="12.75" customHeight="1" x14ac:dyDescent="0.25">
      <c r="D314" s="3"/>
      <c r="E314" s="3"/>
      <c r="F314" s="3"/>
    </row>
    <row r="315" spans="4:6" ht="12.75" customHeight="1" x14ac:dyDescent="0.25">
      <c r="D315" s="3"/>
      <c r="E315" s="3"/>
      <c r="F315" s="3"/>
    </row>
    <row r="316" spans="4:6" ht="12.75" customHeight="1" x14ac:dyDescent="0.25">
      <c r="D316" s="3"/>
      <c r="E316" s="3"/>
      <c r="F316" s="3"/>
    </row>
    <row r="317" spans="4:6" ht="12.75" customHeight="1" x14ac:dyDescent="0.25">
      <c r="D317" s="3"/>
      <c r="E317" s="3"/>
      <c r="F317" s="3"/>
    </row>
    <row r="318" spans="4:6" ht="12.75" customHeight="1" x14ac:dyDescent="0.25">
      <c r="D318" s="3"/>
      <c r="E318" s="3"/>
      <c r="F318" s="3"/>
    </row>
    <row r="319" spans="4:6" ht="12.75" customHeight="1" x14ac:dyDescent="0.25">
      <c r="D319" s="3"/>
      <c r="E319" s="3"/>
      <c r="F319" s="3"/>
    </row>
    <row r="320" spans="4:6" ht="12.75" customHeight="1" x14ac:dyDescent="0.25">
      <c r="D320" s="3"/>
      <c r="E320" s="3"/>
      <c r="F320" s="3"/>
    </row>
    <row r="321" spans="4:6" ht="12.75" customHeight="1" x14ac:dyDescent="0.25">
      <c r="D321" s="3"/>
      <c r="E321" s="3"/>
      <c r="F321" s="3"/>
    </row>
    <row r="322" spans="4:6" ht="12.75" customHeight="1" x14ac:dyDescent="0.25">
      <c r="D322" s="3"/>
      <c r="E322" s="3"/>
      <c r="F322" s="3"/>
    </row>
    <row r="323" spans="4:6" ht="12.75" customHeight="1" x14ac:dyDescent="0.25">
      <c r="D323" s="3"/>
      <c r="E323" s="3"/>
      <c r="F323" s="3"/>
    </row>
    <row r="324" spans="4:6" ht="12.75" customHeight="1" x14ac:dyDescent="0.25">
      <c r="D324" s="3"/>
      <c r="E324" s="3"/>
      <c r="F324" s="3"/>
    </row>
    <row r="325" spans="4:6" ht="12.75" customHeight="1" x14ac:dyDescent="0.25">
      <c r="D325" s="3"/>
      <c r="E325" s="3"/>
      <c r="F325" s="3"/>
    </row>
    <row r="326" spans="4:6" ht="12.75" customHeight="1" x14ac:dyDescent="0.25">
      <c r="D326" s="3"/>
      <c r="E326" s="3"/>
      <c r="F326" s="3"/>
    </row>
    <row r="327" spans="4:6" ht="12.75" customHeight="1" x14ac:dyDescent="0.25">
      <c r="D327" s="3"/>
      <c r="E327" s="3"/>
      <c r="F327" s="3"/>
    </row>
    <row r="328" spans="4:6" ht="12.75" customHeight="1" x14ac:dyDescent="0.25">
      <c r="D328" s="3"/>
      <c r="E328" s="3"/>
      <c r="F328" s="3"/>
    </row>
    <row r="329" spans="4:6" ht="12.75" customHeight="1" x14ac:dyDescent="0.25">
      <c r="D329" s="3"/>
      <c r="E329" s="3"/>
      <c r="F329" s="3"/>
    </row>
    <row r="330" spans="4:6" ht="12.75" customHeight="1" x14ac:dyDescent="0.25">
      <c r="D330" s="3"/>
      <c r="E330" s="3"/>
      <c r="F330" s="3"/>
    </row>
    <row r="331" spans="4:6" ht="12.75" customHeight="1" x14ac:dyDescent="0.25">
      <c r="D331" s="3"/>
      <c r="E331" s="3"/>
      <c r="F331" s="3"/>
    </row>
    <row r="332" spans="4:6" ht="12.75" customHeight="1" x14ac:dyDescent="0.25">
      <c r="D332" s="3"/>
      <c r="E332" s="3"/>
      <c r="F332" s="3"/>
    </row>
    <row r="333" spans="4:6" ht="12.75" customHeight="1" x14ac:dyDescent="0.25">
      <c r="D333" s="3"/>
      <c r="E333" s="3"/>
      <c r="F333" s="3"/>
    </row>
    <row r="334" spans="4:6" ht="12.75" customHeight="1" x14ac:dyDescent="0.25">
      <c r="D334" s="3"/>
      <c r="E334" s="3"/>
      <c r="F334" s="3"/>
    </row>
    <row r="335" spans="4:6" ht="12.75" customHeight="1" x14ac:dyDescent="0.25">
      <c r="D335" s="3"/>
      <c r="E335" s="3"/>
      <c r="F335" s="3"/>
    </row>
    <row r="336" spans="4:6" ht="12.75" customHeight="1" x14ac:dyDescent="0.25">
      <c r="D336" s="3"/>
      <c r="E336" s="3"/>
      <c r="F336" s="3"/>
    </row>
    <row r="337" spans="4:6" ht="12.75" customHeight="1" x14ac:dyDescent="0.25">
      <c r="D337" s="3"/>
      <c r="E337" s="3"/>
      <c r="F337" s="3"/>
    </row>
    <row r="338" spans="4:6" ht="12.75" customHeight="1" x14ac:dyDescent="0.25">
      <c r="D338" s="3"/>
      <c r="E338" s="3"/>
      <c r="F338" s="3"/>
    </row>
    <row r="339" spans="4:6" ht="12.75" customHeight="1" x14ac:dyDescent="0.25">
      <c r="D339" s="3"/>
      <c r="E339" s="3"/>
      <c r="F339" s="3"/>
    </row>
    <row r="340" spans="4:6" ht="12.75" customHeight="1" x14ac:dyDescent="0.25">
      <c r="D340" s="3"/>
      <c r="E340" s="3"/>
      <c r="F340" s="3"/>
    </row>
    <row r="341" spans="4:6" ht="12.75" customHeight="1" x14ac:dyDescent="0.25">
      <c r="D341" s="3"/>
      <c r="E341" s="3"/>
      <c r="F341" s="3"/>
    </row>
    <row r="342" spans="4:6" ht="12.75" customHeight="1" x14ac:dyDescent="0.25">
      <c r="D342" s="3"/>
      <c r="E342" s="3"/>
      <c r="F342" s="3"/>
    </row>
    <row r="343" spans="4:6" ht="12.75" customHeight="1" x14ac:dyDescent="0.25">
      <c r="D343" s="3"/>
      <c r="E343" s="3"/>
      <c r="F343" s="3"/>
    </row>
    <row r="344" spans="4:6" ht="12.75" customHeight="1" x14ac:dyDescent="0.25">
      <c r="D344" s="3"/>
      <c r="E344" s="3"/>
      <c r="F344" s="3"/>
    </row>
    <row r="345" spans="4:6" ht="12.75" customHeight="1" x14ac:dyDescent="0.25">
      <c r="D345" s="3"/>
      <c r="E345" s="3"/>
      <c r="F345" s="3"/>
    </row>
    <row r="346" spans="4:6" ht="12.75" customHeight="1" x14ac:dyDescent="0.25">
      <c r="D346" s="3"/>
      <c r="E346" s="3"/>
      <c r="F346" s="3"/>
    </row>
    <row r="347" spans="4:6" ht="12.75" customHeight="1" x14ac:dyDescent="0.25">
      <c r="D347" s="3"/>
      <c r="E347" s="3"/>
      <c r="F347" s="3"/>
    </row>
    <row r="348" spans="4:6" ht="12.75" customHeight="1" x14ac:dyDescent="0.25">
      <c r="D348" s="3"/>
      <c r="E348" s="3"/>
      <c r="F348" s="3"/>
    </row>
    <row r="349" spans="4:6" ht="12.75" customHeight="1" x14ac:dyDescent="0.25">
      <c r="D349" s="3"/>
      <c r="E349" s="3"/>
      <c r="F349" s="3"/>
    </row>
    <row r="350" spans="4:6" ht="12.75" customHeight="1" x14ac:dyDescent="0.25">
      <c r="D350" s="3"/>
      <c r="E350" s="3"/>
      <c r="F350" s="3"/>
    </row>
    <row r="351" spans="4:6" ht="12.75" customHeight="1" x14ac:dyDescent="0.25">
      <c r="D351" s="3"/>
      <c r="E351" s="3"/>
      <c r="F351" s="3"/>
    </row>
    <row r="352" spans="4:6" ht="12.75" customHeight="1" x14ac:dyDescent="0.25">
      <c r="D352" s="3"/>
      <c r="E352" s="3"/>
      <c r="F352" s="3"/>
    </row>
    <row r="353" spans="4:6" ht="12.75" customHeight="1" x14ac:dyDescent="0.25">
      <c r="D353" s="3"/>
      <c r="E353" s="3"/>
      <c r="F353" s="3"/>
    </row>
    <row r="354" spans="4:6" ht="12.75" customHeight="1" x14ac:dyDescent="0.25">
      <c r="D354" s="3"/>
      <c r="E354" s="3"/>
      <c r="F354" s="3"/>
    </row>
    <row r="355" spans="4:6" ht="12.75" customHeight="1" x14ac:dyDescent="0.25">
      <c r="D355" s="3"/>
      <c r="E355" s="3"/>
      <c r="F355" s="3"/>
    </row>
    <row r="356" spans="4:6" ht="12.75" customHeight="1" x14ac:dyDescent="0.25">
      <c r="D356" s="3"/>
      <c r="E356" s="3"/>
      <c r="F356" s="3"/>
    </row>
    <row r="357" spans="4:6" ht="12.75" customHeight="1" x14ac:dyDescent="0.25">
      <c r="D357" s="3"/>
      <c r="E357" s="3"/>
      <c r="F357" s="3"/>
    </row>
    <row r="358" spans="4:6" ht="12.75" customHeight="1" x14ac:dyDescent="0.25">
      <c r="D358" s="3"/>
      <c r="E358" s="3"/>
      <c r="F358" s="3"/>
    </row>
    <row r="359" spans="4:6" ht="12.75" customHeight="1" x14ac:dyDescent="0.25">
      <c r="D359" s="3"/>
      <c r="E359" s="3"/>
      <c r="F359" s="3"/>
    </row>
    <row r="360" spans="4:6" ht="12.75" customHeight="1" x14ac:dyDescent="0.25">
      <c r="D360" s="3"/>
      <c r="E360" s="3"/>
      <c r="F360" s="3"/>
    </row>
    <row r="361" spans="4:6" ht="12.75" customHeight="1" x14ac:dyDescent="0.25">
      <c r="D361" s="3"/>
      <c r="E361" s="3"/>
      <c r="F361" s="3"/>
    </row>
    <row r="362" spans="4:6" ht="12.75" customHeight="1" x14ac:dyDescent="0.25">
      <c r="D362" s="3"/>
      <c r="E362" s="3"/>
      <c r="F362" s="3"/>
    </row>
    <row r="363" spans="4:6" ht="12.75" customHeight="1" x14ac:dyDescent="0.25">
      <c r="D363" s="3"/>
      <c r="E363" s="3"/>
      <c r="F363" s="3"/>
    </row>
    <row r="364" spans="4:6" ht="12.75" customHeight="1" x14ac:dyDescent="0.25">
      <c r="D364" s="3"/>
      <c r="E364" s="3"/>
      <c r="F364" s="3"/>
    </row>
    <row r="365" spans="4:6" ht="12.75" customHeight="1" x14ac:dyDescent="0.25">
      <c r="D365" s="3"/>
      <c r="E365" s="3"/>
      <c r="F365" s="3"/>
    </row>
    <row r="366" spans="4:6" ht="12.75" customHeight="1" x14ac:dyDescent="0.25">
      <c r="D366" s="3"/>
      <c r="E366" s="3"/>
      <c r="F366" s="3"/>
    </row>
    <row r="367" spans="4:6" ht="12.75" customHeight="1" x14ac:dyDescent="0.25">
      <c r="D367" s="3"/>
      <c r="E367" s="3"/>
      <c r="F367" s="3"/>
    </row>
    <row r="368" spans="4:6" ht="12.75" customHeight="1" x14ac:dyDescent="0.25">
      <c r="D368" s="3"/>
      <c r="E368" s="3"/>
      <c r="F368" s="3"/>
    </row>
    <row r="369" spans="4:6" ht="12.75" customHeight="1" x14ac:dyDescent="0.25">
      <c r="D369" s="3"/>
      <c r="E369" s="3"/>
      <c r="F369" s="3"/>
    </row>
    <row r="370" spans="4:6" ht="12.75" customHeight="1" x14ac:dyDescent="0.25">
      <c r="D370" s="3"/>
      <c r="E370" s="3"/>
      <c r="F370" s="3"/>
    </row>
    <row r="371" spans="4:6" ht="12.75" customHeight="1" x14ac:dyDescent="0.25">
      <c r="D371" s="3"/>
      <c r="E371" s="3"/>
      <c r="F371" s="3"/>
    </row>
    <row r="372" spans="4:6" ht="12.75" customHeight="1" x14ac:dyDescent="0.25">
      <c r="D372" s="3"/>
      <c r="E372" s="3"/>
      <c r="F372" s="3"/>
    </row>
    <row r="373" spans="4:6" ht="12.75" customHeight="1" x14ac:dyDescent="0.25">
      <c r="D373" s="3"/>
      <c r="E373" s="3"/>
      <c r="F373" s="3"/>
    </row>
    <row r="374" spans="4:6" ht="12.75" customHeight="1" x14ac:dyDescent="0.25">
      <c r="D374" s="3"/>
      <c r="E374" s="3"/>
      <c r="F374" s="3"/>
    </row>
    <row r="375" spans="4:6" ht="12.75" customHeight="1" x14ac:dyDescent="0.25">
      <c r="D375" s="3"/>
      <c r="E375" s="3"/>
      <c r="F375" s="3"/>
    </row>
    <row r="376" spans="4:6" ht="12.75" customHeight="1" x14ac:dyDescent="0.25">
      <c r="D376" s="3"/>
      <c r="E376" s="3"/>
      <c r="F376" s="3"/>
    </row>
    <row r="377" spans="4:6" ht="12.75" customHeight="1" x14ac:dyDescent="0.25">
      <c r="D377" s="3"/>
      <c r="E377" s="3"/>
      <c r="F377" s="3"/>
    </row>
    <row r="378" spans="4:6" ht="12.75" customHeight="1" x14ac:dyDescent="0.25">
      <c r="D378" s="3"/>
      <c r="E378" s="3"/>
      <c r="F378" s="3"/>
    </row>
    <row r="379" spans="4:6" ht="12.75" customHeight="1" x14ac:dyDescent="0.25">
      <c r="D379" s="3"/>
      <c r="E379" s="3"/>
      <c r="F379" s="3"/>
    </row>
    <row r="380" spans="4:6" ht="12.75" customHeight="1" x14ac:dyDescent="0.25">
      <c r="D380" s="3"/>
      <c r="E380" s="3"/>
      <c r="F380" s="3"/>
    </row>
    <row r="381" spans="4:6" ht="12.75" customHeight="1" x14ac:dyDescent="0.25">
      <c r="D381" s="3"/>
      <c r="E381" s="3"/>
      <c r="F381" s="3"/>
    </row>
    <row r="382" spans="4:6" ht="12.75" customHeight="1" x14ac:dyDescent="0.25">
      <c r="D382" s="3"/>
      <c r="E382" s="3"/>
      <c r="F382" s="3"/>
    </row>
    <row r="383" spans="4:6" ht="12.75" customHeight="1" x14ac:dyDescent="0.25">
      <c r="D383" s="3"/>
      <c r="E383" s="3"/>
      <c r="F383" s="3"/>
    </row>
    <row r="384" spans="4:6" ht="12.75" customHeight="1" x14ac:dyDescent="0.25">
      <c r="D384" s="3"/>
      <c r="E384" s="3"/>
      <c r="F384" s="3"/>
    </row>
    <row r="385" spans="4:6" ht="12.75" customHeight="1" x14ac:dyDescent="0.25">
      <c r="D385" s="3"/>
      <c r="E385" s="3"/>
      <c r="F385" s="3"/>
    </row>
    <row r="386" spans="4:6" ht="12.75" customHeight="1" x14ac:dyDescent="0.25">
      <c r="D386" s="3"/>
      <c r="E386" s="3"/>
      <c r="F386" s="3"/>
    </row>
    <row r="387" spans="4:6" ht="12.75" customHeight="1" x14ac:dyDescent="0.25">
      <c r="D387" s="3"/>
      <c r="E387" s="3"/>
      <c r="F387" s="3"/>
    </row>
    <row r="388" spans="4:6" ht="12.75" customHeight="1" x14ac:dyDescent="0.25">
      <c r="D388" s="3"/>
      <c r="E388" s="3"/>
      <c r="F388" s="3"/>
    </row>
    <row r="389" spans="4:6" ht="12.75" customHeight="1" x14ac:dyDescent="0.25">
      <c r="D389" s="3"/>
      <c r="E389" s="3"/>
      <c r="F389" s="3"/>
    </row>
    <row r="390" spans="4:6" ht="12.75" customHeight="1" x14ac:dyDescent="0.25">
      <c r="D390" s="3"/>
      <c r="E390" s="3"/>
      <c r="F390" s="3"/>
    </row>
    <row r="391" spans="4:6" ht="12.75" customHeight="1" x14ac:dyDescent="0.25">
      <c r="D391" s="3"/>
      <c r="E391" s="3"/>
      <c r="F391" s="3"/>
    </row>
    <row r="392" spans="4:6" ht="12.75" customHeight="1" x14ac:dyDescent="0.25">
      <c r="D392" s="3"/>
      <c r="E392" s="3"/>
      <c r="F392" s="3"/>
    </row>
    <row r="393" spans="4:6" ht="12.75" customHeight="1" x14ac:dyDescent="0.25">
      <c r="D393" s="3"/>
      <c r="E393" s="3"/>
      <c r="F393" s="3"/>
    </row>
    <row r="394" spans="4:6" ht="12.75" customHeight="1" x14ac:dyDescent="0.25">
      <c r="D394" s="3"/>
      <c r="E394" s="3"/>
      <c r="F394" s="3"/>
    </row>
    <row r="395" spans="4:6" ht="12.75" customHeight="1" x14ac:dyDescent="0.25">
      <c r="D395" s="3"/>
      <c r="E395" s="3"/>
      <c r="F395" s="3"/>
    </row>
    <row r="396" spans="4:6" ht="12.75" customHeight="1" x14ac:dyDescent="0.25">
      <c r="D396" s="3"/>
      <c r="E396" s="3"/>
      <c r="F396" s="3"/>
    </row>
    <row r="397" spans="4:6" ht="12.75" customHeight="1" x14ac:dyDescent="0.25">
      <c r="D397" s="3"/>
      <c r="E397" s="3"/>
      <c r="F397" s="3"/>
    </row>
    <row r="398" spans="4:6" ht="12.75" customHeight="1" x14ac:dyDescent="0.25">
      <c r="D398" s="3"/>
      <c r="E398" s="3"/>
      <c r="F398" s="3"/>
    </row>
    <row r="399" spans="4:6" ht="12.75" customHeight="1" x14ac:dyDescent="0.25">
      <c r="D399" s="3"/>
      <c r="E399" s="3"/>
      <c r="F399" s="3"/>
    </row>
    <row r="400" spans="4:6" ht="12.75" customHeight="1" x14ac:dyDescent="0.25">
      <c r="D400" s="3"/>
      <c r="E400" s="3"/>
      <c r="F400" s="3"/>
    </row>
    <row r="401" spans="4:6" ht="12.75" customHeight="1" x14ac:dyDescent="0.25">
      <c r="D401" s="3"/>
      <c r="E401" s="3"/>
      <c r="F401" s="3"/>
    </row>
    <row r="402" spans="4:6" ht="12.75" customHeight="1" x14ac:dyDescent="0.25">
      <c r="D402" s="3"/>
      <c r="E402" s="3"/>
      <c r="F402" s="3"/>
    </row>
    <row r="403" spans="4:6" ht="12.75" customHeight="1" x14ac:dyDescent="0.25">
      <c r="D403" s="3"/>
      <c r="E403" s="3"/>
      <c r="F403" s="3"/>
    </row>
    <row r="404" spans="4:6" ht="12.75" customHeight="1" x14ac:dyDescent="0.25">
      <c r="D404" s="3"/>
      <c r="E404" s="3"/>
      <c r="F404" s="3"/>
    </row>
    <row r="405" spans="4:6" ht="12.75" customHeight="1" x14ac:dyDescent="0.25">
      <c r="D405" s="3"/>
      <c r="E405" s="3"/>
      <c r="F405" s="3"/>
    </row>
    <row r="406" spans="4:6" ht="12.75" customHeight="1" x14ac:dyDescent="0.25">
      <c r="D406" s="3"/>
      <c r="E406" s="3"/>
      <c r="F406" s="3"/>
    </row>
    <row r="407" spans="4:6" ht="12.75" customHeight="1" x14ac:dyDescent="0.25">
      <c r="D407" s="3"/>
      <c r="E407" s="3"/>
      <c r="F407" s="3"/>
    </row>
    <row r="408" spans="4:6" ht="12.75" customHeight="1" x14ac:dyDescent="0.25">
      <c r="D408" s="3"/>
      <c r="E408" s="3"/>
      <c r="F408" s="3"/>
    </row>
    <row r="409" spans="4:6" ht="12.75" customHeight="1" x14ac:dyDescent="0.25">
      <c r="D409" s="3"/>
      <c r="E409" s="3"/>
      <c r="F409" s="3"/>
    </row>
    <row r="410" spans="4:6" ht="12.75" customHeight="1" x14ac:dyDescent="0.25">
      <c r="D410" s="3"/>
      <c r="E410" s="3"/>
      <c r="F410" s="3"/>
    </row>
    <row r="411" spans="4:6" ht="12.75" customHeight="1" x14ac:dyDescent="0.25">
      <c r="D411" s="3"/>
      <c r="E411" s="3"/>
      <c r="F411" s="3"/>
    </row>
    <row r="412" spans="4:6" ht="12.75" customHeight="1" x14ac:dyDescent="0.25">
      <c r="D412" s="3"/>
      <c r="E412" s="3"/>
      <c r="F412" s="3"/>
    </row>
    <row r="413" spans="4:6" ht="12.75" customHeight="1" x14ac:dyDescent="0.25">
      <c r="D413" s="3"/>
      <c r="E413" s="3"/>
      <c r="F413" s="3"/>
    </row>
    <row r="414" spans="4:6" ht="12.75" customHeight="1" x14ac:dyDescent="0.25">
      <c r="D414" s="3"/>
      <c r="E414" s="3"/>
      <c r="F414" s="3"/>
    </row>
    <row r="415" spans="4:6" ht="12.75" customHeight="1" x14ac:dyDescent="0.25">
      <c r="D415" s="3"/>
      <c r="E415" s="3"/>
      <c r="F415" s="3"/>
    </row>
    <row r="416" spans="4:6" ht="12.75" customHeight="1" x14ac:dyDescent="0.25">
      <c r="D416" s="3"/>
      <c r="E416" s="3"/>
      <c r="F416" s="3"/>
    </row>
    <row r="417" spans="4:6" ht="12.75" customHeight="1" x14ac:dyDescent="0.25">
      <c r="D417" s="3"/>
      <c r="E417" s="3"/>
      <c r="F417" s="3"/>
    </row>
    <row r="418" spans="4:6" ht="12.75" customHeight="1" x14ac:dyDescent="0.25">
      <c r="D418" s="3"/>
      <c r="E418" s="3"/>
      <c r="F418" s="3"/>
    </row>
    <row r="419" spans="4:6" ht="12.75" customHeight="1" x14ac:dyDescent="0.25">
      <c r="D419" s="3"/>
      <c r="E419" s="3"/>
      <c r="F419" s="3"/>
    </row>
    <row r="420" spans="4:6" ht="12.75" customHeight="1" x14ac:dyDescent="0.25">
      <c r="D420" s="3"/>
      <c r="E420" s="3"/>
      <c r="F420" s="3"/>
    </row>
    <row r="421" spans="4:6" ht="12.75" customHeight="1" x14ac:dyDescent="0.25">
      <c r="D421" s="3"/>
      <c r="E421" s="3"/>
      <c r="F421" s="3"/>
    </row>
    <row r="422" spans="4:6" ht="12.75" customHeight="1" x14ac:dyDescent="0.25">
      <c r="D422" s="3"/>
      <c r="E422" s="3"/>
      <c r="F422" s="3"/>
    </row>
    <row r="423" spans="4:6" ht="12.75" customHeight="1" x14ac:dyDescent="0.25">
      <c r="D423" s="3"/>
      <c r="E423" s="3"/>
      <c r="F423" s="3"/>
    </row>
    <row r="424" spans="4:6" ht="12.75" customHeight="1" x14ac:dyDescent="0.25">
      <c r="D424" s="3"/>
      <c r="E424" s="3"/>
      <c r="F424" s="3"/>
    </row>
    <row r="425" spans="4:6" ht="12.75" customHeight="1" x14ac:dyDescent="0.25">
      <c r="D425" s="3"/>
      <c r="E425" s="3"/>
      <c r="F425" s="3"/>
    </row>
    <row r="426" spans="4:6" ht="12.75" customHeight="1" x14ac:dyDescent="0.25">
      <c r="D426" s="3"/>
      <c r="E426" s="3"/>
      <c r="F426" s="3"/>
    </row>
    <row r="427" spans="4:6" ht="12.75" customHeight="1" x14ac:dyDescent="0.25">
      <c r="D427" s="3"/>
      <c r="E427" s="3"/>
      <c r="F427" s="3"/>
    </row>
    <row r="428" spans="4:6" ht="12.75" customHeight="1" x14ac:dyDescent="0.25">
      <c r="D428" s="3"/>
      <c r="E428" s="3"/>
      <c r="F428" s="3"/>
    </row>
    <row r="429" spans="4:6" ht="12.75" customHeight="1" x14ac:dyDescent="0.25">
      <c r="D429" s="3"/>
      <c r="E429" s="3"/>
      <c r="F429" s="3"/>
    </row>
    <row r="430" spans="4:6" ht="12.75" customHeight="1" x14ac:dyDescent="0.25">
      <c r="D430" s="3"/>
      <c r="E430" s="3"/>
      <c r="F430" s="3"/>
    </row>
    <row r="431" spans="4:6" ht="12.75" customHeight="1" x14ac:dyDescent="0.25">
      <c r="D431" s="3"/>
      <c r="E431" s="3"/>
      <c r="F431" s="3"/>
    </row>
    <row r="432" spans="4:6" ht="12.75" customHeight="1" x14ac:dyDescent="0.25">
      <c r="D432" s="3"/>
      <c r="E432" s="3"/>
      <c r="F432" s="3"/>
    </row>
    <row r="433" spans="4:6" ht="12.75" customHeight="1" x14ac:dyDescent="0.25">
      <c r="D433" s="3"/>
      <c r="E433" s="3"/>
      <c r="F433" s="3"/>
    </row>
    <row r="434" spans="4:6" ht="12.75" customHeight="1" x14ac:dyDescent="0.25">
      <c r="D434" s="3"/>
      <c r="E434" s="3"/>
      <c r="F434" s="3"/>
    </row>
    <row r="435" spans="4:6" ht="12.75" customHeight="1" x14ac:dyDescent="0.25">
      <c r="D435" s="3"/>
      <c r="E435" s="3"/>
      <c r="F435" s="3"/>
    </row>
    <row r="436" spans="4:6" ht="12.75" customHeight="1" x14ac:dyDescent="0.25">
      <c r="D436" s="3"/>
      <c r="E436" s="3"/>
      <c r="F436" s="3"/>
    </row>
    <row r="437" spans="4:6" ht="12.75" customHeight="1" x14ac:dyDescent="0.25">
      <c r="D437" s="3"/>
      <c r="E437" s="3"/>
      <c r="F437" s="3"/>
    </row>
    <row r="438" spans="4:6" ht="12.75" customHeight="1" x14ac:dyDescent="0.25">
      <c r="D438" s="3"/>
      <c r="E438" s="3"/>
      <c r="F438" s="3"/>
    </row>
    <row r="439" spans="4:6" ht="12.75" customHeight="1" x14ac:dyDescent="0.25">
      <c r="D439" s="3"/>
      <c r="E439" s="3"/>
      <c r="F439" s="3"/>
    </row>
    <row r="440" spans="4:6" ht="12.75" customHeight="1" x14ac:dyDescent="0.25">
      <c r="D440" s="3"/>
      <c r="E440" s="3"/>
      <c r="F440" s="3"/>
    </row>
    <row r="441" spans="4:6" ht="12.75" customHeight="1" x14ac:dyDescent="0.25">
      <c r="D441" s="3"/>
      <c r="E441" s="3"/>
      <c r="F441" s="3"/>
    </row>
    <row r="442" spans="4:6" ht="12.75" customHeight="1" x14ac:dyDescent="0.25">
      <c r="D442" s="3"/>
      <c r="E442" s="3"/>
      <c r="F442" s="3"/>
    </row>
    <row r="443" spans="4:6" ht="12.75" customHeight="1" x14ac:dyDescent="0.25">
      <c r="D443" s="3"/>
      <c r="E443" s="3"/>
      <c r="F443" s="3"/>
    </row>
    <row r="444" spans="4:6" ht="12.75" customHeight="1" x14ac:dyDescent="0.25">
      <c r="D444" s="3"/>
      <c r="E444" s="3"/>
      <c r="F444" s="3"/>
    </row>
    <row r="445" spans="4:6" ht="12.75" customHeight="1" x14ac:dyDescent="0.25">
      <c r="D445" s="3"/>
      <c r="E445" s="3"/>
      <c r="F445" s="3"/>
    </row>
    <row r="446" spans="4:6" ht="12.75" customHeight="1" x14ac:dyDescent="0.25">
      <c r="D446" s="3"/>
      <c r="E446" s="3"/>
      <c r="F446" s="3"/>
    </row>
    <row r="447" spans="4:6" ht="12.75" customHeight="1" x14ac:dyDescent="0.25">
      <c r="D447" s="3"/>
      <c r="E447" s="3"/>
      <c r="F447" s="3"/>
    </row>
    <row r="448" spans="4:6" ht="12.75" customHeight="1" x14ac:dyDescent="0.25">
      <c r="D448" s="3"/>
      <c r="E448" s="3"/>
      <c r="F448" s="3"/>
    </row>
    <row r="449" spans="4:6" ht="12.75" customHeight="1" x14ac:dyDescent="0.25">
      <c r="D449" s="3"/>
      <c r="E449" s="3"/>
      <c r="F449" s="3"/>
    </row>
    <row r="450" spans="4:6" ht="12.75" customHeight="1" x14ac:dyDescent="0.25">
      <c r="D450" s="3"/>
      <c r="E450" s="3"/>
      <c r="F450" s="3"/>
    </row>
    <row r="451" spans="4:6" ht="12.75" customHeight="1" x14ac:dyDescent="0.25">
      <c r="D451" s="3"/>
      <c r="E451" s="3"/>
      <c r="F451" s="3"/>
    </row>
    <row r="452" spans="4:6" ht="12.75" customHeight="1" x14ac:dyDescent="0.25">
      <c r="D452" s="3"/>
      <c r="E452" s="3"/>
      <c r="F452" s="3"/>
    </row>
    <row r="453" spans="4:6" ht="12.75" customHeight="1" x14ac:dyDescent="0.25">
      <c r="D453" s="3"/>
      <c r="E453" s="3"/>
      <c r="F453" s="3"/>
    </row>
    <row r="454" spans="4:6" ht="12.75" customHeight="1" x14ac:dyDescent="0.25">
      <c r="D454" s="3"/>
      <c r="E454" s="3"/>
      <c r="F454" s="3"/>
    </row>
    <row r="455" spans="4:6" ht="12.75" customHeight="1" x14ac:dyDescent="0.25">
      <c r="D455" s="3"/>
      <c r="E455" s="3"/>
      <c r="F455" s="3"/>
    </row>
    <row r="456" spans="4:6" ht="12.75" customHeight="1" x14ac:dyDescent="0.25">
      <c r="D456" s="3"/>
      <c r="E456" s="3"/>
      <c r="F456" s="3"/>
    </row>
    <row r="457" spans="4:6" ht="12.75" customHeight="1" x14ac:dyDescent="0.25">
      <c r="D457" s="3"/>
      <c r="E457" s="3"/>
      <c r="F457" s="3"/>
    </row>
    <row r="458" spans="4:6" ht="12.75" customHeight="1" x14ac:dyDescent="0.25">
      <c r="D458" s="3"/>
      <c r="E458" s="3"/>
      <c r="F458" s="3"/>
    </row>
    <row r="459" spans="4:6" ht="12.75" customHeight="1" x14ac:dyDescent="0.25">
      <c r="D459" s="3"/>
      <c r="E459" s="3"/>
      <c r="F459" s="3"/>
    </row>
    <row r="460" spans="4:6" ht="12.75" customHeight="1" x14ac:dyDescent="0.25">
      <c r="D460" s="3"/>
      <c r="E460" s="3"/>
      <c r="F460" s="3"/>
    </row>
    <row r="461" spans="4:6" ht="12.75" customHeight="1" x14ac:dyDescent="0.25">
      <c r="D461" s="3"/>
      <c r="E461" s="3"/>
      <c r="F461" s="3"/>
    </row>
    <row r="462" spans="4:6" ht="12.75" customHeight="1" x14ac:dyDescent="0.25">
      <c r="D462" s="3"/>
      <c r="E462" s="3"/>
      <c r="F462" s="3"/>
    </row>
    <row r="463" spans="4:6" ht="12.75" customHeight="1" x14ac:dyDescent="0.25">
      <c r="D463" s="3"/>
      <c r="E463" s="3"/>
      <c r="F463" s="3"/>
    </row>
    <row r="464" spans="4:6" ht="12.75" customHeight="1" x14ac:dyDescent="0.25">
      <c r="D464" s="3"/>
      <c r="E464" s="3"/>
      <c r="F464" s="3"/>
    </row>
    <row r="465" spans="4:6" ht="12.75" customHeight="1" x14ac:dyDescent="0.25">
      <c r="D465" s="3"/>
      <c r="E465" s="3"/>
      <c r="F465" s="3"/>
    </row>
    <row r="466" spans="4:6" ht="12.75" customHeight="1" x14ac:dyDescent="0.25">
      <c r="D466" s="3"/>
      <c r="E466" s="3"/>
      <c r="F466" s="3"/>
    </row>
    <row r="467" spans="4:6" ht="12.75" customHeight="1" x14ac:dyDescent="0.25">
      <c r="D467" s="3"/>
      <c r="E467" s="3"/>
      <c r="F467" s="3"/>
    </row>
    <row r="468" spans="4:6" ht="12.75" customHeight="1" x14ac:dyDescent="0.25">
      <c r="D468" s="3"/>
      <c r="E468" s="3"/>
      <c r="F468" s="3"/>
    </row>
    <row r="469" spans="4:6" ht="12.75" customHeight="1" x14ac:dyDescent="0.25">
      <c r="D469" s="3"/>
      <c r="E469" s="3"/>
      <c r="F469" s="3"/>
    </row>
    <row r="470" spans="4:6" ht="12.75" customHeight="1" x14ac:dyDescent="0.25">
      <c r="D470" s="3"/>
      <c r="E470" s="3"/>
      <c r="F470" s="3"/>
    </row>
    <row r="471" spans="4:6" ht="12.75" customHeight="1" x14ac:dyDescent="0.25">
      <c r="D471" s="3"/>
      <c r="E471" s="3"/>
      <c r="F471" s="3"/>
    </row>
    <row r="472" spans="4:6" ht="12.75" customHeight="1" x14ac:dyDescent="0.25">
      <c r="D472" s="3"/>
      <c r="E472" s="3"/>
      <c r="F472" s="3"/>
    </row>
    <row r="473" spans="4:6" ht="12.75" customHeight="1" x14ac:dyDescent="0.25">
      <c r="D473" s="3"/>
      <c r="E473" s="3"/>
      <c r="F473" s="3"/>
    </row>
    <row r="474" spans="4:6" ht="12.75" customHeight="1" x14ac:dyDescent="0.25">
      <c r="D474" s="3"/>
      <c r="E474" s="3"/>
      <c r="F474" s="3"/>
    </row>
    <row r="475" spans="4:6" ht="12.75" customHeight="1" x14ac:dyDescent="0.25">
      <c r="D475" s="3"/>
      <c r="E475" s="3"/>
      <c r="F475" s="3"/>
    </row>
    <row r="476" spans="4:6" ht="12.75" customHeight="1" x14ac:dyDescent="0.25">
      <c r="D476" s="3"/>
      <c r="E476" s="3"/>
      <c r="F476" s="3"/>
    </row>
    <row r="477" spans="4:6" ht="12.75" customHeight="1" x14ac:dyDescent="0.25">
      <c r="D477" s="3"/>
      <c r="E477" s="3"/>
      <c r="F477" s="3"/>
    </row>
    <row r="478" spans="4:6" ht="12.75" customHeight="1" x14ac:dyDescent="0.25">
      <c r="D478" s="3"/>
      <c r="E478" s="3"/>
      <c r="F478" s="3"/>
    </row>
    <row r="479" spans="4:6" ht="12.75" customHeight="1" x14ac:dyDescent="0.25">
      <c r="D479" s="3"/>
      <c r="E479" s="3"/>
      <c r="F479" s="3"/>
    </row>
    <row r="480" spans="4:6" ht="12.75" customHeight="1" x14ac:dyDescent="0.25">
      <c r="D480" s="3"/>
      <c r="E480" s="3"/>
      <c r="F480" s="3"/>
    </row>
    <row r="481" spans="4:6" ht="12.75" customHeight="1" x14ac:dyDescent="0.25">
      <c r="D481" s="3"/>
      <c r="E481" s="3"/>
      <c r="F481" s="3"/>
    </row>
    <row r="482" spans="4:6" ht="12.75" customHeight="1" x14ac:dyDescent="0.25">
      <c r="D482" s="3"/>
      <c r="E482" s="3"/>
      <c r="F482" s="3"/>
    </row>
    <row r="483" spans="4:6" ht="12.75" customHeight="1" x14ac:dyDescent="0.25">
      <c r="D483" s="3"/>
      <c r="E483" s="3"/>
      <c r="F483" s="3"/>
    </row>
    <row r="484" spans="4:6" ht="12.75" customHeight="1" x14ac:dyDescent="0.25">
      <c r="D484" s="3"/>
      <c r="E484" s="3"/>
      <c r="F484" s="3"/>
    </row>
    <row r="485" spans="4:6" ht="12.75" customHeight="1" x14ac:dyDescent="0.25">
      <c r="D485" s="3"/>
      <c r="E485" s="3"/>
      <c r="F485" s="3"/>
    </row>
    <row r="486" spans="4:6" ht="12.75" customHeight="1" x14ac:dyDescent="0.25">
      <c r="D486" s="3"/>
      <c r="E486" s="3"/>
      <c r="F486" s="3"/>
    </row>
    <row r="487" spans="4:6" ht="12.75" customHeight="1" x14ac:dyDescent="0.25">
      <c r="D487" s="3"/>
      <c r="E487" s="3"/>
      <c r="F487" s="3"/>
    </row>
    <row r="488" spans="4:6" ht="12.75" customHeight="1" x14ac:dyDescent="0.25">
      <c r="D488" s="3"/>
      <c r="E488" s="3"/>
      <c r="F488" s="3"/>
    </row>
    <row r="489" spans="4:6" ht="12.75" customHeight="1" x14ac:dyDescent="0.25">
      <c r="D489" s="3"/>
      <c r="E489" s="3"/>
      <c r="F489" s="3"/>
    </row>
    <row r="490" spans="4:6" ht="12.75" customHeight="1" x14ac:dyDescent="0.25">
      <c r="D490" s="3"/>
      <c r="E490" s="3"/>
      <c r="F490" s="3"/>
    </row>
    <row r="491" spans="4:6" ht="12.75" customHeight="1" x14ac:dyDescent="0.25">
      <c r="D491" s="3"/>
      <c r="E491" s="3"/>
      <c r="F491" s="3"/>
    </row>
    <row r="492" spans="4:6" ht="12.75" customHeight="1" x14ac:dyDescent="0.25">
      <c r="D492" s="3"/>
      <c r="E492" s="3"/>
      <c r="F492" s="3"/>
    </row>
    <row r="493" spans="4:6" ht="12.75" customHeight="1" x14ac:dyDescent="0.25">
      <c r="D493" s="3"/>
      <c r="E493" s="3"/>
      <c r="F493" s="3"/>
    </row>
    <row r="494" spans="4:6" ht="12.75" customHeight="1" x14ac:dyDescent="0.25">
      <c r="D494" s="3"/>
      <c r="E494" s="3"/>
      <c r="F494" s="3"/>
    </row>
    <row r="495" spans="4:6" ht="12.75" customHeight="1" x14ac:dyDescent="0.25">
      <c r="D495" s="3"/>
      <c r="E495" s="3"/>
      <c r="F495" s="3"/>
    </row>
    <row r="496" spans="4:6" ht="12.75" customHeight="1" x14ac:dyDescent="0.25">
      <c r="D496" s="3"/>
      <c r="E496" s="3"/>
      <c r="F496" s="3"/>
    </row>
    <row r="497" spans="4:6" ht="12.75" customHeight="1" x14ac:dyDescent="0.25">
      <c r="D497" s="3"/>
      <c r="E497" s="3"/>
      <c r="F497" s="3"/>
    </row>
    <row r="498" spans="4:6" ht="12.75" customHeight="1" x14ac:dyDescent="0.25">
      <c r="D498" s="3"/>
      <c r="E498" s="3"/>
      <c r="F498" s="3"/>
    </row>
    <row r="499" spans="4:6" ht="12.75" customHeight="1" x14ac:dyDescent="0.25">
      <c r="D499" s="3"/>
      <c r="E499" s="3"/>
      <c r="F499" s="3"/>
    </row>
    <row r="500" spans="4:6" ht="12.75" customHeight="1" x14ac:dyDescent="0.25">
      <c r="D500" s="3"/>
      <c r="E500" s="3"/>
      <c r="F500" s="3"/>
    </row>
    <row r="501" spans="4:6" ht="12.75" customHeight="1" x14ac:dyDescent="0.25">
      <c r="D501" s="3"/>
      <c r="E501" s="3"/>
      <c r="F501" s="3"/>
    </row>
    <row r="502" spans="4:6" ht="12.75" customHeight="1" x14ac:dyDescent="0.25">
      <c r="D502" s="3"/>
      <c r="E502" s="3"/>
      <c r="F502" s="3"/>
    </row>
    <row r="503" spans="4:6" ht="12.75" customHeight="1" x14ac:dyDescent="0.25">
      <c r="D503" s="3"/>
      <c r="E503" s="3"/>
      <c r="F503" s="3"/>
    </row>
    <row r="504" spans="4:6" ht="12.75" customHeight="1" x14ac:dyDescent="0.25">
      <c r="D504" s="3"/>
      <c r="E504" s="3"/>
      <c r="F504" s="3"/>
    </row>
    <row r="505" spans="4:6" ht="12.75" customHeight="1" x14ac:dyDescent="0.25">
      <c r="D505" s="3"/>
      <c r="E505" s="3"/>
      <c r="F505" s="3"/>
    </row>
    <row r="506" spans="4:6" ht="12.75" customHeight="1" x14ac:dyDescent="0.25">
      <c r="D506" s="3"/>
      <c r="E506" s="3"/>
      <c r="F506" s="3"/>
    </row>
    <row r="507" spans="4:6" ht="12.75" customHeight="1" x14ac:dyDescent="0.25">
      <c r="D507" s="3"/>
      <c r="E507" s="3"/>
      <c r="F507" s="3"/>
    </row>
    <row r="508" spans="4:6" ht="12.75" customHeight="1" x14ac:dyDescent="0.25">
      <c r="D508" s="3"/>
      <c r="E508" s="3"/>
      <c r="F508" s="3"/>
    </row>
    <row r="509" spans="4:6" ht="12.75" customHeight="1" x14ac:dyDescent="0.25">
      <c r="D509" s="3"/>
      <c r="E509" s="3"/>
      <c r="F509" s="3"/>
    </row>
    <row r="510" spans="4:6" ht="12.75" customHeight="1" x14ac:dyDescent="0.25">
      <c r="D510" s="3"/>
      <c r="E510" s="3"/>
      <c r="F510" s="3"/>
    </row>
    <row r="511" spans="4:6" ht="12.75" customHeight="1" x14ac:dyDescent="0.25">
      <c r="D511" s="3"/>
      <c r="E511" s="3"/>
      <c r="F511" s="3"/>
    </row>
    <row r="512" spans="4:6" ht="12.75" customHeight="1" x14ac:dyDescent="0.25">
      <c r="D512" s="3"/>
      <c r="E512" s="3"/>
      <c r="F512" s="3"/>
    </row>
    <row r="513" spans="4:6" ht="12.75" customHeight="1" x14ac:dyDescent="0.25">
      <c r="D513" s="3"/>
      <c r="E513" s="3"/>
      <c r="F513" s="3"/>
    </row>
    <row r="514" spans="4:6" ht="12.75" customHeight="1" x14ac:dyDescent="0.25">
      <c r="D514" s="3"/>
      <c r="E514" s="3"/>
      <c r="F514" s="3"/>
    </row>
    <row r="515" spans="4:6" ht="12.75" customHeight="1" x14ac:dyDescent="0.25">
      <c r="D515" s="3"/>
      <c r="E515" s="3"/>
      <c r="F515" s="3"/>
    </row>
    <row r="516" spans="4:6" ht="12.75" customHeight="1" x14ac:dyDescent="0.25">
      <c r="D516" s="3"/>
      <c r="E516" s="3"/>
      <c r="F516" s="3"/>
    </row>
    <row r="517" spans="4:6" ht="12.75" customHeight="1" x14ac:dyDescent="0.25">
      <c r="D517" s="3"/>
      <c r="E517" s="3"/>
      <c r="F517" s="3"/>
    </row>
    <row r="518" spans="4:6" ht="12.75" customHeight="1" x14ac:dyDescent="0.25">
      <c r="D518" s="3"/>
      <c r="E518" s="3"/>
      <c r="F518" s="3"/>
    </row>
    <row r="519" spans="4:6" ht="12.75" customHeight="1" x14ac:dyDescent="0.25">
      <c r="D519" s="3"/>
      <c r="E519" s="3"/>
      <c r="F519" s="3"/>
    </row>
    <row r="520" spans="4:6" ht="12.75" customHeight="1" x14ac:dyDescent="0.25">
      <c r="D520" s="3"/>
      <c r="E520" s="3"/>
      <c r="F520" s="3"/>
    </row>
    <row r="521" spans="4:6" ht="12.75" customHeight="1" x14ac:dyDescent="0.25">
      <c r="D521" s="3"/>
      <c r="E521" s="3"/>
      <c r="F521" s="3"/>
    </row>
    <row r="522" spans="4:6" ht="12.75" customHeight="1" x14ac:dyDescent="0.25">
      <c r="D522" s="3"/>
      <c r="E522" s="3"/>
      <c r="F522" s="3"/>
    </row>
    <row r="523" spans="4:6" ht="12.75" customHeight="1" x14ac:dyDescent="0.25">
      <c r="D523" s="3"/>
      <c r="E523" s="3"/>
      <c r="F523" s="3"/>
    </row>
    <row r="524" spans="4:6" ht="12.75" customHeight="1" x14ac:dyDescent="0.25">
      <c r="D524" s="3"/>
      <c r="E524" s="3"/>
      <c r="F524" s="3"/>
    </row>
    <row r="525" spans="4:6" ht="12.75" customHeight="1" x14ac:dyDescent="0.25">
      <c r="D525" s="3"/>
      <c r="E525" s="3"/>
      <c r="F525" s="3"/>
    </row>
    <row r="526" spans="4:6" ht="12.75" customHeight="1" x14ac:dyDescent="0.25">
      <c r="D526" s="3"/>
      <c r="E526" s="3"/>
      <c r="F526" s="3"/>
    </row>
    <row r="527" spans="4:6" ht="12.75" customHeight="1" x14ac:dyDescent="0.25">
      <c r="D527" s="3"/>
      <c r="E527" s="3"/>
      <c r="F527" s="3"/>
    </row>
    <row r="528" spans="4:6" ht="12.75" customHeight="1" x14ac:dyDescent="0.25">
      <c r="D528" s="3"/>
      <c r="E528" s="3"/>
      <c r="F528" s="3"/>
    </row>
    <row r="529" spans="4:6" ht="12.75" customHeight="1" x14ac:dyDescent="0.25">
      <c r="D529" s="3"/>
      <c r="E529" s="3"/>
      <c r="F529" s="3"/>
    </row>
    <row r="530" spans="4:6" ht="12.75" customHeight="1" x14ac:dyDescent="0.25">
      <c r="D530" s="3"/>
      <c r="E530" s="3"/>
      <c r="F530" s="3"/>
    </row>
    <row r="531" spans="4:6" ht="12.75" customHeight="1" x14ac:dyDescent="0.25">
      <c r="D531" s="3"/>
      <c r="E531" s="3"/>
      <c r="F531" s="3"/>
    </row>
    <row r="532" spans="4:6" ht="12.75" customHeight="1" x14ac:dyDescent="0.25">
      <c r="D532" s="3"/>
      <c r="E532" s="3"/>
      <c r="F532" s="3"/>
    </row>
    <row r="533" spans="4:6" ht="12.75" customHeight="1" x14ac:dyDescent="0.25">
      <c r="D533" s="3"/>
      <c r="E533" s="3"/>
      <c r="F533" s="3"/>
    </row>
    <row r="534" spans="4:6" ht="12.75" customHeight="1" x14ac:dyDescent="0.25">
      <c r="D534" s="3"/>
      <c r="E534" s="3"/>
      <c r="F534" s="3"/>
    </row>
    <row r="535" spans="4:6" ht="12.75" customHeight="1" x14ac:dyDescent="0.25">
      <c r="D535" s="3"/>
      <c r="E535" s="3"/>
      <c r="F535" s="3"/>
    </row>
    <row r="536" spans="4:6" ht="12.75" customHeight="1" x14ac:dyDescent="0.25">
      <c r="D536" s="3"/>
      <c r="E536" s="3"/>
      <c r="F536" s="3"/>
    </row>
    <row r="537" spans="4:6" ht="12.75" customHeight="1" x14ac:dyDescent="0.25">
      <c r="D537" s="3"/>
      <c r="E537" s="3"/>
      <c r="F537" s="3"/>
    </row>
    <row r="538" spans="4:6" ht="12.75" customHeight="1" x14ac:dyDescent="0.25">
      <c r="D538" s="3"/>
      <c r="E538" s="3"/>
      <c r="F538" s="3"/>
    </row>
    <row r="539" spans="4:6" ht="12.75" customHeight="1" x14ac:dyDescent="0.25">
      <c r="D539" s="3"/>
      <c r="E539" s="3"/>
      <c r="F539" s="3"/>
    </row>
    <row r="540" spans="4:6" ht="12.75" customHeight="1" x14ac:dyDescent="0.25">
      <c r="D540" s="3"/>
      <c r="E540" s="3"/>
      <c r="F540" s="3"/>
    </row>
    <row r="541" spans="4:6" ht="12.75" customHeight="1" x14ac:dyDescent="0.25">
      <c r="D541" s="3"/>
      <c r="E541" s="3"/>
      <c r="F541" s="3"/>
    </row>
    <row r="542" spans="4:6" ht="12.75" customHeight="1" x14ac:dyDescent="0.25">
      <c r="D542" s="3"/>
      <c r="E542" s="3"/>
      <c r="F542" s="3"/>
    </row>
    <row r="543" spans="4:6" ht="12.75" customHeight="1" x14ac:dyDescent="0.25">
      <c r="D543" s="3"/>
      <c r="E543" s="3"/>
      <c r="F543" s="3"/>
    </row>
    <row r="544" spans="4:6" ht="12.75" customHeight="1" x14ac:dyDescent="0.25">
      <c r="D544" s="3"/>
      <c r="E544" s="3"/>
      <c r="F544" s="3"/>
    </row>
    <row r="545" spans="4:6" ht="12.75" customHeight="1" x14ac:dyDescent="0.25">
      <c r="D545" s="3"/>
      <c r="E545" s="3"/>
      <c r="F545" s="3"/>
    </row>
    <row r="546" spans="4:6" ht="12.75" customHeight="1" x14ac:dyDescent="0.25">
      <c r="D546" s="3"/>
      <c r="E546" s="3"/>
      <c r="F546" s="3"/>
    </row>
    <row r="547" spans="4:6" ht="12.75" customHeight="1" x14ac:dyDescent="0.25">
      <c r="D547" s="3"/>
      <c r="E547" s="3"/>
      <c r="F547" s="3"/>
    </row>
    <row r="548" spans="4:6" ht="12.75" customHeight="1" x14ac:dyDescent="0.25">
      <c r="D548" s="3"/>
      <c r="E548" s="3"/>
      <c r="F548" s="3"/>
    </row>
    <row r="549" spans="4:6" ht="12.75" customHeight="1" x14ac:dyDescent="0.25">
      <c r="D549" s="3"/>
      <c r="E549" s="3"/>
      <c r="F549" s="3"/>
    </row>
    <row r="550" spans="4:6" ht="12.75" customHeight="1" x14ac:dyDescent="0.25">
      <c r="D550" s="3"/>
      <c r="E550" s="3"/>
      <c r="F550" s="3"/>
    </row>
    <row r="551" spans="4:6" ht="12.75" customHeight="1" x14ac:dyDescent="0.25">
      <c r="D551" s="3"/>
      <c r="E551" s="3"/>
      <c r="F551" s="3"/>
    </row>
    <row r="552" spans="4:6" ht="12.75" customHeight="1" x14ac:dyDescent="0.25">
      <c r="D552" s="3"/>
      <c r="E552" s="3"/>
      <c r="F552" s="3"/>
    </row>
    <row r="553" spans="4:6" ht="12.75" customHeight="1" x14ac:dyDescent="0.25">
      <c r="D553" s="3"/>
      <c r="E553" s="3"/>
      <c r="F553" s="3"/>
    </row>
    <row r="554" spans="4:6" ht="12.75" customHeight="1" x14ac:dyDescent="0.25">
      <c r="D554" s="3"/>
      <c r="E554" s="3"/>
      <c r="F554" s="3"/>
    </row>
    <row r="555" spans="4:6" ht="12.75" customHeight="1" x14ac:dyDescent="0.25">
      <c r="D555" s="3"/>
      <c r="E555" s="3"/>
      <c r="F555" s="3"/>
    </row>
    <row r="556" spans="4:6" ht="12.75" customHeight="1" x14ac:dyDescent="0.25">
      <c r="D556" s="3"/>
      <c r="E556" s="3"/>
      <c r="F556" s="3"/>
    </row>
    <row r="557" spans="4:6" ht="12.75" customHeight="1" x14ac:dyDescent="0.25">
      <c r="D557" s="3"/>
      <c r="E557" s="3"/>
      <c r="F557" s="3"/>
    </row>
    <row r="558" spans="4:6" ht="12.75" customHeight="1" x14ac:dyDescent="0.25">
      <c r="D558" s="3"/>
      <c r="E558" s="3"/>
      <c r="F558" s="3"/>
    </row>
    <row r="559" spans="4:6" ht="12.75" customHeight="1" x14ac:dyDescent="0.25">
      <c r="D559" s="3"/>
      <c r="E559" s="3"/>
      <c r="F559" s="3"/>
    </row>
    <row r="560" spans="4:6" ht="12.75" customHeight="1" x14ac:dyDescent="0.25">
      <c r="D560" s="3"/>
      <c r="E560" s="3"/>
      <c r="F560" s="3"/>
    </row>
    <row r="561" spans="4:6" ht="12.75" customHeight="1" x14ac:dyDescent="0.25">
      <c r="D561" s="3"/>
      <c r="E561" s="3"/>
      <c r="F561" s="3"/>
    </row>
    <row r="562" spans="4:6" ht="12.75" customHeight="1" x14ac:dyDescent="0.25">
      <c r="D562" s="3"/>
      <c r="E562" s="3"/>
      <c r="F562" s="3"/>
    </row>
    <row r="563" spans="4:6" ht="12.75" customHeight="1" x14ac:dyDescent="0.25">
      <c r="D563" s="3"/>
      <c r="E563" s="3"/>
      <c r="F563" s="3"/>
    </row>
    <row r="564" spans="4:6" ht="12.75" customHeight="1" x14ac:dyDescent="0.25">
      <c r="D564" s="3"/>
      <c r="E564" s="3"/>
      <c r="F564" s="3"/>
    </row>
    <row r="565" spans="4:6" ht="12.75" customHeight="1" x14ac:dyDescent="0.25">
      <c r="D565" s="3"/>
      <c r="E565" s="3"/>
      <c r="F565" s="3"/>
    </row>
    <row r="566" spans="4:6" ht="12.75" customHeight="1" x14ac:dyDescent="0.25">
      <c r="D566" s="3"/>
      <c r="E566" s="3"/>
      <c r="F566" s="3"/>
    </row>
    <row r="567" spans="4:6" ht="12.75" customHeight="1" x14ac:dyDescent="0.25">
      <c r="D567" s="3"/>
      <c r="E567" s="3"/>
      <c r="F567" s="3"/>
    </row>
    <row r="568" spans="4:6" ht="12.75" customHeight="1" x14ac:dyDescent="0.25">
      <c r="D568" s="3"/>
      <c r="E568" s="3"/>
      <c r="F568" s="3"/>
    </row>
    <row r="569" spans="4:6" ht="12.75" customHeight="1" x14ac:dyDescent="0.25">
      <c r="D569" s="3"/>
      <c r="E569" s="3"/>
      <c r="F569" s="3"/>
    </row>
    <row r="570" spans="4:6" ht="12.75" customHeight="1" x14ac:dyDescent="0.25">
      <c r="D570" s="3"/>
      <c r="E570" s="3"/>
      <c r="F570" s="3"/>
    </row>
    <row r="571" spans="4:6" ht="12.75" customHeight="1" x14ac:dyDescent="0.25">
      <c r="D571" s="3"/>
      <c r="E571" s="3"/>
      <c r="F571" s="3"/>
    </row>
    <row r="572" spans="4:6" ht="12.75" customHeight="1" x14ac:dyDescent="0.25">
      <c r="D572" s="3"/>
      <c r="E572" s="3"/>
      <c r="F572" s="3"/>
    </row>
    <row r="573" spans="4:6" ht="12.75" customHeight="1" x14ac:dyDescent="0.25">
      <c r="D573" s="3"/>
      <c r="E573" s="3"/>
      <c r="F573" s="3"/>
    </row>
    <row r="574" spans="4:6" ht="12.75" customHeight="1" x14ac:dyDescent="0.25">
      <c r="D574" s="3"/>
      <c r="E574" s="3"/>
      <c r="F574" s="3"/>
    </row>
    <row r="575" spans="4:6" ht="12.75" customHeight="1" x14ac:dyDescent="0.25">
      <c r="D575" s="3"/>
      <c r="E575" s="3"/>
      <c r="F575" s="3"/>
    </row>
    <row r="576" spans="4:6" ht="12.75" customHeight="1" x14ac:dyDescent="0.25">
      <c r="D576" s="3"/>
      <c r="E576" s="3"/>
      <c r="F576" s="3"/>
    </row>
    <row r="577" spans="4:6" ht="12.75" customHeight="1" x14ac:dyDescent="0.25">
      <c r="D577" s="3"/>
      <c r="E577" s="3"/>
      <c r="F577" s="3"/>
    </row>
    <row r="578" spans="4:6" ht="12.75" customHeight="1" x14ac:dyDescent="0.25">
      <c r="D578" s="3"/>
      <c r="E578" s="3"/>
      <c r="F578" s="3"/>
    </row>
    <row r="579" spans="4:6" ht="12.75" customHeight="1" x14ac:dyDescent="0.25">
      <c r="D579" s="3"/>
      <c r="E579" s="3"/>
      <c r="F579" s="3"/>
    </row>
    <row r="580" spans="4:6" ht="12.75" customHeight="1" x14ac:dyDescent="0.25">
      <c r="D580" s="3"/>
      <c r="E580" s="3"/>
      <c r="F580" s="3"/>
    </row>
    <row r="581" spans="4:6" ht="12.75" customHeight="1" x14ac:dyDescent="0.25">
      <c r="D581" s="3"/>
      <c r="E581" s="3"/>
      <c r="F581" s="3"/>
    </row>
    <row r="582" spans="4:6" ht="12.75" customHeight="1" x14ac:dyDescent="0.25">
      <c r="D582" s="3"/>
      <c r="E582" s="3"/>
      <c r="F582" s="3"/>
    </row>
    <row r="583" spans="4:6" ht="12.75" customHeight="1" x14ac:dyDescent="0.25">
      <c r="D583" s="3"/>
      <c r="E583" s="3"/>
      <c r="F583" s="3"/>
    </row>
    <row r="584" spans="4:6" ht="12.75" customHeight="1" x14ac:dyDescent="0.25">
      <c r="D584" s="3"/>
      <c r="E584" s="3"/>
      <c r="F584" s="3"/>
    </row>
    <row r="585" spans="4:6" ht="12.75" customHeight="1" x14ac:dyDescent="0.25">
      <c r="D585" s="3"/>
      <c r="E585" s="3"/>
      <c r="F585" s="3"/>
    </row>
    <row r="586" spans="4:6" ht="12.75" customHeight="1" x14ac:dyDescent="0.25">
      <c r="D586" s="3"/>
      <c r="E586" s="3"/>
      <c r="F586" s="3"/>
    </row>
    <row r="587" spans="4:6" ht="12.75" customHeight="1" x14ac:dyDescent="0.25">
      <c r="D587" s="3"/>
      <c r="E587" s="3"/>
      <c r="F587" s="3"/>
    </row>
    <row r="588" spans="4:6" ht="12.75" customHeight="1" x14ac:dyDescent="0.25">
      <c r="D588" s="3"/>
      <c r="E588" s="3"/>
      <c r="F588" s="3"/>
    </row>
    <row r="589" spans="4:6" ht="12.75" customHeight="1" x14ac:dyDescent="0.25">
      <c r="D589" s="3"/>
      <c r="E589" s="3"/>
      <c r="F589" s="3"/>
    </row>
    <row r="590" spans="4:6" ht="12.75" customHeight="1" x14ac:dyDescent="0.25">
      <c r="D590" s="3"/>
      <c r="E590" s="3"/>
      <c r="F590" s="3"/>
    </row>
    <row r="591" spans="4:6" ht="12.75" customHeight="1" x14ac:dyDescent="0.25">
      <c r="D591" s="3"/>
      <c r="E591" s="3"/>
      <c r="F591" s="3"/>
    </row>
    <row r="592" spans="4:6" ht="12.75" customHeight="1" x14ac:dyDescent="0.25">
      <c r="D592" s="3"/>
      <c r="E592" s="3"/>
      <c r="F592" s="3"/>
    </row>
    <row r="593" spans="4:6" ht="12.75" customHeight="1" x14ac:dyDescent="0.25">
      <c r="D593" s="3"/>
      <c r="E593" s="3"/>
      <c r="F593" s="3"/>
    </row>
    <row r="594" spans="4:6" ht="12.75" customHeight="1" x14ac:dyDescent="0.25">
      <c r="D594" s="3"/>
      <c r="E594" s="3"/>
      <c r="F594" s="3"/>
    </row>
    <row r="595" spans="4:6" ht="12.75" customHeight="1" x14ac:dyDescent="0.25">
      <c r="D595" s="3"/>
      <c r="E595" s="3"/>
      <c r="F595" s="3"/>
    </row>
    <row r="596" spans="4:6" ht="12.75" customHeight="1" x14ac:dyDescent="0.25">
      <c r="D596" s="3"/>
      <c r="E596" s="3"/>
      <c r="F596" s="3"/>
    </row>
    <row r="597" spans="4:6" ht="12.75" customHeight="1" x14ac:dyDescent="0.25">
      <c r="D597" s="3"/>
      <c r="E597" s="3"/>
      <c r="F597" s="3"/>
    </row>
    <row r="598" spans="4:6" ht="12.75" customHeight="1" x14ac:dyDescent="0.25">
      <c r="D598" s="3"/>
      <c r="E598" s="3"/>
      <c r="F598" s="3"/>
    </row>
    <row r="599" spans="4:6" ht="12.75" customHeight="1" x14ac:dyDescent="0.25">
      <c r="D599" s="3"/>
      <c r="E599" s="3"/>
      <c r="F599" s="3"/>
    </row>
    <row r="600" spans="4:6" ht="12.75" customHeight="1" x14ac:dyDescent="0.25">
      <c r="D600" s="3"/>
      <c r="E600" s="3"/>
      <c r="F600" s="3"/>
    </row>
    <row r="601" spans="4:6" ht="12.75" customHeight="1" x14ac:dyDescent="0.25">
      <c r="D601" s="3"/>
      <c r="E601" s="3"/>
      <c r="F601" s="3"/>
    </row>
    <row r="602" spans="4:6" ht="12.75" customHeight="1" x14ac:dyDescent="0.25">
      <c r="D602" s="3"/>
      <c r="E602" s="3"/>
      <c r="F602" s="3"/>
    </row>
    <row r="603" spans="4:6" ht="12.75" customHeight="1" x14ac:dyDescent="0.25">
      <c r="D603" s="3"/>
      <c r="E603" s="3"/>
      <c r="F603" s="3"/>
    </row>
    <row r="604" spans="4:6" ht="12.75" customHeight="1" x14ac:dyDescent="0.25">
      <c r="D604" s="3"/>
      <c r="E604" s="3"/>
      <c r="F604" s="3"/>
    </row>
    <row r="605" spans="4:6" ht="12.75" customHeight="1" x14ac:dyDescent="0.25">
      <c r="D605" s="3"/>
      <c r="E605" s="3"/>
      <c r="F605" s="3"/>
    </row>
    <row r="606" spans="4:6" ht="12.75" customHeight="1" x14ac:dyDescent="0.25">
      <c r="D606" s="3"/>
      <c r="E606" s="3"/>
      <c r="F606" s="3"/>
    </row>
    <row r="607" spans="4:6" ht="12.75" customHeight="1" x14ac:dyDescent="0.25">
      <c r="D607" s="3"/>
      <c r="E607" s="3"/>
      <c r="F607" s="3"/>
    </row>
    <row r="608" spans="4:6" ht="12.75" customHeight="1" x14ac:dyDescent="0.25">
      <c r="D608" s="3"/>
      <c r="E608" s="3"/>
      <c r="F608" s="3"/>
    </row>
    <row r="609" spans="4:6" ht="12.75" customHeight="1" x14ac:dyDescent="0.25">
      <c r="D609" s="3"/>
      <c r="E609" s="3"/>
      <c r="F609" s="3"/>
    </row>
    <row r="610" spans="4:6" ht="12.75" customHeight="1" x14ac:dyDescent="0.25">
      <c r="D610" s="3"/>
      <c r="E610" s="3"/>
      <c r="F610" s="3"/>
    </row>
    <row r="611" spans="4:6" ht="12.75" customHeight="1" x14ac:dyDescent="0.25">
      <c r="D611" s="3"/>
      <c r="E611" s="3"/>
      <c r="F611" s="3"/>
    </row>
    <row r="612" spans="4:6" ht="12.75" customHeight="1" x14ac:dyDescent="0.25">
      <c r="D612" s="3"/>
      <c r="E612" s="3"/>
      <c r="F612" s="3"/>
    </row>
    <row r="613" spans="4:6" ht="12.75" customHeight="1" x14ac:dyDescent="0.25">
      <c r="D613" s="3"/>
      <c r="E613" s="3"/>
      <c r="F613" s="3"/>
    </row>
    <row r="614" spans="4:6" ht="12.75" customHeight="1" x14ac:dyDescent="0.25">
      <c r="D614" s="3"/>
      <c r="E614" s="3"/>
      <c r="F614" s="3"/>
    </row>
    <row r="615" spans="4:6" ht="12.75" customHeight="1" x14ac:dyDescent="0.25">
      <c r="D615" s="3"/>
      <c r="E615" s="3"/>
      <c r="F615" s="3"/>
    </row>
    <row r="616" spans="4:6" ht="12.75" customHeight="1" x14ac:dyDescent="0.25">
      <c r="D616" s="3"/>
      <c r="E616" s="3"/>
      <c r="F616" s="3"/>
    </row>
    <row r="617" spans="4:6" ht="12.75" customHeight="1" x14ac:dyDescent="0.25">
      <c r="D617" s="3"/>
      <c r="E617" s="3"/>
      <c r="F617" s="3"/>
    </row>
    <row r="618" spans="4:6" ht="12.75" customHeight="1" x14ac:dyDescent="0.25">
      <c r="D618" s="3"/>
      <c r="E618" s="3"/>
      <c r="F618" s="3"/>
    </row>
    <row r="619" spans="4:6" ht="12.75" customHeight="1" x14ac:dyDescent="0.25">
      <c r="D619" s="3"/>
      <c r="E619" s="3"/>
      <c r="F619" s="3"/>
    </row>
    <row r="620" spans="4:6" ht="12.75" customHeight="1" x14ac:dyDescent="0.25">
      <c r="D620" s="3"/>
      <c r="E620" s="3"/>
      <c r="F620" s="3"/>
    </row>
    <row r="621" spans="4:6" ht="12.75" customHeight="1" x14ac:dyDescent="0.25">
      <c r="D621" s="3"/>
      <c r="E621" s="3"/>
      <c r="F621" s="3"/>
    </row>
    <row r="622" spans="4:6" ht="12.75" customHeight="1" x14ac:dyDescent="0.25">
      <c r="D622" s="3"/>
      <c r="E622" s="3"/>
      <c r="F622" s="3"/>
    </row>
    <row r="623" spans="4:6" ht="12.75" customHeight="1" x14ac:dyDescent="0.25">
      <c r="D623" s="3"/>
      <c r="E623" s="3"/>
      <c r="F623" s="3"/>
    </row>
    <row r="624" spans="4:6" ht="12.75" customHeight="1" x14ac:dyDescent="0.25">
      <c r="D624" s="3"/>
      <c r="E624" s="3"/>
      <c r="F624" s="3"/>
    </row>
    <row r="625" spans="4:6" ht="12.75" customHeight="1" x14ac:dyDescent="0.25">
      <c r="D625" s="3"/>
      <c r="E625" s="3"/>
      <c r="F625" s="3"/>
    </row>
    <row r="626" spans="4:6" ht="12.75" customHeight="1" x14ac:dyDescent="0.25">
      <c r="D626" s="3"/>
      <c r="E626" s="3"/>
      <c r="F626" s="3"/>
    </row>
    <row r="627" spans="4:6" ht="12.75" customHeight="1" x14ac:dyDescent="0.25">
      <c r="D627" s="3"/>
      <c r="E627" s="3"/>
      <c r="F627" s="3"/>
    </row>
    <row r="628" spans="4:6" ht="12.75" customHeight="1" x14ac:dyDescent="0.25">
      <c r="D628" s="3"/>
      <c r="E628" s="3"/>
      <c r="F628" s="3"/>
    </row>
    <row r="629" spans="4:6" ht="12.75" customHeight="1" x14ac:dyDescent="0.25">
      <c r="D629" s="3"/>
      <c r="E629" s="3"/>
      <c r="F629" s="3"/>
    </row>
    <row r="630" spans="4:6" ht="12.75" customHeight="1" x14ac:dyDescent="0.25">
      <c r="D630" s="3"/>
      <c r="E630" s="3"/>
      <c r="F630" s="3"/>
    </row>
    <row r="631" spans="4:6" ht="12.75" customHeight="1" x14ac:dyDescent="0.25">
      <c r="D631" s="3"/>
      <c r="E631" s="3"/>
      <c r="F631" s="3"/>
    </row>
    <row r="632" spans="4:6" ht="12.75" customHeight="1" x14ac:dyDescent="0.25">
      <c r="D632" s="3"/>
      <c r="E632" s="3"/>
      <c r="F632" s="3"/>
    </row>
    <row r="633" spans="4:6" ht="12.75" customHeight="1" x14ac:dyDescent="0.25">
      <c r="D633" s="3"/>
      <c r="E633" s="3"/>
      <c r="F633" s="3"/>
    </row>
    <row r="634" spans="4:6" ht="12.75" customHeight="1" x14ac:dyDescent="0.25">
      <c r="D634" s="3"/>
      <c r="E634" s="3"/>
      <c r="F634" s="3"/>
    </row>
    <row r="635" spans="4:6" ht="12.75" customHeight="1" x14ac:dyDescent="0.25">
      <c r="D635" s="3"/>
      <c r="E635" s="3"/>
      <c r="F635" s="3"/>
    </row>
    <row r="636" spans="4:6" ht="12.75" customHeight="1" x14ac:dyDescent="0.25">
      <c r="D636" s="3"/>
      <c r="E636" s="3"/>
      <c r="F636" s="3"/>
    </row>
    <row r="637" spans="4:6" ht="12.75" customHeight="1" x14ac:dyDescent="0.25">
      <c r="D637" s="3"/>
      <c r="E637" s="3"/>
      <c r="F637" s="3"/>
    </row>
    <row r="638" spans="4:6" ht="12.75" customHeight="1" x14ac:dyDescent="0.25">
      <c r="D638" s="3"/>
      <c r="E638" s="3"/>
      <c r="F638" s="3"/>
    </row>
    <row r="639" spans="4:6" ht="12.75" customHeight="1" x14ac:dyDescent="0.25">
      <c r="D639" s="3"/>
      <c r="E639" s="3"/>
      <c r="F639" s="3"/>
    </row>
    <row r="640" spans="4:6" ht="12.75" customHeight="1" x14ac:dyDescent="0.25">
      <c r="D640" s="3"/>
      <c r="E640" s="3"/>
      <c r="F640" s="3"/>
    </row>
    <row r="641" spans="4:6" ht="12.75" customHeight="1" x14ac:dyDescent="0.25">
      <c r="D641" s="3"/>
      <c r="E641" s="3"/>
      <c r="F641" s="3"/>
    </row>
    <row r="642" spans="4:6" ht="12.75" customHeight="1" x14ac:dyDescent="0.25">
      <c r="D642" s="3"/>
      <c r="E642" s="3"/>
      <c r="F642" s="3"/>
    </row>
    <row r="643" spans="4:6" ht="12.75" customHeight="1" x14ac:dyDescent="0.25">
      <c r="D643" s="3"/>
      <c r="E643" s="3"/>
      <c r="F643" s="3"/>
    </row>
    <row r="644" spans="4:6" ht="12.75" customHeight="1" x14ac:dyDescent="0.25">
      <c r="D644" s="3"/>
      <c r="E644" s="3"/>
      <c r="F644" s="3"/>
    </row>
    <row r="645" spans="4:6" ht="12.75" customHeight="1" x14ac:dyDescent="0.25">
      <c r="D645" s="3"/>
      <c r="E645" s="3"/>
      <c r="F645" s="3"/>
    </row>
    <row r="646" spans="4:6" ht="12.75" customHeight="1" x14ac:dyDescent="0.25">
      <c r="D646" s="3"/>
      <c r="E646" s="3"/>
      <c r="F646" s="3"/>
    </row>
    <row r="647" spans="4:6" ht="12.75" customHeight="1" x14ac:dyDescent="0.25">
      <c r="D647" s="3"/>
      <c r="E647" s="3"/>
      <c r="F647" s="3"/>
    </row>
    <row r="648" spans="4:6" ht="12.75" customHeight="1" x14ac:dyDescent="0.25">
      <c r="D648" s="3"/>
      <c r="E648" s="3"/>
      <c r="F648" s="3"/>
    </row>
    <row r="649" spans="4:6" ht="12.75" customHeight="1" x14ac:dyDescent="0.25">
      <c r="D649" s="3"/>
      <c r="E649" s="3"/>
      <c r="F649" s="3"/>
    </row>
    <row r="650" spans="4:6" ht="12.75" customHeight="1" x14ac:dyDescent="0.25">
      <c r="D650" s="3"/>
      <c r="E650" s="3"/>
      <c r="F650" s="3"/>
    </row>
    <row r="651" spans="4:6" ht="12.75" customHeight="1" x14ac:dyDescent="0.25">
      <c r="D651" s="3"/>
      <c r="E651" s="3"/>
      <c r="F651" s="3"/>
    </row>
    <row r="652" spans="4:6" ht="12.75" customHeight="1" x14ac:dyDescent="0.25">
      <c r="D652" s="3"/>
      <c r="E652" s="3"/>
      <c r="F652" s="3"/>
    </row>
    <row r="653" spans="4:6" ht="12.75" customHeight="1" x14ac:dyDescent="0.25">
      <c r="D653" s="3"/>
      <c r="E653" s="3"/>
      <c r="F653" s="3"/>
    </row>
    <row r="654" spans="4:6" ht="12.75" customHeight="1" x14ac:dyDescent="0.25">
      <c r="D654" s="3"/>
      <c r="E654" s="3"/>
      <c r="F654" s="3"/>
    </row>
    <row r="655" spans="4:6" ht="12.75" customHeight="1" x14ac:dyDescent="0.25">
      <c r="D655" s="3"/>
      <c r="E655" s="3"/>
      <c r="F655" s="3"/>
    </row>
    <row r="656" spans="4:6" ht="12.75" customHeight="1" x14ac:dyDescent="0.25">
      <c r="D656" s="3"/>
      <c r="E656" s="3"/>
      <c r="F656" s="3"/>
    </row>
    <row r="657" spans="4:6" ht="12.75" customHeight="1" x14ac:dyDescent="0.25">
      <c r="D657" s="3"/>
      <c r="E657" s="3"/>
      <c r="F657" s="3"/>
    </row>
    <row r="658" spans="4:6" ht="12.75" customHeight="1" x14ac:dyDescent="0.25">
      <c r="D658" s="3"/>
      <c r="E658" s="3"/>
      <c r="F658" s="3"/>
    </row>
    <row r="659" spans="4:6" ht="12.75" customHeight="1" x14ac:dyDescent="0.25">
      <c r="D659" s="3"/>
      <c r="E659" s="3"/>
      <c r="F659" s="3"/>
    </row>
    <row r="660" spans="4:6" ht="12.75" customHeight="1" x14ac:dyDescent="0.25">
      <c r="D660" s="3"/>
      <c r="E660" s="3"/>
      <c r="F660" s="3"/>
    </row>
    <row r="661" spans="4:6" ht="12.75" customHeight="1" x14ac:dyDescent="0.25">
      <c r="D661" s="3"/>
      <c r="E661" s="3"/>
      <c r="F661" s="3"/>
    </row>
    <row r="662" spans="4:6" ht="12.75" customHeight="1" x14ac:dyDescent="0.25">
      <c r="D662" s="3"/>
      <c r="E662" s="3"/>
      <c r="F662" s="3"/>
    </row>
    <row r="663" spans="4:6" ht="12.75" customHeight="1" x14ac:dyDescent="0.25">
      <c r="D663" s="3"/>
      <c r="E663" s="3"/>
      <c r="F663" s="3"/>
    </row>
    <row r="664" spans="4:6" ht="12.75" customHeight="1" x14ac:dyDescent="0.25">
      <c r="D664" s="3"/>
      <c r="E664" s="3"/>
      <c r="F664" s="3"/>
    </row>
    <row r="665" spans="4:6" ht="12.75" customHeight="1" x14ac:dyDescent="0.25">
      <c r="D665" s="3"/>
      <c r="E665" s="3"/>
      <c r="F665" s="3"/>
    </row>
    <row r="666" spans="4:6" ht="12.75" customHeight="1" x14ac:dyDescent="0.25">
      <c r="D666" s="3"/>
      <c r="E666" s="3"/>
      <c r="F666" s="3"/>
    </row>
    <row r="667" spans="4:6" ht="12.75" customHeight="1" x14ac:dyDescent="0.25">
      <c r="D667" s="3"/>
      <c r="E667" s="3"/>
      <c r="F667" s="3"/>
    </row>
    <row r="668" spans="4:6" ht="12.75" customHeight="1" x14ac:dyDescent="0.25">
      <c r="D668" s="3"/>
      <c r="E668" s="3"/>
      <c r="F668" s="3"/>
    </row>
    <row r="669" spans="4:6" ht="12.75" customHeight="1" x14ac:dyDescent="0.25">
      <c r="D669" s="3"/>
      <c r="E669" s="3"/>
      <c r="F669" s="3"/>
    </row>
    <row r="670" spans="4:6" ht="12.75" customHeight="1" x14ac:dyDescent="0.25">
      <c r="D670" s="3"/>
      <c r="E670" s="3"/>
      <c r="F670" s="3"/>
    </row>
    <row r="671" spans="4:6" ht="12.75" customHeight="1" x14ac:dyDescent="0.25">
      <c r="D671" s="3"/>
      <c r="E671" s="3"/>
      <c r="F671" s="3"/>
    </row>
    <row r="672" spans="4:6" ht="12.75" customHeight="1" x14ac:dyDescent="0.25">
      <c r="D672" s="3"/>
      <c r="E672" s="3"/>
      <c r="F672" s="3"/>
    </row>
    <row r="673" spans="4:6" ht="12.75" customHeight="1" x14ac:dyDescent="0.25">
      <c r="D673" s="3"/>
      <c r="E673" s="3"/>
      <c r="F673" s="3"/>
    </row>
    <row r="674" spans="4:6" ht="12.75" customHeight="1" x14ac:dyDescent="0.25">
      <c r="D674" s="3"/>
      <c r="E674" s="3"/>
      <c r="F674" s="3"/>
    </row>
    <row r="675" spans="4:6" ht="12.75" customHeight="1" x14ac:dyDescent="0.25">
      <c r="D675" s="3"/>
      <c r="E675" s="3"/>
      <c r="F675" s="3"/>
    </row>
    <row r="676" spans="4:6" ht="12.75" customHeight="1" x14ac:dyDescent="0.25">
      <c r="D676" s="3"/>
      <c r="E676" s="3"/>
      <c r="F676" s="3"/>
    </row>
    <row r="677" spans="4:6" ht="12.75" customHeight="1" x14ac:dyDescent="0.25">
      <c r="D677" s="3"/>
      <c r="E677" s="3"/>
      <c r="F677" s="3"/>
    </row>
    <row r="678" spans="4:6" ht="12.75" customHeight="1" x14ac:dyDescent="0.25">
      <c r="D678" s="3"/>
      <c r="E678" s="3"/>
      <c r="F678" s="3"/>
    </row>
    <row r="679" spans="4:6" ht="12.75" customHeight="1" x14ac:dyDescent="0.25">
      <c r="D679" s="3"/>
      <c r="E679" s="3"/>
      <c r="F679" s="3"/>
    </row>
    <row r="680" spans="4:6" ht="12.75" customHeight="1" x14ac:dyDescent="0.25">
      <c r="D680" s="3"/>
      <c r="E680" s="3"/>
      <c r="F680" s="3"/>
    </row>
    <row r="681" spans="4:6" ht="12.75" customHeight="1" x14ac:dyDescent="0.25">
      <c r="D681" s="3"/>
      <c r="E681" s="3"/>
      <c r="F681" s="3"/>
    </row>
    <row r="682" spans="4:6" ht="12.75" customHeight="1" x14ac:dyDescent="0.25">
      <c r="D682" s="3"/>
      <c r="E682" s="3"/>
      <c r="F682" s="3"/>
    </row>
    <row r="683" spans="4:6" ht="12.75" customHeight="1" x14ac:dyDescent="0.25">
      <c r="D683" s="3"/>
      <c r="E683" s="3"/>
      <c r="F683" s="3"/>
    </row>
    <row r="684" spans="4:6" ht="12.75" customHeight="1" x14ac:dyDescent="0.25">
      <c r="D684" s="3"/>
      <c r="E684" s="3"/>
      <c r="F684" s="3"/>
    </row>
    <row r="685" spans="4:6" ht="12.75" customHeight="1" x14ac:dyDescent="0.25">
      <c r="D685" s="3"/>
      <c r="E685" s="3"/>
      <c r="F685" s="3"/>
    </row>
    <row r="686" spans="4:6" ht="12.75" customHeight="1" x14ac:dyDescent="0.25">
      <c r="D686" s="3"/>
      <c r="E686" s="3"/>
      <c r="F686" s="3"/>
    </row>
    <row r="687" spans="4:6" ht="12.75" customHeight="1" x14ac:dyDescent="0.25">
      <c r="D687" s="3"/>
      <c r="E687" s="3"/>
      <c r="F687" s="3"/>
    </row>
    <row r="688" spans="4:6" ht="12.75" customHeight="1" x14ac:dyDescent="0.25">
      <c r="D688" s="3"/>
      <c r="E688" s="3"/>
      <c r="F688" s="3"/>
    </row>
    <row r="689" spans="4:6" ht="12.75" customHeight="1" x14ac:dyDescent="0.25">
      <c r="D689" s="3"/>
      <c r="E689" s="3"/>
      <c r="F689" s="3"/>
    </row>
    <row r="690" spans="4:6" ht="12.75" customHeight="1" x14ac:dyDescent="0.25">
      <c r="D690" s="3"/>
      <c r="E690" s="3"/>
      <c r="F690" s="3"/>
    </row>
    <row r="691" spans="4:6" ht="12.75" customHeight="1" x14ac:dyDescent="0.25">
      <c r="D691" s="3"/>
      <c r="E691" s="3"/>
      <c r="F691" s="3"/>
    </row>
    <row r="692" spans="4:6" ht="12.75" customHeight="1" x14ac:dyDescent="0.25">
      <c r="D692" s="3"/>
      <c r="E692" s="3"/>
      <c r="F692" s="3"/>
    </row>
    <row r="693" spans="4:6" ht="12.75" customHeight="1" x14ac:dyDescent="0.25">
      <c r="D693" s="3"/>
      <c r="E693" s="3"/>
      <c r="F693" s="3"/>
    </row>
    <row r="694" spans="4:6" ht="12.75" customHeight="1" x14ac:dyDescent="0.25">
      <c r="D694" s="3"/>
      <c r="E694" s="3"/>
      <c r="F694" s="3"/>
    </row>
    <row r="695" spans="4:6" ht="12.75" customHeight="1" x14ac:dyDescent="0.25">
      <c r="D695" s="3"/>
      <c r="E695" s="3"/>
      <c r="F695" s="3"/>
    </row>
    <row r="696" spans="4:6" ht="12.75" customHeight="1" x14ac:dyDescent="0.25">
      <c r="D696" s="3"/>
      <c r="E696" s="3"/>
      <c r="F696" s="3"/>
    </row>
    <row r="697" spans="4:6" ht="12.75" customHeight="1" x14ac:dyDescent="0.25">
      <c r="D697" s="3"/>
      <c r="E697" s="3"/>
      <c r="F697" s="3"/>
    </row>
    <row r="698" spans="4:6" ht="12.75" customHeight="1" x14ac:dyDescent="0.25">
      <c r="D698" s="3"/>
      <c r="E698" s="3"/>
      <c r="F698" s="3"/>
    </row>
    <row r="699" spans="4:6" ht="12.75" customHeight="1" x14ac:dyDescent="0.25">
      <c r="D699" s="3"/>
      <c r="E699" s="3"/>
      <c r="F699" s="3"/>
    </row>
    <row r="700" spans="4:6" ht="12.75" customHeight="1" x14ac:dyDescent="0.25">
      <c r="D700" s="3"/>
      <c r="E700" s="3"/>
      <c r="F700" s="3"/>
    </row>
    <row r="701" spans="4:6" ht="12.75" customHeight="1" x14ac:dyDescent="0.25">
      <c r="D701" s="3"/>
      <c r="E701" s="3"/>
      <c r="F701" s="3"/>
    </row>
    <row r="702" spans="4:6" ht="12.75" customHeight="1" x14ac:dyDescent="0.25">
      <c r="D702" s="3"/>
      <c r="E702" s="3"/>
      <c r="F702" s="3"/>
    </row>
    <row r="703" spans="4:6" ht="12.75" customHeight="1" x14ac:dyDescent="0.25">
      <c r="D703" s="3"/>
      <c r="E703" s="3"/>
      <c r="F703" s="3"/>
    </row>
    <row r="704" spans="4:6" ht="12.75" customHeight="1" x14ac:dyDescent="0.25">
      <c r="D704" s="3"/>
      <c r="E704" s="3"/>
      <c r="F704" s="3"/>
    </row>
    <row r="705" spans="4:6" ht="12.75" customHeight="1" x14ac:dyDescent="0.25">
      <c r="D705" s="3"/>
      <c r="E705" s="3"/>
      <c r="F705" s="3"/>
    </row>
    <row r="706" spans="4:6" ht="12.75" customHeight="1" x14ac:dyDescent="0.25">
      <c r="D706" s="3"/>
      <c r="E706" s="3"/>
      <c r="F706" s="3"/>
    </row>
    <row r="707" spans="4:6" ht="12.75" customHeight="1" x14ac:dyDescent="0.25">
      <c r="D707" s="3"/>
      <c r="E707" s="3"/>
      <c r="F707" s="3"/>
    </row>
    <row r="708" spans="4:6" ht="12.75" customHeight="1" x14ac:dyDescent="0.25">
      <c r="D708" s="3"/>
      <c r="E708" s="3"/>
      <c r="F708" s="3"/>
    </row>
    <row r="709" spans="4:6" ht="12.75" customHeight="1" x14ac:dyDescent="0.25">
      <c r="D709" s="3"/>
      <c r="E709" s="3"/>
      <c r="F709" s="3"/>
    </row>
    <row r="710" spans="4:6" ht="12.75" customHeight="1" x14ac:dyDescent="0.25">
      <c r="D710" s="3"/>
      <c r="E710" s="3"/>
      <c r="F710" s="3"/>
    </row>
    <row r="711" spans="4:6" ht="12.75" customHeight="1" x14ac:dyDescent="0.25">
      <c r="D711" s="3"/>
      <c r="E711" s="3"/>
      <c r="F711" s="3"/>
    </row>
    <row r="712" spans="4:6" ht="12.75" customHeight="1" x14ac:dyDescent="0.25">
      <c r="D712" s="3"/>
      <c r="E712" s="3"/>
      <c r="F712" s="3"/>
    </row>
    <row r="713" spans="4:6" ht="12.75" customHeight="1" x14ac:dyDescent="0.25">
      <c r="D713" s="3"/>
      <c r="E713" s="3"/>
      <c r="F713" s="3"/>
    </row>
    <row r="714" spans="4:6" ht="12.75" customHeight="1" x14ac:dyDescent="0.25">
      <c r="D714" s="3"/>
      <c r="E714" s="3"/>
      <c r="F714" s="3"/>
    </row>
    <row r="715" spans="4:6" ht="12.75" customHeight="1" x14ac:dyDescent="0.25">
      <c r="D715" s="3"/>
      <c r="E715" s="3"/>
      <c r="F715" s="3"/>
    </row>
    <row r="716" spans="4:6" ht="12.75" customHeight="1" x14ac:dyDescent="0.25">
      <c r="D716" s="3"/>
      <c r="E716" s="3"/>
      <c r="F716" s="3"/>
    </row>
    <row r="717" spans="4:6" ht="12.75" customHeight="1" x14ac:dyDescent="0.25">
      <c r="D717" s="3"/>
      <c r="E717" s="3"/>
      <c r="F717" s="3"/>
    </row>
    <row r="718" spans="4:6" ht="12.75" customHeight="1" x14ac:dyDescent="0.25">
      <c r="D718" s="3"/>
      <c r="E718" s="3"/>
      <c r="F718" s="3"/>
    </row>
    <row r="719" spans="4:6" ht="12.75" customHeight="1" x14ac:dyDescent="0.25">
      <c r="D719" s="3"/>
      <c r="E719" s="3"/>
      <c r="F719" s="3"/>
    </row>
    <row r="720" spans="4:6" ht="12.75" customHeight="1" x14ac:dyDescent="0.25">
      <c r="D720" s="3"/>
      <c r="E720" s="3"/>
      <c r="F720" s="3"/>
    </row>
    <row r="721" spans="4:6" ht="12.75" customHeight="1" x14ac:dyDescent="0.25">
      <c r="D721" s="3"/>
      <c r="E721" s="3"/>
      <c r="F721" s="3"/>
    </row>
    <row r="722" spans="4:6" ht="12.75" customHeight="1" x14ac:dyDescent="0.25">
      <c r="D722" s="3"/>
      <c r="E722" s="3"/>
      <c r="F722" s="3"/>
    </row>
    <row r="723" spans="4:6" ht="12.75" customHeight="1" x14ac:dyDescent="0.25">
      <c r="D723" s="3"/>
      <c r="E723" s="3"/>
      <c r="F723" s="3"/>
    </row>
    <row r="724" spans="4:6" ht="12.75" customHeight="1" x14ac:dyDescent="0.25">
      <c r="D724" s="3"/>
      <c r="E724" s="3"/>
      <c r="F724" s="3"/>
    </row>
    <row r="725" spans="4:6" ht="12.75" customHeight="1" x14ac:dyDescent="0.25">
      <c r="D725" s="3"/>
      <c r="E725" s="3"/>
      <c r="F725" s="3"/>
    </row>
    <row r="726" spans="4:6" ht="12.75" customHeight="1" x14ac:dyDescent="0.25">
      <c r="D726" s="3"/>
      <c r="E726" s="3"/>
      <c r="F726" s="3"/>
    </row>
    <row r="727" spans="4:6" ht="12.75" customHeight="1" x14ac:dyDescent="0.25">
      <c r="D727" s="3"/>
      <c r="E727" s="3"/>
      <c r="F727" s="3"/>
    </row>
    <row r="728" spans="4:6" ht="12.75" customHeight="1" x14ac:dyDescent="0.25">
      <c r="D728" s="3"/>
      <c r="E728" s="3"/>
      <c r="F728" s="3"/>
    </row>
    <row r="729" spans="4:6" ht="12.75" customHeight="1" x14ac:dyDescent="0.25">
      <c r="D729" s="3"/>
      <c r="E729" s="3"/>
      <c r="F729" s="3"/>
    </row>
    <row r="730" spans="4:6" ht="12.75" customHeight="1" x14ac:dyDescent="0.25">
      <c r="D730" s="3"/>
      <c r="E730" s="3"/>
      <c r="F730" s="3"/>
    </row>
    <row r="731" spans="4:6" ht="12.75" customHeight="1" x14ac:dyDescent="0.25">
      <c r="D731" s="3"/>
      <c r="E731" s="3"/>
      <c r="F731" s="3"/>
    </row>
    <row r="732" spans="4:6" ht="12.75" customHeight="1" x14ac:dyDescent="0.25">
      <c r="D732" s="3"/>
      <c r="E732" s="3"/>
      <c r="F732" s="3"/>
    </row>
    <row r="733" spans="4:6" ht="12.75" customHeight="1" x14ac:dyDescent="0.25">
      <c r="D733" s="3"/>
      <c r="E733" s="3"/>
      <c r="F733" s="3"/>
    </row>
    <row r="734" spans="4:6" ht="12.75" customHeight="1" x14ac:dyDescent="0.25">
      <c r="D734" s="3"/>
      <c r="E734" s="3"/>
      <c r="F734" s="3"/>
    </row>
    <row r="735" spans="4:6" ht="12.75" customHeight="1" x14ac:dyDescent="0.25">
      <c r="D735" s="3"/>
      <c r="E735" s="3"/>
      <c r="F735" s="3"/>
    </row>
    <row r="736" spans="4:6" ht="12.75" customHeight="1" x14ac:dyDescent="0.25">
      <c r="D736" s="3"/>
      <c r="E736" s="3"/>
      <c r="F736" s="3"/>
    </row>
    <row r="737" spans="4:6" ht="12.75" customHeight="1" x14ac:dyDescent="0.25">
      <c r="D737" s="3"/>
      <c r="E737" s="3"/>
      <c r="F737" s="3"/>
    </row>
    <row r="738" spans="4:6" ht="12.75" customHeight="1" x14ac:dyDescent="0.25">
      <c r="D738" s="3"/>
      <c r="E738" s="3"/>
      <c r="F738" s="3"/>
    </row>
    <row r="739" spans="4:6" ht="12.75" customHeight="1" x14ac:dyDescent="0.25">
      <c r="D739" s="3"/>
      <c r="E739" s="3"/>
      <c r="F739" s="3"/>
    </row>
    <row r="740" spans="4:6" ht="12.75" customHeight="1" x14ac:dyDescent="0.25">
      <c r="D740" s="3"/>
      <c r="E740" s="3"/>
      <c r="F740" s="3"/>
    </row>
    <row r="741" spans="4:6" ht="12.75" customHeight="1" x14ac:dyDescent="0.25">
      <c r="D741" s="3"/>
      <c r="E741" s="3"/>
      <c r="F741" s="3"/>
    </row>
    <row r="742" spans="4:6" ht="12.75" customHeight="1" x14ac:dyDescent="0.25">
      <c r="D742" s="3"/>
      <c r="E742" s="3"/>
      <c r="F742" s="3"/>
    </row>
    <row r="743" spans="4:6" ht="12.75" customHeight="1" x14ac:dyDescent="0.25">
      <c r="D743" s="3"/>
      <c r="E743" s="3"/>
      <c r="F743" s="3"/>
    </row>
    <row r="744" spans="4:6" ht="12.75" customHeight="1" x14ac:dyDescent="0.25">
      <c r="D744" s="3"/>
      <c r="E744" s="3"/>
      <c r="F744" s="3"/>
    </row>
    <row r="745" spans="4:6" ht="12.75" customHeight="1" x14ac:dyDescent="0.25">
      <c r="D745" s="3"/>
      <c r="E745" s="3"/>
      <c r="F745" s="3"/>
    </row>
    <row r="746" spans="4:6" ht="12.75" customHeight="1" x14ac:dyDescent="0.25">
      <c r="D746" s="3"/>
      <c r="E746" s="3"/>
      <c r="F746" s="3"/>
    </row>
    <row r="747" spans="4:6" ht="12.75" customHeight="1" x14ac:dyDescent="0.25">
      <c r="D747" s="3"/>
      <c r="E747" s="3"/>
      <c r="F747" s="3"/>
    </row>
    <row r="748" spans="4:6" ht="12.75" customHeight="1" x14ac:dyDescent="0.25">
      <c r="D748" s="3"/>
      <c r="E748" s="3"/>
      <c r="F748" s="3"/>
    </row>
    <row r="749" spans="4:6" ht="12.75" customHeight="1" x14ac:dyDescent="0.25">
      <c r="D749" s="3"/>
      <c r="E749" s="3"/>
      <c r="F749" s="3"/>
    </row>
    <row r="750" spans="4:6" ht="12.75" customHeight="1" x14ac:dyDescent="0.25">
      <c r="D750" s="3"/>
      <c r="E750" s="3"/>
      <c r="F750" s="3"/>
    </row>
    <row r="751" spans="4:6" ht="12.75" customHeight="1" x14ac:dyDescent="0.25">
      <c r="D751" s="3"/>
      <c r="E751" s="3"/>
      <c r="F751" s="3"/>
    </row>
    <row r="752" spans="4:6" ht="12.75" customHeight="1" x14ac:dyDescent="0.25">
      <c r="D752" s="3"/>
      <c r="E752" s="3"/>
      <c r="F752" s="3"/>
    </row>
    <row r="753" spans="4:6" ht="12.75" customHeight="1" x14ac:dyDescent="0.25">
      <c r="D753" s="3"/>
      <c r="E753" s="3"/>
      <c r="F753" s="3"/>
    </row>
    <row r="754" spans="4:6" ht="12.75" customHeight="1" x14ac:dyDescent="0.25">
      <c r="D754" s="3"/>
      <c r="E754" s="3"/>
      <c r="F754" s="3"/>
    </row>
    <row r="755" spans="4:6" ht="12.75" customHeight="1" x14ac:dyDescent="0.25">
      <c r="D755" s="3"/>
      <c r="E755" s="3"/>
      <c r="F755" s="3"/>
    </row>
    <row r="756" spans="4:6" ht="12.75" customHeight="1" x14ac:dyDescent="0.25">
      <c r="D756" s="3"/>
      <c r="E756" s="3"/>
      <c r="F756" s="3"/>
    </row>
    <row r="757" spans="4:6" ht="12.75" customHeight="1" x14ac:dyDescent="0.25">
      <c r="D757" s="3"/>
      <c r="E757" s="3"/>
      <c r="F757" s="3"/>
    </row>
    <row r="758" spans="4:6" ht="12.75" customHeight="1" x14ac:dyDescent="0.25">
      <c r="D758" s="3"/>
      <c r="E758" s="3"/>
      <c r="F758" s="3"/>
    </row>
    <row r="759" spans="4:6" ht="12.75" customHeight="1" x14ac:dyDescent="0.25">
      <c r="D759" s="3"/>
      <c r="E759" s="3"/>
      <c r="F759" s="3"/>
    </row>
    <row r="760" spans="4:6" ht="12.75" customHeight="1" x14ac:dyDescent="0.25">
      <c r="D760" s="3"/>
      <c r="E760" s="3"/>
      <c r="F760" s="3"/>
    </row>
    <row r="761" spans="4:6" ht="12.75" customHeight="1" x14ac:dyDescent="0.25">
      <c r="D761" s="3"/>
      <c r="E761" s="3"/>
      <c r="F761" s="3"/>
    </row>
    <row r="762" spans="4:6" ht="12.75" customHeight="1" x14ac:dyDescent="0.25">
      <c r="D762" s="3"/>
      <c r="E762" s="3"/>
      <c r="F762" s="3"/>
    </row>
    <row r="763" spans="4:6" ht="12.75" customHeight="1" x14ac:dyDescent="0.25">
      <c r="D763" s="3"/>
      <c r="E763" s="3"/>
      <c r="F763" s="3"/>
    </row>
    <row r="764" spans="4:6" ht="12.75" customHeight="1" x14ac:dyDescent="0.25">
      <c r="D764" s="3"/>
      <c r="E764" s="3"/>
      <c r="F764" s="3"/>
    </row>
    <row r="765" spans="4:6" ht="12.75" customHeight="1" x14ac:dyDescent="0.25">
      <c r="D765" s="3"/>
      <c r="E765" s="3"/>
      <c r="F765" s="3"/>
    </row>
    <row r="766" spans="4:6" ht="12.75" customHeight="1" x14ac:dyDescent="0.25">
      <c r="D766" s="3"/>
      <c r="E766" s="3"/>
      <c r="F766" s="3"/>
    </row>
    <row r="767" spans="4:6" ht="12.75" customHeight="1" x14ac:dyDescent="0.25">
      <c r="D767" s="3"/>
      <c r="E767" s="3"/>
      <c r="F767" s="3"/>
    </row>
    <row r="768" spans="4:6" ht="12.75" customHeight="1" x14ac:dyDescent="0.25">
      <c r="D768" s="3"/>
      <c r="E768" s="3"/>
      <c r="F768" s="3"/>
    </row>
    <row r="769" spans="4:6" ht="12.75" customHeight="1" x14ac:dyDescent="0.25">
      <c r="D769" s="3"/>
      <c r="E769" s="3"/>
      <c r="F769" s="3"/>
    </row>
    <row r="770" spans="4:6" ht="12.75" customHeight="1" x14ac:dyDescent="0.25">
      <c r="D770" s="3"/>
      <c r="E770" s="3"/>
      <c r="F770" s="3"/>
    </row>
    <row r="771" spans="4:6" ht="12.75" customHeight="1" x14ac:dyDescent="0.25">
      <c r="D771" s="3"/>
      <c r="E771" s="3"/>
      <c r="F771" s="3"/>
    </row>
    <row r="772" spans="4:6" ht="12.75" customHeight="1" x14ac:dyDescent="0.25">
      <c r="D772" s="3"/>
      <c r="E772" s="3"/>
      <c r="F772" s="3"/>
    </row>
    <row r="773" spans="4:6" ht="12.75" customHeight="1" x14ac:dyDescent="0.25">
      <c r="D773" s="3"/>
      <c r="E773" s="3"/>
      <c r="F773" s="3"/>
    </row>
    <row r="774" spans="4:6" ht="12.75" customHeight="1" x14ac:dyDescent="0.25">
      <c r="D774" s="3"/>
      <c r="E774" s="3"/>
      <c r="F774" s="3"/>
    </row>
    <row r="775" spans="4:6" ht="12.75" customHeight="1" x14ac:dyDescent="0.25">
      <c r="D775" s="3"/>
      <c r="E775" s="3"/>
      <c r="F775" s="3"/>
    </row>
    <row r="776" spans="4:6" ht="12.75" customHeight="1" x14ac:dyDescent="0.25">
      <c r="D776" s="3"/>
      <c r="E776" s="3"/>
      <c r="F776" s="3"/>
    </row>
    <row r="777" spans="4:6" ht="12.75" customHeight="1" x14ac:dyDescent="0.25">
      <c r="D777" s="3"/>
      <c r="E777" s="3"/>
      <c r="F777" s="3"/>
    </row>
    <row r="778" spans="4:6" ht="12.75" customHeight="1" x14ac:dyDescent="0.25">
      <c r="D778" s="3"/>
      <c r="E778" s="3"/>
      <c r="F778" s="3"/>
    </row>
    <row r="779" spans="4:6" ht="12.75" customHeight="1" x14ac:dyDescent="0.25">
      <c r="D779" s="3"/>
      <c r="E779" s="3"/>
      <c r="F779" s="3"/>
    </row>
    <row r="780" spans="4:6" ht="12.75" customHeight="1" x14ac:dyDescent="0.25">
      <c r="D780" s="3"/>
      <c r="E780" s="3"/>
      <c r="F780" s="3"/>
    </row>
    <row r="781" spans="4:6" ht="12.75" customHeight="1" x14ac:dyDescent="0.25">
      <c r="D781" s="3"/>
      <c r="E781" s="3"/>
      <c r="F781" s="3"/>
    </row>
    <row r="782" spans="4:6" ht="12.75" customHeight="1" x14ac:dyDescent="0.25">
      <c r="D782" s="3"/>
      <c r="E782" s="3"/>
      <c r="F782" s="3"/>
    </row>
    <row r="783" spans="4:6" ht="12.75" customHeight="1" x14ac:dyDescent="0.25">
      <c r="D783" s="3"/>
      <c r="E783" s="3"/>
      <c r="F783" s="3"/>
    </row>
    <row r="784" spans="4:6" ht="12.75" customHeight="1" x14ac:dyDescent="0.25">
      <c r="D784" s="3"/>
      <c r="E784" s="3"/>
      <c r="F784" s="3"/>
    </row>
    <row r="785" spans="4:6" ht="12.75" customHeight="1" x14ac:dyDescent="0.25">
      <c r="D785" s="3"/>
      <c r="E785" s="3"/>
      <c r="F785" s="3"/>
    </row>
    <row r="786" spans="4:6" ht="12.75" customHeight="1" x14ac:dyDescent="0.25">
      <c r="D786" s="3"/>
      <c r="E786" s="3"/>
      <c r="F786" s="3"/>
    </row>
    <row r="787" spans="4:6" ht="12.75" customHeight="1" x14ac:dyDescent="0.25">
      <c r="D787" s="3"/>
      <c r="E787" s="3"/>
      <c r="F787" s="3"/>
    </row>
    <row r="788" spans="4:6" ht="12.75" customHeight="1" x14ac:dyDescent="0.25">
      <c r="D788" s="3"/>
      <c r="E788" s="3"/>
      <c r="F788" s="3"/>
    </row>
    <row r="789" spans="4:6" ht="12.75" customHeight="1" x14ac:dyDescent="0.25">
      <c r="D789" s="3"/>
      <c r="E789" s="3"/>
      <c r="F789" s="3"/>
    </row>
    <row r="790" spans="4:6" ht="12.75" customHeight="1" x14ac:dyDescent="0.25">
      <c r="D790" s="3"/>
      <c r="E790" s="3"/>
      <c r="F790" s="3"/>
    </row>
    <row r="791" spans="4:6" ht="12.75" customHeight="1" x14ac:dyDescent="0.25">
      <c r="D791" s="3"/>
      <c r="E791" s="3"/>
      <c r="F791" s="3"/>
    </row>
    <row r="792" spans="4:6" ht="12.75" customHeight="1" x14ac:dyDescent="0.25">
      <c r="D792" s="3"/>
      <c r="E792" s="3"/>
      <c r="F792" s="3"/>
    </row>
    <row r="793" spans="4:6" ht="12.75" customHeight="1" x14ac:dyDescent="0.25">
      <c r="D793" s="3"/>
      <c r="E793" s="3"/>
      <c r="F793" s="3"/>
    </row>
    <row r="794" spans="4:6" ht="12.75" customHeight="1" x14ac:dyDescent="0.25">
      <c r="D794" s="3"/>
      <c r="E794" s="3"/>
      <c r="F794" s="3"/>
    </row>
    <row r="795" spans="4:6" ht="12.75" customHeight="1" x14ac:dyDescent="0.25">
      <c r="D795" s="3"/>
      <c r="E795" s="3"/>
      <c r="F795" s="3"/>
    </row>
    <row r="796" spans="4:6" ht="12.75" customHeight="1" x14ac:dyDescent="0.25">
      <c r="D796" s="3"/>
      <c r="E796" s="3"/>
      <c r="F796" s="3"/>
    </row>
    <row r="797" spans="4:6" ht="12.75" customHeight="1" x14ac:dyDescent="0.25">
      <c r="D797" s="3"/>
      <c r="E797" s="3"/>
      <c r="F797" s="3"/>
    </row>
    <row r="798" spans="4:6" ht="12.75" customHeight="1" x14ac:dyDescent="0.25">
      <c r="D798" s="3"/>
      <c r="E798" s="3"/>
      <c r="F798" s="3"/>
    </row>
    <row r="799" spans="4:6" ht="12.75" customHeight="1" x14ac:dyDescent="0.25">
      <c r="D799" s="3"/>
      <c r="E799" s="3"/>
      <c r="F799" s="3"/>
    </row>
    <row r="800" spans="4:6" ht="12.75" customHeight="1" x14ac:dyDescent="0.25">
      <c r="D800" s="3"/>
      <c r="E800" s="3"/>
      <c r="F800" s="3"/>
    </row>
    <row r="801" spans="4:6" ht="12.75" customHeight="1" x14ac:dyDescent="0.25">
      <c r="D801" s="3"/>
      <c r="E801" s="3"/>
      <c r="F801" s="3"/>
    </row>
    <row r="802" spans="4:6" ht="12.75" customHeight="1" x14ac:dyDescent="0.25">
      <c r="D802" s="3"/>
      <c r="E802" s="3"/>
      <c r="F802" s="3"/>
    </row>
    <row r="803" spans="4:6" ht="12.75" customHeight="1" x14ac:dyDescent="0.25">
      <c r="D803" s="3"/>
      <c r="E803" s="3"/>
      <c r="F803" s="3"/>
    </row>
    <row r="804" spans="4:6" ht="12.75" customHeight="1" x14ac:dyDescent="0.25">
      <c r="D804" s="3"/>
      <c r="E804" s="3"/>
      <c r="F804" s="3"/>
    </row>
    <row r="805" spans="4:6" ht="12.75" customHeight="1" x14ac:dyDescent="0.25">
      <c r="D805" s="3"/>
      <c r="E805" s="3"/>
      <c r="F805" s="3"/>
    </row>
    <row r="806" spans="4:6" ht="12.75" customHeight="1" x14ac:dyDescent="0.25">
      <c r="D806" s="3"/>
      <c r="E806" s="3"/>
      <c r="F806" s="3"/>
    </row>
    <row r="807" spans="4:6" ht="12.75" customHeight="1" x14ac:dyDescent="0.25">
      <c r="D807" s="3"/>
      <c r="E807" s="3"/>
      <c r="F807" s="3"/>
    </row>
    <row r="808" spans="4:6" ht="12.75" customHeight="1" x14ac:dyDescent="0.25">
      <c r="D808" s="3"/>
      <c r="E808" s="3"/>
      <c r="F808" s="3"/>
    </row>
    <row r="809" spans="4:6" ht="12.75" customHeight="1" x14ac:dyDescent="0.25">
      <c r="D809" s="3"/>
      <c r="E809" s="3"/>
      <c r="F809" s="3"/>
    </row>
    <row r="810" spans="4:6" ht="12.75" customHeight="1" x14ac:dyDescent="0.25">
      <c r="D810" s="3"/>
      <c r="E810" s="3"/>
      <c r="F810" s="3"/>
    </row>
    <row r="811" spans="4:6" ht="12.75" customHeight="1" x14ac:dyDescent="0.25">
      <c r="D811" s="3"/>
      <c r="E811" s="3"/>
      <c r="F811" s="3"/>
    </row>
    <row r="812" spans="4:6" ht="12.75" customHeight="1" x14ac:dyDescent="0.25">
      <c r="D812" s="3"/>
      <c r="E812" s="3"/>
      <c r="F812" s="3"/>
    </row>
    <row r="813" spans="4:6" ht="12.75" customHeight="1" x14ac:dyDescent="0.25">
      <c r="D813" s="3"/>
      <c r="E813" s="3"/>
      <c r="F813" s="3"/>
    </row>
    <row r="814" spans="4:6" ht="12.75" customHeight="1" x14ac:dyDescent="0.25">
      <c r="D814" s="3"/>
      <c r="E814" s="3"/>
      <c r="F814" s="3"/>
    </row>
    <row r="815" spans="4:6" ht="12.75" customHeight="1" x14ac:dyDescent="0.25">
      <c r="D815" s="3"/>
      <c r="E815" s="3"/>
      <c r="F815" s="3"/>
    </row>
    <row r="816" spans="4:6" ht="12.75" customHeight="1" x14ac:dyDescent="0.25">
      <c r="D816" s="3"/>
      <c r="E816" s="3"/>
      <c r="F816" s="3"/>
    </row>
    <row r="817" spans="4:6" ht="12.75" customHeight="1" x14ac:dyDescent="0.25">
      <c r="D817" s="3"/>
      <c r="E817" s="3"/>
      <c r="F817" s="3"/>
    </row>
    <row r="818" spans="4:6" ht="12.75" customHeight="1" x14ac:dyDescent="0.25">
      <c r="D818" s="3"/>
      <c r="E818" s="3"/>
      <c r="F818" s="3"/>
    </row>
    <row r="819" spans="4:6" ht="12.75" customHeight="1" x14ac:dyDescent="0.25">
      <c r="D819" s="3"/>
      <c r="E819" s="3"/>
      <c r="F819" s="3"/>
    </row>
    <row r="820" spans="4:6" ht="12.75" customHeight="1" x14ac:dyDescent="0.25">
      <c r="D820" s="3"/>
      <c r="E820" s="3"/>
      <c r="F820" s="3"/>
    </row>
    <row r="821" spans="4:6" ht="12.75" customHeight="1" x14ac:dyDescent="0.25">
      <c r="D821" s="3"/>
      <c r="E821" s="3"/>
      <c r="F821" s="3"/>
    </row>
    <row r="822" spans="4:6" ht="12.75" customHeight="1" x14ac:dyDescent="0.25">
      <c r="D822" s="3"/>
      <c r="E822" s="3"/>
      <c r="F822" s="3"/>
    </row>
    <row r="823" spans="4:6" ht="12.75" customHeight="1" x14ac:dyDescent="0.25">
      <c r="D823" s="3"/>
      <c r="E823" s="3"/>
      <c r="F823" s="3"/>
    </row>
    <row r="824" spans="4:6" ht="12.75" customHeight="1" x14ac:dyDescent="0.25">
      <c r="D824" s="3"/>
      <c r="E824" s="3"/>
      <c r="F824" s="3"/>
    </row>
    <row r="825" spans="4:6" ht="12.75" customHeight="1" x14ac:dyDescent="0.25">
      <c r="D825" s="3"/>
      <c r="E825" s="3"/>
      <c r="F825" s="3"/>
    </row>
    <row r="826" spans="4:6" ht="12.75" customHeight="1" x14ac:dyDescent="0.25">
      <c r="D826" s="3"/>
      <c r="E826" s="3"/>
      <c r="F826" s="3"/>
    </row>
    <row r="827" spans="4:6" ht="12.75" customHeight="1" x14ac:dyDescent="0.25">
      <c r="D827" s="3"/>
      <c r="E827" s="3"/>
      <c r="F827" s="3"/>
    </row>
    <row r="828" spans="4:6" ht="12.75" customHeight="1" x14ac:dyDescent="0.25">
      <c r="D828" s="3"/>
      <c r="E828" s="3"/>
      <c r="F828" s="3"/>
    </row>
    <row r="829" spans="4:6" ht="12.75" customHeight="1" x14ac:dyDescent="0.25">
      <c r="D829" s="3"/>
      <c r="E829" s="3"/>
      <c r="F829" s="3"/>
    </row>
    <row r="830" spans="4:6" ht="12.75" customHeight="1" x14ac:dyDescent="0.25">
      <c r="D830" s="3"/>
      <c r="E830" s="3"/>
      <c r="F830" s="3"/>
    </row>
    <row r="831" spans="4:6" ht="12.75" customHeight="1" x14ac:dyDescent="0.25">
      <c r="D831" s="3"/>
      <c r="E831" s="3"/>
      <c r="F831" s="3"/>
    </row>
    <row r="832" spans="4:6" ht="12.75" customHeight="1" x14ac:dyDescent="0.25">
      <c r="D832" s="3"/>
      <c r="E832" s="3"/>
      <c r="F832" s="3"/>
    </row>
    <row r="833" spans="4:6" ht="12.75" customHeight="1" x14ac:dyDescent="0.25">
      <c r="D833" s="3"/>
      <c r="E833" s="3"/>
      <c r="F833" s="3"/>
    </row>
    <row r="834" spans="4:6" ht="12.75" customHeight="1" x14ac:dyDescent="0.25">
      <c r="D834" s="3"/>
      <c r="E834" s="3"/>
      <c r="F834" s="3"/>
    </row>
    <row r="835" spans="4:6" ht="12.75" customHeight="1" x14ac:dyDescent="0.25">
      <c r="D835" s="3"/>
      <c r="E835" s="3"/>
      <c r="F835" s="3"/>
    </row>
    <row r="836" spans="4:6" ht="12.75" customHeight="1" x14ac:dyDescent="0.25">
      <c r="D836" s="3"/>
      <c r="E836" s="3"/>
      <c r="F836" s="3"/>
    </row>
    <row r="837" spans="4:6" ht="12.75" customHeight="1" x14ac:dyDescent="0.25">
      <c r="D837" s="3"/>
      <c r="E837" s="3"/>
      <c r="F837" s="3"/>
    </row>
    <row r="838" spans="4:6" ht="12.75" customHeight="1" x14ac:dyDescent="0.25">
      <c r="D838" s="3"/>
      <c r="E838" s="3"/>
      <c r="F838" s="3"/>
    </row>
    <row r="839" spans="4:6" ht="12.75" customHeight="1" x14ac:dyDescent="0.25">
      <c r="D839" s="3"/>
      <c r="E839" s="3"/>
      <c r="F839" s="3"/>
    </row>
    <row r="840" spans="4:6" ht="12.75" customHeight="1" x14ac:dyDescent="0.25">
      <c r="D840" s="3"/>
      <c r="E840" s="3"/>
      <c r="F840" s="3"/>
    </row>
    <row r="841" spans="4:6" ht="12.75" customHeight="1" x14ac:dyDescent="0.25">
      <c r="D841" s="3"/>
      <c r="E841" s="3"/>
      <c r="F841" s="3"/>
    </row>
    <row r="842" spans="4:6" ht="12.75" customHeight="1" x14ac:dyDescent="0.25">
      <c r="D842" s="3"/>
      <c r="E842" s="3"/>
      <c r="F842" s="3"/>
    </row>
    <row r="843" spans="4:6" ht="12.75" customHeight="1" x14ac:dyDescent="0.25">
      <c r="D843" s="3"/>
      <c r="E843" s="3"/>
      <c r="F843" s="3"/>
    </row>
    <row r="844" spans="4:6" ht="12.75" customHeight="1" x14ac:dyDescent="0.25">
      <c r="D844" s="3"/>
      <c r="E844" s="3"/>
      <c r="F844" s="3"/>
    </row>
    <row r="845" spans="4:6" ht="12.75" customHeight="1" x14ac:dyDescent="0.25">
      <c r="D845" s="3"/>
      <c r="E845" s="3"/>
      <c r="F845" s="3"/>
    </row>
    <row r="846" spans="4:6" ht="12.75" customHeight="1" x14ac:dyDescent="0.25">
      <c r="D846" s="3"/>
      <c r="E846" s="3"/>
      <c r="F846" s="3"/>
    </row>
    <row r="847" spans="4:6" ht="12.75" customHeight="1" x14ac:dyDescent="0.25">
      <c r="D847" s="3"/>
      <c r="E847" s="3"/>
      <c r="F847" s="3"/>
    </row>
    <row r="848" spans="4:6" ht="12.75" customHeight="1" x14ac:dyDescent="0.25">
      <c r="D848" s="3"/>
      <c r="E848" s="3"/>
      <c r="F848" s="3"/>
    </row>
    <row r="849" spans="4:6" ht="12.75" customHeight="1" x14ac:dyDescent="0.25">
      <c r="D849" s="3"/>
      <c r="E849" s="3"/>
      <c r="F849" s="3"/>
    </row>
    <row r="850" spans="4:6" ht="12.75" customHeight="1" x14ac:dyDescent="0.25">
      <c r="D850" s="3"/>
      <c r="E850" s="3"/>
      <c r="F850" s="3"/>
    </row>
    <row r="851" spans="4:6" ht="12.75" customHeight="1" x14ac:dyDescent="0.25">
      <c r="D851" s="3"/>
      <c r="E851" s="3"/>
      <c r="F851" s="3"/>
    </row>
    <row r="852" spans="4:6" ht="12.75" customHeight="1" x14ac:dyDescent="0.25">
      <c r="D852" s="3"/>
      <c r="E852" s="3"/>
      <c r="F852" s="3"/>
    </row>
    <row r="853" spans="4:6" ht="12.75" customHeight="1" x14ac:dyDescent="0.25">
      <c r="D853" s="3"/>
      <c r="E853" s="3"/>
      <c r="F853" s="3"/>
    </row>
    <row r="854" spans="4:6" ht="12.75" customHeight="1" x14ac:dyDescent="0.25">
      <c r="D854" s="3"/>
      <c r="E854" s="3"/>
      <c r="F854" s="3"/>
    </row>
    <row r="855" spans="4:6" ht="12.75" customHeight="1" x14ac:dyDescent="0.25">
      <c r="D855" s="3"/>
      <c r="E855" s="3"/>
      <c r="F855" s="3"/>
    </row>
    <row r="856" spans="4:6" ht="12.75" customHeight="1" x14ac:dyDescent="0.25">
      <c r="D856" s="3"/>
      <c r="E856" s="3"/>
      <c r="F856" s="3"/>
    </row>
    <row r="857" spans="4:6" ht="12.75" customHeight="1" x14ac:dyDescent="0.25">
      <c r="D857" s="3"/>
      <c r="E857" s="3"/>
      <c r="F857" s="3"/>
    </row>
    <row r="858" spans="4:6" ht="12.75" customHeight="1" x14ac:dyDescent="0.25">
      <c r="D858" s="3"/>
      <c r="E858" s="3"/>
      <c r="F858" s="3"/>
    </row>
    <row r="859" spans="4:6" ht="12.75" customHeight="1" x14ac:dyDescent="0.25">
      <c r="D859" s="3"/>
      <c r="E859" s="3"/>
      <c r="F859" s="3"/>
    </row>
    <row r="860" spans="4:6" ht="12.75" customHeight="1" x14ac:dyDescent="0.25">
      <c r="D860" s="3"/>
      <c r="E860" s="3"/>
      <c r="F860" s="3"/>
    </row>
    <row r="861" spans="4:6" ht="12.75" customHeight="1" x14ac:dyDescent="0.25">
      <c r="D861" s="3"/>
      <c r="E861" s="3"/>
      <c r="F861" s="3"/>
    </row>
    <row r="862" spans="4:6" ht="12.75" customHeight="1" x14ac:dyDescent="0.25">
      <c r="D862" s="3"/>
      <c r="E862" s="3"/>
      <c r="F862" s="3"/>
    </row>
    <row r="863" spans="4:6" ht="12.75" customHeight="1" x14ac:dyDescent="0.25">
      <c r="D863" s="3"/>
      <c r="E863" s="3"/>
      <c r="F863" s="3"/>
    </row>
    <row r="864" spans="4:6" ht="12.75" customHeight="1" x14ac:dyDescent="0.25">
      <c r="D864" s="3"/>
      <c r="E864" s="3"/>
      <c r="F864" s="3"/>
    </row>
    <row r="865" spans="4:6" ht="12.75" customHeight="1" x14ac:dyDescent="0.25">
      <c r="D865" s="3"/>
      <c r="E865" s="3"/>
      <c r="F865" s="3"/>
    </row>
    <row r="866" spans="4:6" ht="12.75" customHeight="1" x14ac:dyDescent="0.25">
      <c r="D866" s="3"/>
      <c r="E866" s="3"/>
      <c r="F866" s="3"/>
    </row>
    <row r="867" spans="4:6" ht="12.75" customHeight="1" x14ac:dyDescent="0.25">
      <c r="D867" s="3"/>
      <c r="E867" s="3"/>
      <c r="F867" s="3"/>
    </row>
    <row r="868" spans="4:6" ht="12.75" customHeight="1" x14ac:dyDescent="0.25">
      <c r="D868" s="3"/>
      <c r="E868" s="3"/>
      <c r="F868" s="3"/>
    </row>
    <row r="869" spans="4:6" ht="12.75" customHeight="1" x14ac:dyDescent="0.25">
      <c r="D869" s="3"/>
      <c r="E869" s="3"/>
      <c r="F869" s="3"/>
    </row>
    <row r="870" spans="4:6" ht="12.75" customHeight="1" x14ac:dyDescent="0.25">
      <c r="D870" s="3"/>
      <c r="E870" s="3"/>
      <c r="F870" s="3"/>
    </row>
    <row r="871" spans="4:6" ht="12.75" customHeight="1" x14ac:dyDescent="0.25">
      <c r="D871" s="3"/>
      <c r="E871" s="3"/>
      <c r="F871" s="3"/>
    </row>
    <row r="872" spans="4:6" ht="12.75" customHeight="1" x14ac:dyDescent="0.25">
      <c r="D872" s="3"/>
      <c r="E872" s="3"/>
      <c r="F872" s="3"/>
    </row>
    <row r="873" spans="4:6" ht="12.75" customHeight="1" x14ac:dyDescent="0.25">
      <c r="D873" s="3"/>
      <c r="E873" s="3"/>
      <c r="F873" s="3"/>
    </row>
    <row r="874" spans="4:6" ht="12.75" customHeight="1" x14ac:dyDescent="0.25">
      <c r="D874" s="3"/>
      <c r="E874" s="3"/>
      <c r="F874" s="3"/>
    </row>
    <row r="875" spans="4:6" ht="12.75" customHeight="1" x14ac:dyDescent="0.25">
      <c r="D875" s="3"/>
      <c r="E875" s="3"/>
      <c r="F875" s="3"/>
    </row>
    <row r="876" spans="4:6" ht="12.75" customHeight="1" x14ac:dyDescent="0.25">
      <c r="D876" s="3"/>
      <c r="E876" s="3"/>
      <c r="F876" s="3"/>
    </row>
    <row r="877" spans="4:6" ht="12.75" customHeight="1" x14ac:dyDescent="0.25">
      <c r="D877" s="3"/>
      <c r="E877" s="3"/>
      <c r="F877" s="3"/>
    </row>
    <row r="878" spans="4:6" ht="12.75" customHeight="1" x14ac:dyDescent="0.25">
      <c r="D878" s="3"/>
      <c r="E878" s="3"/>
      <c r="F878" s="3"/>
    </row>
    <row r="879" spans="4:6" ht="12.75" customHeight="1" x14ac:dyDescent="0.25">
      <c r="D879" s="3"/>
      <c r="E879" s="3"/>
      <c r="F879" s="3"/>
    </row>
    <row r="880" spans="4:6" ht="12.75" customHeight="1" x14ac:dyDescent="0.25">
      <c r="D880" s="3"/>
      <c r="E880" s="3"/>
      <c r="F880" s="3"/>
    </row>
    <row r="881" spans="4:6" ht="12.75" customHeight="1" x14ac:dyDescent="0.25">
      <c r="D881" s="3"/>
      <c r="E881" s="3"/>
      <c r="F881" s="3"/>
    </row>
    <row r="882" spans="4:6" ht="12.75" customHeight="1" x14ac:dyDescent="0.25">
      <c r="D882" s="3"/>
      <c r="E882" s="3"/>
      <c r="F882" s="3"/>
    </row>
    <row r="883" spans="4:6" ht="12.75" customHeight="1" x14ac:dyDescent="0.25">
      <c r="D883" s="3"/>
      <c r="E883" s="3"/>
      <c r="F883" s="3"/>
    </row>
    <row r="884" spans="4:6" ht="12.75" customHeight="1" x14ac:dyDescent="0.25">
      <c r="D884" s="3"/>
      <c r="E884" s="3"/>
      <c r="F884" s="3"/>
    </row>
    <row r="885" spans="4:6" ht="12.75" customHeight="1" x14ac:dyDescent="0.25">
      <c r="D885" s="3"/>
      <c r="E885" s="3"/>
      <c r="F885" s="3"/>
    </row>
    <row r="886" spans="4:6" ht="12.75" customHeight="1" x14ac:dyDescent="0.25">
      <c r="D886" s="3"/>
      <c r="E886" s="3"/>
      <c r="F886" s="3"/>
    </row>
    <row r="887" spans="4:6" ht="12.75" customHeight="1" x14ac:dyDescent="0.25">
      <c r="D887" s="3"/>
      <c r="E887" s="3"/>
      <c r="F887" s="3"/>
    </row>
    <row r="888" spans="4:6" ht="12.75" customHeight="1" x14ac:dyDescent="0.25">
      <c r="D888" s="3"/>
      <c r="E888" s="3"/>
      <c r="F888" s="3"/>
    </row>
    <row r="889" spans="4:6" ht="12.75" customHeight="1" x14ac:dyDescent="0.25">
      <c r="D889" s="3"/>
      <c r="E889" s="3"/>
      <c r="F889" s="3"/>
    </row>
    <row r="890" spans="4:6" ht="12.75" customHeight="1" x14ac:dyDescent="0.25">
      <c r="D890" s="3"/>
      <c r="E890" s="3"/>
      <c r="F890" s="3"/>
    </row>
    <row r="891" spans="4:6" ht="12.75" customHeight="1" x14ac:dyDescent="0.25">
      <c r="D891" s="3"/>
      <c r="E891" s="3"/>
      <c r="F891" s="3"/>
    </row>
    <row r="892" spans="4:6" ht="12.75" customHeight="1" x14ac:dyDescent="0.25">
      <c r="D892" s="3"/>
      <c r="E892" s="3"/>
      <c r="F892" s="3"/>
    </row>
    <row r="893" spans="4:6" ht="12.75" customHeight="1" x14ac:dyDescent="0.25">
      <c r="D893" s="3"/>
      <c r="E893" s="3"/>
      <c r="F893" s="3"/>
    </row>
    <row r="894" spans="4:6" ht="12.75" customHeight="1" x14ac:dyDescent="0.25">
      <c r="D894" s="3"/>
      <c r="E894" s="3"/>
      <c r="F894" s="3"/>
    </row>
    <row r="895" spans="4:6" ht="12.75" customHeight="1" x14ac:dyDescent="0.25">
      <c r="D895" s="3"/>
      <c r="E895" s="3"/>
      <c r="F895" s="3"/>
    </row>
    <row r="896" spans="4:6" ht="12.75" customHeight="1" x14ac:dyDescent="0.25">
      <c r="D896" s="3"/>
      <c r="E896" s="3"/>
      <c r="F896" s="3"/>
    </row>
    <row r="897" spans="4:6" ht="12.75" customHeight="1" x14ac:dyDescent="0.25">
      <c r="D897" s="3"/>
      <c r="E897" s="3"/>
      <c r="F897" s="3"/>
    </row>
    <row r="898" spans="4:6" ht="12.75" customHeight="1" x14ac:dyDescent="0.25">
      <c r="D898" s="3"/>
      <c r="E898" s="3"/>
      <c r="F898" s="3"/>
    </row>
    <row r="899" spans="4:6" ht="12.75" customHeight="1" x14ac:dyDescent="0.25">
      <c r="D899" s="3"/>
      <c r="E899" s="3"/>
      <c r="F899" s="3"/>
    </row>
    <row r="900" spans="4:6" ht="12.75" customHeight="1" x14ac:dyDescent="0.25">
      <c r="D900" s="3"/>
      <c r="E900" s="3"/>
      <c r="F900" s="3"/>
    </row>
    <row r="901" spans="4:6" ht="12.75" customHeight="1" x14ac:dyDescent="0.25">
      <c r="D901" s="3"/>
      <c r="E901" s="3"/>
      <c r="F901" s="3"/>
    </row>
    <row r="902" spans="4:6" ht="12.75" customHeight="1" x14ac:dyDescent="0.25">
      <c r="D902" s="3"/>
      <c r="E902" s="3"/>
      <c r="F902" s="3"/>
    </row>
    <row r="903" spans="4:6" ht="12.75" customHeight="1" x14ac:dyDescent="0.25">
      <c r="D903" s="3"/>
      <c r="E903" s="3"/>
      <c r="F903" s="3"/>
    </row>
    <row r="904" spans="4:6" ht="12.75" customHeight="1" x14ac:dyDescent="0.25">
      <c r="D904" s="3"/>
      <c r="E904" s="3"/>
      <c r="F904" s="3"/>
    </row>
    <row r="905" spans="4:6" ht="12.75" customHeight="1" x14ac:dyDescent="0.25">
      <c r="D905" s="3"/>
      <c r="E905" s="3"/>
      <c r="F905" s="3"/>
    </row>
    <row r="906" spans="4:6" ht="12.75" customHeight="1" x14ac:dyDescent="0.25">
      <c r="D906" s="3"/>
      <c r="E906" s="3"/>
      <c r="F906" s="3"/>
    </row>
    <row r="907" spans="4:6" ht="12.75" customHeight="1" x14ac:dyDescent="0.25">
      <c r="D907" s="3"/>
      <c r="E907" s="3"/>
      <c r="F907" s="3"/>
    </row>
    <row r="908" spans="4:6" ht="12.75" customHeight="1" x14ac:dyDescent="0.25">
      <c r="D908" s="3"/>
      <c r="E908" s="3"/>
      <c r="F908" s="3"/>
    </row>
    <row r="909" spans="4:6" ht="12.75" customHeight="1" x14ac:dyDescent="0.25">
      <c r="D909" s="3"/>
      <c r="E909" s="3"/>
      <c r="F909" s="3"/>
    </row>
    <row r="910" spans="4:6" ht="12.75" customHeight="1" x14ac:dyDescent="0.25">
      <c r="D910" s="3"/>
      <c r="E910" s="3"/>
      <c r="F910" s="3"/>
    </row>
    <row r="911" spans="4:6" ht="12.75" customHeight="1" x14ac:dyDescent="0.25">
      <c r="D911" s="3"/>
      <c r="E911" s="3"/>
      <c r="F911" s="3"/>
    </row>
    <row r="912" spans="4:6" ht="12.75" customHeight="1" x14ac:dyDescent="0.25">
      <c r="D912" s="3"/>
      <c r="E912" s="3"/>
      <c r="F912" s="3"/>
    </row>
    <row r="913" spans="4:6" ht="12.75" customHeight="1" x14ac:dyDescent="0.25">
      <c r="D913" s="3"/>
      <c r="E913" s="3"/>
      <c r="F913" s="3"/>
    </row>
    <row r="914" spans="4:6" ht="12.75" customHeight="1" x14ac:dyDescent="0.25">
      <c r="D914" s="3"/>
      <c r="E914" s="3"/>
      <c r="F914" s="3"/>
    </row>
    <row r="915" spans="4:6" ht="12.75" customHeight="1" x14ac:dyDescent="0.25">
      <c r="D915" s="3"/>
      <c r="E915" s="3"/>
      <c r="F915" s="3"/>
    </row>
    <row r="916" spans="4:6" ht="12.75" customHeight="1" x14ac:dyDescent="0.25">
      <c r="D916" s="3"/>
      <c r="E916" s="3"/>
      <c r="F916" s="3"/>
    </row>
    <row r="917" spans="4:6" ht="12.75" customHeight="1" x14ac:dyDescent="0.25">
      <c r="D917" s="3"/>
      <c r="E917" s="3"/>
      <c r="F917" s="3"/>
    </row>
    <row r="918" spans="4:6" ht="12.75" customHeight="1" x14ac:dyDescent="0.25">
      <c r="D918" s="3"/>
      <c r="E918" s="3"/>
      <c r="F918" s="3"/>
    </row>
    <row r="919" spans="4:6" ht="12.75" customHeight="1" x14ac:dyDescent="0.25">
      <c r="D919" s="3"/>
      <c r="E919" s="3"/>
      <c r="F919" s="3"/>
    </row>
    <row r="920" spans="4:6" ht="12.75" customHeight="1" x14ac:dyDescent="0.25">
      <c r="D920" s="3"/>
      <c r="E920" s="3"/>
      <c r="F920" s="3"/>
    </row>
    <row r="921" spans="4:6" ht="12.75" customHeight="1" x14ac:dyDescent="0.25">
      <c r="D921" s="3"/>
      <c r="E921" s="3"/>
      <c r="F921" s="3"/>
    </row>
    <row r="922" spans="4:6" ht="12.75" customHeight="1" x14ac:dyDescent="0.25">
      <c r="D922" s="3"/>
      <c r="E922" s="3"/>
      <c r="F922" s="3"/>
    </row>
    <row r="923" spans="4:6" ht="12.75" customHeight="1" x14ac:dyDescent="0.25">
      <c r="D923" s="3"/>
      <c r="E923" s="3"/>
      <c r="F923" s="3"/>
    </row>
    <row r="924" spans="4:6" ht="12.75" customHeight="1" x14ac:dyDescent="0.25">
      <c r="D924" s="3"/>
      <c r="E924" s="3"/>
      <c r="F924" s="3"/>
    </row>
    <row r="925" spans="4:6" ht="12.75" customHeight="1" x14ac:dyDescent="0.25">
      <c r="D925" s="3"/>
      <c r="E925" s="3"/>
      <c r="F925" s="3"/>
    </row>
    <row r="926" spans="4:6" ht="12.75" customHeight="1" x14ac:dyDescent="0.25">
      <c r="D926" s="3"/>
      <c r="E926" s="3"/>
      <c r="F926" s="3"/>
    </row>
    <row r="927" spans="4:6" ht="12.75" customHeight="1" x14ac:dyDescent="0.25">
      <c r="D927" s="3"/>
      <c r="E927" s="3"/>
      <c r="F927" s="3"/>
    </row>
    <row r="928" spans="4:6" ht="12.75" customHeight="1" x14ac:dyDescent="0.25">
      <c r="D928" s="3"/>
      <c r="E928" s="3"/>
      <c r="F928" s="3"/>
    </row>
    <row r="929" spans="4:6" ht="12.75" customHeight="1" x14ac:dyDescent="0.25">
      <c r="D929" s="3"/>
      <c r="E929" s="3"/>
      <c r="F929" s="3"/>
    </row>
    <row r="930" spans="4:6" ht="12.75" customHeight="1" x14ac:dyDescent="0.25">
      <c r="D930" s="3"/>
      <c r="E930" s="3"/>
      <c r="F930" s="3"/>
    </row>
    <row r="931" spans="4:6" ht="12.75" customHeight="1" x14ac:dyDescent="0.25">
      <c r="D931" s="3"/>
      <c r="E931" s="3"/>
      <c r="F931" s="3"/>
    </row>
    <row r="932" spans="4:6" ht="12.75" customHeight="1" x14ac:dyDescent="0.25">
      <c r="D932" s="3"/>
      <c r="E932" s="3"/>
      <c r="F932" s="3"/>
    </row>
    <row r="933" spans="4:6" ht="12.75" customHeight="1" x14ac:dyDescent="0.25">
      <c r="D933" s="3"/>
      <c r="E933" s="3"/>
      <c r="F933" s="3"/>
    </row>
    <row r="934" spans="4:6" ht="12.75" customHeight="1" x14ac:dyDescent="0.25">
      <c r="D934" s="3"/>
      <c r="E934" s="3"/>
      <c r="F934" s="3"/>
    </row>
    <row r="935" spans="4:6" ht="12.75" customHeight="1" x14ac:dyDescent="0.25">
      <c r="D935" s="3"/>
      <c r="E935" s="3"/>
      <c r="F935" s="3"/>
    </row>
    <row r="936" spans="4:6" ht="12.75" customHeight="1" x14ac:dyDescent="0.25">
      <c r="D936" s="3"/>
      <c r="E936" s="3"/>
      <c r="F936" s="3"/>
    </row>
    <row r="937" spans="4:6" ht="12.75" customHeight="1" x14ac:dyDescent="0.25">
      <c r="D937" s="3"/>
      <c r="E937" s="3"/>
      <c r="F937" s="3"/>
    </row>
    <row r="938" spans="4:6" ht="12.75" customHeight="1" x14ac:dyDescent="0.25">
      <c r="D938" s="3"/>
      <c r="E938" s="3"/>
      <c r="F938" s="3"/>
    </row>
    <row r="939" spans="4:6" ht="12.75" customHeight="1" x14ac:dyDescent="0.25">
      <c r="D939" s="3"/>
      <c r="E939" s="3"/>
      <c r="F939" s="3"/>
    </row>
    <row r="940" spans="4:6" ht="12.75" customHeight="1" x14ac:dyDescent="0.25">
      <c r="D940" s="3"/>
      <c r="E940" s="3"/>
      <c r="F940" s="3"/>
    </row>
    <row r="941" spans="4:6" ht="12.75" customHeight="1" x14ac:dyDescent="0.25">
      <c r="D941" s="3"/>
      <c r="E941" s="3"/>
      <c r="F941" s="3"/>
    </row>
    <row r="942" spans="4:6" ht="12.75" customHeight="1" x14ac:dyDescent="0.25">
      <c r="D942" s="3"/>
      <c r="E942" s="3"/>
      <c r="F942" s="3"/>
    </row>
    <row r="943" spans="4:6" ht="12.75" customHeight="1" x14ac:dyDescent="0.25">
      <c r="D943" s="3"/>
      <c r="E943" s="3"/>
      <c r="F943" s="3"/>
    </row>
    <row r="944" spans="4:6" ht="12.75" customHeight="1" x14ac:dyDescent="0.25">
      <c r="D944" s="3"/>
      <c r="E944" s="3"/>
      <c r="F944" s="3"/>
    </row>
    <row r="945" spans="4:6" ht="12.75" customHeight="1" x14ac:dyDescent="0.25">
      <c r="D945" s="3"/>
      <c r="E945" s="3"/>
      <c r="F945" s="3"/>
    </row>
    <row r="946" spans="4:6" ht="12.75" customHeight="1" x14ac:dyDescent="0.25">
      <c r="D946" s="3"/>
      <c r="E946" s="3"/>
      <c r="F946" s="3"/>
    </row>
    <row r="947" spans="4:6" ht="12.75" customHeight="1" x14ac:dyDescent="0.25">
      <c r="D947" s="3"/>
      <c r="E947" s="3"/>
      <c r="F947" s="3"/>
    </row>
    <row r="948" spans="4:6" ht="12.75" customHeight="1" x14ac:dyDescent="0.25">
      <c r="D948" s="3"/>
      <c r="E948" s="3"/>
      <c r="F948" s="3"/>
    </row>
    <row r="949" spans="4:6" ht="12.75" customHeight="1" x14ac:dyDescent="0.25">
      <c r="D949" s="3"/>
      <c r="E949" s="3"/>
      <c r="F949" s="3"/>
    </row>
    <row r="950" spans="4:6" ht="12.75" customHeight="1" x14ac:dyDescent="0.25">
      <c r="D950" s="3"/>
      <c r="E950" s="3"/>
      <c r="F950" s="3"/>
    </row>
    <row r="951" spans="4:6" ht="12.75" customHeight="1" x14ac:dyDescent="0.25">
      <c r="D951" s="3"/>
      <c r="E951" s="3"/>
      <c r="F951" s="3"/>
    </row>
    <row r="952" spans="4:6" ht="12.75" customHeight="1" x14ac:dyDescent="0.25">
      <c r="D952" s="3"/>
      <c r="E952" s="3"/>
      <c r="F952" s="3"/>
    </row>
    <row r="953" spans="4:6" ht="12.75" customHeight="1" x14ac:dyDescent="0.25">
      <c r="D953" s="3"/>
      <c r="E953" s="3"/>
      <c r="F953" s="3"/>
    </row>
    <row r="954" spans="4:6" ht="12.75" customHeight="1" x14ac:dyDescent="0.25">
      <c r="D954" s="3"/>
      <c r="E954" s="3"/>
      <c r="F954" s="3"/>
    </row>
    <row r="955" spans="4:6" ht="12.75" customHeight="1" x14ac:dyDescent="0.25">
      <c r="D955" s="3"/>
      <c r="E955" s="3"/>
      <c r="F955" s="3"/>
    </row>
    <row r="956" spans="4:6" ht="12.75" customHeight="1" x14ac:dyDescent="0.25">
      <c r="D956" s="3"/>
      <c r="E956" s="3"/>
      <c r="F956" s="3"/>
    </row>
    <row r="957" spans="4:6" ht="12.75" customHeight="1" x14ac:dyDescent="0.25">
      <c r="D957" s="3"/>
      <c r="E957" s="3"/>
      <c r="F957" s="3"/>
    </row>
    <row r="958" spans="4:6" ht="12.75" customHeight="1" x14ac:dyDescent="0.25">
      <c r="D958" s="3"/>
      <c r="E958" s="3"/>
      <c r="F958" s="3"/>
    </row>
    <row r="959" spans="4:6" ht="12.75" customHeight="1" x14ac:dyDescent="0.25">
      <c r="D959" s="3"/>
      <c r="E959" s="3"/>
      <c r="F959" s="3"/>
    </row>
    <row r="960" spans="4:6" ht="12.75" customHeight="1" x14ac:dyDescent="0.25">
      <c r="D960" s="3"/>
      <c r="E960" s="3"/>
      <c r="F960" s="3"/>
    </row>
    <row r="961" spans="4:6" ht="12.75" customHeight="1" x14ac:dyDescent="0.25">
      <c r="D961" s="3"/>
      <c r="E961" s="3"/>
      <c r="F961" s="3"/>
    </row>
    <row r="962" spans="4:6" ht="12.75" customHeight="1" x14ac:dyDescent="0.25">
      <c r="D962" s="3"/>
      <c r="E962" s="3"/>
      <c r="F962" s="3"/>
    </row>
    <row r="963" spans="4:6" ht="12.75" customHeight="1" x14ac:dyDescent="0.25">
      <c r="D963" s="3"/>
      <c r="E963" s="3"/>
      <c r="F963" s="3"/>
    </row>
    <row r="964" spans="4:6" ht="12.75" customHeight="1" x14ac:dyDescent="0.25">
      <c r="D964" s="3"/>
      <c r="E964" s="3"/>
      <c r="F964" s="3"/>
    </row>
    <row r="965" spans="4:6" ht="12.75" customHeight="1" x14ac:dyDescent="0.25">
      <c r="D965" s="3"/>
      <c r="E965" s="3"/>
      <c r="F965" s="3"/>
    </row>
    <row r="966" spans="4:6" ht="12.75" customHeight="1" x14ac:dyDescent="0.25">
      <c r="D966" s="3"/>
      <c r="E966" s="3"/>
      <c r="F966" s="3"/>
    </row>
    <row r="967" spans="4:6" ht="12.75" customHeight="1" x14ac:dyDescent="0.25">
      <c r="D967" s="3"/>
      <c r="E967" s="3"/>
      <c r="F967" s="3"/>
    </row>
    <row r="968" spans="4:6" ht="12.75" customHeight="1" x14ac:dyDescent="0.25">
      <c r="D968" s="3"/>
      <c r="E968" s="3"/>
      <c r="F968" s="3"/>
    </row>
    <row r="969" spans="4:6" ht="12.75" customHeight="1" x14ac:dyDescent="0.25">
      <c r="D969" s="3"/>
      <c r="E969" s="3"/>
      <c r="F969" s="3"/>
    </row>
    <row r="970" spans="4:6" ht="12.75" customHeight="1" x14ac:dyDescent="0.25">
      <c r="D970" s="3"/>
      <c r="E970" s="3"/>
      <c r="F970" s="3"/>
    </row>
    <row r="971" spans="4:6" ht="12.75" customHeight="1" x14ac:dyDescent="0.25">
      <c r="D971" s="3"/>
      <c r="E971" s="3"/>
      <c r="F971" s="3"/>
    </row>
    <row r="972" spans="4:6" ht="12.75" customHeight="1" x14ac:dyDescent="0.25">
      <c r="D972" s="3"/>
      <c r="E972" s="3"/>
      <c r="F972" s="3"/>
    </row>
    <row r="973" spans="4:6" ht="12.75" customHeight="1" x14ac:dyDescent="0.25">
      <c r="D973" s="3"/>
      <c r="E973" s="3"/>
      <c r="F973" s="3"/>
    </row>
    <row r="974" spans="4:6" ht="12.75" customHeight="1" x14ac:dyDescent="0.25">
      <c r="D974" s="3"/>
      <c r="E974" s="3"/>
      <c r="F974" s="3"/>
    </row>
    <row r="975" spans="4:6" ht="12.75" customHeight="1" x14ac:dyDescent="0.25">
      <c r="D975" s="3"/>
      <c r="E975" s="3"/>
      <c r="F975" s="3"/>
    </row>
    <row r="976" spans="4:6" ht="12.75" customHeight="1" x14ac:dyDescent="0.25">
      <c r="D976" s="3"/>
      <c r="E976" s="3"/>
      <c r="F976" s="3"/>
    </row>
    <row r="977" spans="4:6" ht="12.75" customHeight="1" x14ac:dyDescent="0.25">
      <c r="D977" s="3"/>
      <c r="E977" s="3"/>
      <c r="F977" s="3"/>
    </row>
    <row r="978" spans="4:6" ht="12.75" customHeight="1" x14ac:dyDescent="0.25">
      <c r="D978" s="3"/>
      <c r="E978" s="3"/>
      <c r="F978" s="3"/>
    </row>
    <row r="979" spans="4:6" ht="12.75" customHeight="1" x14ac:dyDescent="0.25">
      <c r="D979" s="3"/>
      <c r="E979" s="3"/>
      <c r="F979" s="3"/>
    </row>
    <row r="980" spans="4:6" ht="12.75" customHeight="1" x14ac:dyDescent="0.25">
      <c r="D980" s="3"/>
      <c r="E980" s="3"/>
      <c r="F980" s="3"/>
    </row>
    <row r="981" spans="4:6" ht="12.75" customHeight="1" x14ac:dyDescent="0.25">
      <c r="D981" s="3"/>
      <c r="E981" s="3"/>
      <c r="F981" s="3"/>
    </row>
    <row r="982" spans="4:6" ht="12.75" customHeight="1" x14ac:dyDescent="0.25">
      <c r="D982" s="3"/>
      <c r="E982" s="3"/>
      <c r="F982" s="3"/>
    </row>
    <row r="983" spans="4:6" ht="12.75" customHeight="1" x14ac:dyDescent="0.25">
      <c r="D983" s="3"/>
      <c r="E983" s="3"/>
      <c r="F983" s="3"/>
    </row>
    <row r="984" spans="4:6" ht="12.75" customHeight="1" x14ac:dyDescent="0.25">
      <c r="D984" s="3"/>
      <c r="E984" s="3"/>
      <c r="F984" s="3"/>
    </row>
    <row r="985" spans="4:6" ht="12.75" customHeight="1" x14ac:dyDescent="0.25">
      <c r="D985" s="3"/>
      <c r="E985" s="3"/>
      <c r="F985" s="3"/>
    </row>
    <row r="986" spans="4:6" ht="12.75" customHeight="1" x14ac:dyDescent="0.25">
      <c r="D986" s="3"/>
      <c r="E986" s="3"/>
      <c r="F986" s="3"/>
    </row>
    <row r="987" spans="4:6" ht="12.75" customHeight="1" x14ac:dyDescent="0.25">
      <c r="D987" s="3"/>
      <c r="E987" s="3"/>
      <c r="F987" s="3"/>
    </row>
    <row r="988" spans="4:6" ht="12.75" customHeight="1" x14ac:dyDescent="0.25">
      <c r="D988" s="3"/>
      <c r="E988" s="3"/>
      <c r="F988" s="3"/>
    </row>
    <row r="989" spans="4:6" ht="12.75" customHeight="1" x14ac:dyDescent="0.25">
      <c r="D989" s="3"/>
      <c r="E989" s="3"/>
      <c r="F989" s="3"/>
    </row>
    <row r="990" spans="4:6" ht="12.75" customHeight="1" x14ac:dyDescent="0.25">
      <c r="D990" s="3"/>
      <c r="E990" s="3"/>
      <c r="F990" s="3"/>
    </row>
    <row r="991" spans="4:6" ht="12.75" customHeight="1" x14ac:dyDescent="0.25">
      <c r="D991" s="3"/>
      <c r="E991" s="3"/>
      <c r="F991" s="3"/>
    </row>
    <row r="992" spans="4:6" ht="12.75" customHeight="1" x14ac:dyDescent="0.25">
      <c r="D992" s="3"/>
      <c r="E992" s="3"/>
      <c r="F992" s="3"/>
    </row>
    <row r="993" spans="4:6" ht="12.75" customHeight="1" x14ac:dyDescent="0.25">
      <c r="D993" s="3"/>
      <c r="E993" s="3"/>
      <c r="F993" s="3"/>
    </row>
    <row r="994" spans="4:6" ht="12.75" customHeight="1" x14ac:dyDescent="0.25">
      <c r="D994" s="3"/>
      <c r="E994" s="3"/>
      <c r="F994" s="3"/>
    </row>
    <row r="995" spans="4:6" ht="12.75" customHeight="1" x14ac:dyDescent="0.25">
      <c r="D995" s="3"/>
      <c r="E995" s="3"/>
      <c r="F995" s="3"/>
    </row>
    <row r="996" spans="4:6" ht="12.75" customHeight="1" x14ac:dyDescent="0.25">
      <c r="D996" s="3"/>
      <c r="E996" s="3"/>
      <c r="F996" s="3"/>
    </row>
    <row r="997" spans="4:6" ht="12.75" customHeight="1" x14ac:dyDescent="0.25">
      <c r="D997" s="3"/>
      <c r="E997" s="3"/>
      <c r="F997" s="3"/>
    </row>
    <row r="998" spans="4:6" ht="12.75" customHeight="1" x14ac:dyDescent="0.25">
      <c r="D998" s="3"/>
      <c r="E998" s="3"/>
      <c r="F998" s="3"/>
    </row>
    <row r="999" spans="4:6" ht="12.75" customHeight="1" x14ac:dyDescent="0.25">
      <c r="D999" s="3"/>
      <c r="E999" s="3"/>
      <c r="F999" s="3"/>
    </row>
    <row r="1000" spans="4:6" ht="12.75" customHeight="1" x14ac:dyDescent="0.25">
      <c r="D1000" s="3"/>
      <c r="E1000" s="3"/>
      <c r="F1000" s="3"/>
    </row>
  </sheetData>
  <mergeCells count="4">
    <mergeCell ref="I3:M5"/>
    <mergeCell ref="I6:M8"/>
    <mergeCell ref="I10:M12"/>
    <mergeCell ref="I13:M15"/>
  </mergeCells>
  <conditionalFormatting sqref="G3:G15 G17:G1000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G3:G15 G17:G1000">
    <cfRule type="cellIs" dxfId="1" priority="2" stopIfTrue="1" operator="equal">
      <formula>"error"</formula>
    </cfRule>
  </conditionalFormatting>
  <conditionalFormatting sqref="G3:G15 G17:G1000">
    <cfRule type="cellIs" dxfId="0" priority="3" stopIfTrue="1" operator="equal">
      <formula>"OK"</formula>
    </cfRule>
  </conditionalFormatting>
  <conditionalFormatting sqref="I13">
    <cfRule type="colorScale" priority="4">
      <colorScale>
        <cfvo type="formula" val="0.19"/>
        <cfvo type="formula" val="0.2"/>
        <cfvo type="formula" val="0.5"/>
        <color rgb="FF92D050"/>
        <color rgb="FFFFEB84"/>
        <color rgb="FFD99594"/>
      </colorScale>
    </cfRule>
  </conditionalFormatting>
  <conditionalFormatting sqref="I6:M8">
    <cfRule type="colorScale" priority="5">
      <colorScale>
        <cfvo type="formula" val="0.19"/>
        <cfvo type="formula" val="0.2"/>
        <cfvo type="formula" val="0.5"/>
        <color rgb="FF92D050"/>
        <color rgb="FFFFEB84"/>
        <color rgb="FFD99594"/>
      </colorScale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Jesuan</vt:lpstr>
      <vt:lpstr>TOTAL</vt:lpstr>
      <vt:lpstr>JUEZ 1</vt:lpstr>
      <vt:lpstr>JUEZ 2</vt:lpstr>
      <vt:lpstr>JUEZ 3</vt:lpstr>
      <vt:lpstr>JUEZ 4</vt:lpstr>
      <vt:lpstr>JUEZ 5</vt:lpstr>
      <vt:lpstr>JUEZ 6</vt:lpstr>
      <vt:lpstr>JUEZ 7</vt:lpstr>
      <vt:lpstr>JUEZ 8</vt:lpstr>
      <vt:lpstr>JUEZ 9</vt:lpstr>
      <vt:lpstr>JUEZ 10</vt:lpstr>
      <vt:lpstr>JUEZ 11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Pimienta</dc:creator>
  <cp:lastModifiedBy>Usuario</cp:lastModifiedBy>
  <dcterms:created xsi:type="dcterms:W3CDTF">2007-07-16T15:43:37Z</dcterms:created>
  <dcterms:modified xsi:type="dcterms:W3CDTF">2026-06-23T11:32:55Z</dcterms:modified>
</cp:coreProperties>
</file>